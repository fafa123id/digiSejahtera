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FIle Coding\digiSejahtera\storage\app\templates\"/>
    </mc:Choice>
  </mc:AlternateContent>
  <xr:revisionPtr revIDLastSave="0" documentId="13_ncr:1_{4C60A3E8-D3D6-4430-AAC6-F9B42D84F6A4}" xr6:coauthVersionLast="47" xr6:coauthVersionMax="47" xr10:uidLastSave="{00000000-0000-0000-0000-000000000000}"/>
  <bookViews>
    <workbookView xWindow="-108" yWindow="-108" windowWidth="23256" windowHeight="12456" activeTab="4" xr2:uid="{7C964F57-FEB0-4825-9C45-BD8C7CC2C4FB}"/>
  </bookViews>
  <sheets>
    <sheet name="DES-25" sheetId="24" r:id="rId1"/>
    <sheet name="JAN-2026" sheetId="25" r:id="rId2"/>
    <sheet name="PEB-26" sheetId="27" r:id="rId3"/>
    <sheet name="APRIL-26" sheetId="28" r:id="rId4"/>
    <sheet name="Sheet1" sheetId="29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76" i="29" l="1"/>
  <c r="I280" i="29"/>
  <c r="I277" i="29"/>
  <c r="N12" i="29"/>
  <c r="N7" i="29"/>
  <c r="N6" i="29"/>
  <c r="N13" i="29"/>
  <c r="D71" i="29" l="1"/>
  <c r="D66" i="29"/>
  <c r="D375" i="29"/>
  <c r="D370" i="29"/>
  <c r="D242" i="29"/>
  <c r="D237" i="29"/>
  <c r="D204" i="29"/>
  <c r="D199" i="29"/>
  <c r="N375" i="29"/>
  <c r="N370" i="29"/>
  <c r="N185" i="29"/>
  <c r="N180" i="29"/>
  <c r="I356" i="29"/>
  <c r="I351" i="29"/>
  <c r="D356" i="29"/>
  <c r="D351" i="29"/>
  <c r="D299" i="29"/>
  <c r="D294" i="29"/>
  <c r="D293" i="29"/>
  <c r="I337" i="29"/>
  <c r="I332" i="29"/>
  <c r="D337" i="29"/>
  <c r="D332" i="29"/>
  <c r="N299" i="29"/>
  <c r="N294" i="29"/>
  <c r="N280" i="29"/>
  <c r="N275" i="29"/>
  <c r="D280" i="29"/>
  <c r="D275" i="29"/>
  <c r="I261" i="29"/>
  <c r="I256" i="29"/>
  <c r="N242" i="29"/>
  <c r="N237" i="29"/>
  <c r="I242" i="29"/>
  <c r="I237" i="29"/>
  <c r="I223" i="29"/>
  <c r="I218" i="29"/>
  <c r="N202" i="29"/>
  <c r="N166" i="29"/>
  <c r="N161" i="29"/>
  <c r="D166" i="29"/>
  <c r="D161" i="29"/>
  <c r="N128" i="29"/>
  <c r="N123" i="29"/>
  <c r="I128" i="29"/>
  <c r="I123" i="29"/>
  <c r="N109" i="29"/>
  <c r="N103" i="29"/>
  <c r="N104" i="29"/>
  <c r="I109" i="29"/>
  <c r="I104" i="29"/>
  <c r="D109" i="29"/>
  <c r="D106" i="29"/>
  <c r="D104" i="29"/>
  <c r="I90" i="29"/>
  <c r="I85" i="29"/>
  <c r="I71" i="29"/>
  <c r="I66" i="29"/>
  <c r="N52" i="29"/>
  <c r="N47" i="29"/>
  <c r="D52" i="29"/>
  <c r="D47" i="29"/>
  <c r="N373" i="29" l="1"/>
  <c r="I373" i="29"/>
  <c r="N369" i="29"/>
  <c r="D369" i="29"/>
  <c r="I368" i="29"/>
  <c r="D368" i="29"/>
  <c r="D367" i="29"/>
  <c r="N366" i="29"/>
  <c r="N374" i="29" s="1"/>
  <c r="I366" i="29"/>
  <c r="I374" i="29" s="1"/>
  <c r="D366" i="29"/>
  <c r="D374" i="29" s="1"/>
  <c r="N355" i="29"/>
  <c r="I350" i="29"/>
  <c r="D350" i="29"/>
  <c r="I348" i="29"/>
  <c r="I347" i="29"/>
  <c r="I355" i="29" s="1"/>
  <c r="D347" i="29"/>
  <c r="D355" i="29" s="1"/>
  <c r="N337" i="29"/>
  <c r="N336" i="29"/>
  <c r="I335" i="29"/>
  <c r="D335" i="29"/>
  <c r="I331" i="29"/>
  <c r="D331" i="29"/>
  <c r="I330" i="29"/>
  <c r="D330" i="29"/>
  <c r="I329" i="29"/>
  <c r="D329" i="29"/>
  <c r="I328" i="29"/>
  <c r="I336" i="29" s="1"/>
  <c r="D328" i="29"/>
  <c r="D336" i="29" s="1"/>
  <c r="I318" i="29"/>
  <c r="N315" i="29"/>
  <c r="N317" i="29" s="1"/>
  <c r="D311" i="29"/>
  <c r="D310" i="29"/>
  <c r="D309" i="29"/>
  <c r="D317" i="29" s="1"/>
  <c r="H307" i="29"/>
  <c r="I299" i="29"/>
  <c r="N297" i="29"/>
  <c r="I296" i="29"/>
  <c r="N293" i="29"/>
  <c r="D298" i="29"/>
  <c r="N292" i="29"/>
  <c r="I292" i="29"/>
  <c r="N291" i="29"/>
  <c r="I291" i="29"/>
  <c r="N290" i="29"/>
  <c r="N298" i="29" s="1"/>
  <c r="I290" i="29"/>
  <c r="I298" i="29" s="1"/>
  <c r="I278" i="29"/>
  <c r="D278" i="29"/>
  <c r="D277" i="29"/>
  <c r="D273" i="29"/>
  <c r="N272" i="29"/>
  <c r="I272" i="29"/>
  <c r="D272" i="29"/>
  <c r="N271" i="29"/>
  <c r="N279" i="29" s="1"/>
  <c r="I271" i="29"/>
  <c r="I279" i="29" s="1"/>
  <c r="D271" i="29"/>
  <c r="D279" i="29" s="1"/>
  <c r="N261" i="29"/>
  <c r="D261" i="29"/>
  <c r="D260" i="29"/>
  <c r="I255" i="29"/>
  <c r="I254" i="29"/>
  <c r="I253" i="29"/>
  <c r="I252" i="29"/>
  <c r="I260" i="29" s="1"/>
  <c r="I240" i="29"/>
  <c r="D240" i="29"/>
  <c r="D239" i="29"/>
  <c r="N236" i="29"/>
  <c r="I236" i="29"/>
  <c r="D236" i="29"/>
  <c r="I235" i="29"/>
  <c r="D235" i="29"/>
  <c r="N234" i="29"/>
  <c r="I234" i="29"/>
  <c r="N233" i="29"/>
  <c r="N241" i="29" s="1"/>
  <c r="I233" i="29"/>
  <c r="I241" i="29" s="1"/>
  <c r="D233" i="29"/>
  <c r="D241" i="29" s="1"/>
  <c r="D231" i="29"/>
  <c r="N222" i="29"/>
  <c r="I221" i="29"/>
  <c r="D221" i="29"/>
  <c r="I220" i="29"/>
  <c r="I217" i="29"/>
  <c r="I216" i="29"/>
  <c r="D216" i="29"/>
  <c r="I215" i="29"/>
  <c r="D215" i="29"/>
  <c r="I214" i="29"/>
  <c r="I222" i="29" s="1"/>
  <c r="D214" i="29"/>
  <c r="D222" i="29" s="1"/>
  <c r="C212" i="29"/>
  <c r="I204" i="29"/>
  <c r="I202" i="29"/>
  <c r="I201" i="29"/>
  <c r="I199" i="29"/>
  <c r="N197" i="29"/>
  <c r="I197" i="29"/>
  <c r="D197" i="29"/>
  <c r="N196" i="29"/>
  <c r="I196" i="29"/>
  <c r="D196" i="29"/>
  <c r="N195" i="29"/>
  <c r="N203" i="29" s="1"/>
  <c r="I195" i="29"/>
  <c r="I203" i="29" s="1"/>
  <c r="D195" i="29"/>
  <c r="D203" i="29" s="1"/>
  <c r="C193" i="29"/>
  <c r="I185" i="29"/>
  <c r="I183" i="29"/>
  <c r="I182" i="29"/>
  <c r="N179" i="29"/>
  <c r="N184" i="29" s="1"/>
  <c r="I178" i="29"/>
  <c r="I177" i="29"/>
  <c r="I176" i="29"/>
  <c r="I184" i="29" s="1"/>
  <c r="N164" i="29"/>
  <c r="N159" i="29"/>
  <c r="D159" i="29"/>
  <c r="N158" i="29"/>
  <c r="D158" i="29"/>
  <c r="N157" i="29"/>
  <c r="N165" i="29" s="1"/>
  <c r="D157" i="29"/>
  <c r="D165" i="29" s="1"/>
  <c r="D146" i="29"/>
  <c r="D127" i="29"/>
  <c r="N126" i="29"/>
  <c r="I127" i="29"/>
  <c r="N122" i="29"/>
  <c r="N121" i="29"/>
  <c r="N120" i="29"/>
  <c r="N119" i="29"/>
  <c r="N127" i="29" s="1"/>
  <c r="N107" i="29"/>
  <c r="I107" i="29"/>
  <c r="N106" i="29"/>
  <c r="I103" i="29"/>
  <c r="D103" i="29"/>
  <c r="N102" i="29"/>
  <c r="D102" i="29"/>
  <c r="N101" i="29"/>
  <c r="I101" i="29"/>
  <c r="N100" i="29"/>
  <c r="N108" i="29" s="1"/>
  <c r="I100" i="29"/>
  <c r="I108" i="29" s="1"/>
  <c r="D100" i="29"/>
  <c r="D108" i="29" s="1"/>
  <c r="D90" i="29"/>
  <c r="N88" i="29"/>
  <c r="D88" i="29"/>
  <c r="D87" i="29"/>
  <c r="I84" i="29"/>
  <c r="N83" i="29"/>
  <c r="I83" i="29"/>
  <c r="D83" i="29"/>
  <c r="N82" i="29"/>
  <c r="I82" i="29"/>
  <c r="D82" i="29"/>
  <c r="N81" i="29"/>
  <c r="N89" i="29" s="1"/>
  <c r="I81" i="29"/>
  <c r="I89" i="29" s="1"/>
  <c r="D81" i="29"/>
  <c r="D89" i="29" s="1"/>
  <c r="I69" i="29"/>
  <c r="D69" i="29"/>
  <c r="N66" i="29"/>
  <c r="I65" i="29"/>
  <c r="D65" i="29"/>
  <c r="N64" i="29"/>
  <c r="I64" i="29"/>
  <c r="D64" i="29"/>
  <c r="N63" i="29"/>
  <c r="I63" i="29"/>
  <c r="D63" i="29"/>
  <c r="N62" i="29"/>
  <c r="N70" i="29" s="1"/>
  <c r="I62" i="29"/>
  <c r="I70" i="29" s="1"/>
  <c r="D62" i="29"/>
  <c r="D70" i="29" s="1"/>
  <c r="I52" i="29"/>
  <c r="N50" i="29"/>
  <c r="I50" i="29"/>
  <c r="N49" i="29"/>
  <c r="I49" i="29"/>
  <c r="N48" i="29"/>
  <c r="N46" i="29"/>
  <c r="D46" i="29"/>
  <c r="D51" i="29" s="1"/>
  <c r="N45" i="29"/>
  <c r="I45" i="29"/>
  <c r="N44" i="29"/>
  <c r="I44" i="29"/>
  <c r="N43" i="29"/>
  <c r="N51" i="29" s="1"/>
  <c r="I43" i="29"/>
  <c r="I51" i="29" s="1"/>
  <c r="D34" i="29"/>
  <c r="N33" i="29"/>
  <c r="I33" i="29"/>
  <c r="N31" i="29"/>
  <c r="I31" i="29"/>
  <c r="D31" i="29"/>
  <c r="N26" i="29"/>
  <c r="I26" i="29"/>
  <c r="D26" i="29"/>
  <c r="N25" i="29"/>
  <c r="I25" i="29"/>
  <c r="D25" i="29"/>
  <c r="N24" i="29"/>
  <c r="N32" i="29" s="1"/>
  <c r="I24" i="29"/>
  <c r="I32" i="29" s="1"/>
  <c r="D24" i="29"/>
  <c r="D32" i="29" s="1"/>
  <c r="I15" i="29"/>
  <c r="N15" i="29" s="1"/>
  <c r="I12" i="29"/>
  <c r="D12" i="29"/>
  <c r="D7" i="29"/>
  <c r="I6" i="29"/>
  <c r="D6" i="29"/>
  <c r="I5" i="29"/>
  <c r="I13" i="29" s="1"/>
  <c r="D5" i="29"/>
  <c r="D13" i="29" s="1"/>
  <c r="D71" i="28"/>
  <c r="D66" i="28"/>
  <c r="D370" i="28"/>
  <c r="D375" i="28"/>
  <c r="D242" i="28"/>
  <c r="D237" i="28"/>
  <c r="D204" i="28"/>
  <c r="D199" i="28"/>
  <c r="N375" i="28"/>
  <c r="N370" i="28"/>
  <c r="N185" i="28"/>
  <c r="N180" i="28"/>
  <c r="I356" i="28"/>
  <c r="I351" i="28"/>
  <c r="D356" i="28"/>
  <c r="D351" i="28"/>
  <c r="D299" i="28"/>
  <c r="D294" i="28"/>
  <c r="I337" i="28"/>
  <c r="I332" i="28"/>
  <c r="D337" i="28"/>
  <c r="D332" i="28"/>
  <c r="N299" i="28"/>
  <c r="N294" i="28"/>
  <c r="N280" i="28"/>
  <c r="N275" i="28"/>
  <c r="D280" i="28"/>
  <c r="D275" i="28"/>
  <c r="I261" i="28"/>
  <c r="I256" i="28"/>
  <c r="N242" i="28"/>
  <c r="N237" i="28"/>
  <c r="I242" i="28"/>
  <c r="I237" i="28"/>
  <c r="I223" i="28"/>
  <c r="I218" i="28"/>
  <c r="N166" i="28"/>
  <c r="N161" i="28"/>
  <c r="D166" i="28"/>
  <c r="D161" i="28"/>
  <c r="I128" i="28"/>
  <c r="I123" i="28"/>
  <c r="N128" i="28"/>
  <c r="N123" i="28"/>
  <c r="D53" i="29" l="1"/>
  <c r="I34" i="29"/>
  <c r="N34" i="29" s="1"/>
  <c r="N109" i="28"/>
  <c r="N104" i="28"/>
  <c r="I109" i="28"/>
  <c r="I104" i="28"/>
  <c r="D109" i="28"/>
  <c r="D104" i="28"/>
  <c r="I90" i="28"/>
  <c r="I85" i="28"/>
  <c r="I71" i="28"/>
  <c r="I66" i="28"/>
  <c r="N52" i="28"/>
  <c r="N47" i="28"/>
  <c r="D52" i="28"/>
  <c r="D47" i="28"/>
  <c r="N373" i="28"/>
  <c r="I373" i="28"/>
  <c r="N369" i="28"/>
  <c r="D369" i="28"/>
  <c r="I368" i="28"/>
  <c r="D368" i="28"/>
  <c r="D367" i="28"/>
  <c r="N366" i="28"/>
  <c r="N374" i="28" s="1"/>
  <c r="I366" i="28"/>
  <c r="I374" i="28" s="1"/>
  <c r="D366" i="28"/>
  <c r="D374" i="28" s="1"/>
  <c r="N355" i="28"/>
  <c r="I350" i="28"/>
  <c r="D350" i="28"/>
  <c r="I348" i="28"/>
  <c r="I347" i="28"/>
  <c r="I355" i="28" s="1"/>
  <c r="D347" i="28"/>
  <c r="D355" i="28" s="1"/>
  <c r="N337" i="28"/>
  <c r="N336" i="28"/>
  <c r="I335" i="28"/>
  <c r="D335" i="28"/>
  <c r="I331" i="28"/>
  <c r="D331" i="28"/>
  <c r="I330" i="28"/>
  <c r="D330" i="28"/>
  <c r="I329" i="28"/>
  <c r="D329" i="28"/>
  <c r="I328" i="28"/>
  <c r="I336" i="28" s="1"/>
  <c r="D328" i="28"/>
  <c r="D336" i="28" s="1"/>
  <c r="I318" i="28"/>
  <c r="N315" i="28"/>
  <c r="N317" i="28" s="1"/>
  <c r="D311" i="28"/>
  <c r="D310" i="28"/>
  <c r="D309" i="28"/>
  <c r="D317" i="28" s="1"/>
  <c r="H307" i="28"/>
  <c r="I299" i="28"/>
  <c r="N297" i="28"/>
  <c r="I296" i="28"/>
  <c r="N293" i="28"/>
  <c r="D293" i="28"/>
  <c r="D298" i="28" s="1"/>
  <c r="N292" i="28"/>
  <c r="I292" i="28"/>
  <c r="N291" i="28"/>
  <c r="I291" i="28"/>
  <c r="N290" i="28"/>
  <c r="N298" i="28" s="1"/>
  <c r="I290" i="28"/>
  <c r="I298" i="28" s="1"/>
  <c r="I278" i="28"/>
  <c r="D278" i="28"/>
  <c r="D277" i="28"/>
  <c r="D273" i="28"/>
  <c r="N272" i="28"/>
  <c r="I272" i="28"/>
  <c r="D272" i="28"/>
  <c r="N271" i="28"/>
  <c r="N279" i="28" s="1"/>
  <c r="I271" i="28"/>
  <c r="I279" i="28" s="1"/>
  <c r="D271" i="28"/>
  <c r="D279" i="28" s="1"/>
  <c r="N261" i="28"/>
  <c r="D261" i="28"/>
  <c r="D260" i="28"/>
  <c r="I255" i="28"/>
  <c r="I254" i="28"/>
  <c r="I253" i="28"/>
  <c r="I252" i="28"/>
  <c r="I260" i="28" s="1"/>
  <c r="I240" i="28"/>
  <c r="D240" i="28"/>
  <c r="D239" i="28"/>
  <c r="N236" i="28"/>
  <c r="I236" i="28"/>
  <c r="D236" i="28"/>
  <c r="I235" i="28"/>
  <c r="D235" i="28"/>
  <c r="N234" i="28"/>
  <c r="I234" i="28"/>
  <c r="N233" i="28"/>
  <c r="N241" i="28" s="1"/>
  <c r="I233" i="28"/>
  <c r="I241" i="28" s="1"/>
  <c r="D233" i="28"/>
  <c r="D241" i="28" s="1"/>
  <c r="D231" i="28"/>
  <c r="N222" i="28"/>
  <c r="I221" i="28"/>
  <c r="D221" i="28"/>
  <c r="I220" i="28"/>
  <c r="I217" i="28"/>
  <c r="I216" i="28"/>
  <c r="D216" i="28"/>
  <c r="I215" i="28"/>
  <c r="D215" i="28"/>
  <c r="I214" i="28"/>
  <c r="I222" i="28" s="1"/>
  <c r="D214" i="28"/>
  <c r="D222" i="28" s="1"/>
  <c r="C212" i="28"/>
  <c r="I204" i="28"/>
  <c r="N202" i="28"/>
  <c r="I202" i="28"/>
  <c r="I201" i="28"/>
  <c r="I199" i="28"/>
  <c r="N197" i="28"/>
  <c r="I197" i="28"/>
  <c r="D197" i="28"/>
  <c r="N196" i="28"/>
  <c r="I196" i="28"/>
  <c r="D196" i="28"/>
  <c r="N195" i="28"/>
  <c r="N203" i="28" s="1"/>
  <c r="I195" i="28"/>
  <c r="I203" i="28" s="1"/>
  <c r="D195" i="28"/>
  <c r="D203" i="28" s="1"/>
  <c r="C193" i="28"/>
  <c r="I185" i="28"/>
  <c r="I183" i="28"/>
  <c r="I182" i="28"/>
  <c r="N179" i="28"/>
  <c r="N184" i="28" s="1"/>
  <c r="I178" i="28"/>
  <c r="I177" i="28"/>
  <c r="I176" i="28"/>
  <c r="I184" i="28" s="1"/>
  <c r="N164" i="28"/>
  <c r="N159" i="28"/>
  <c r="D159" i="28"/>
  <c r="N158" i="28"/>
  <c r="D158" i="28"/>
  <c r="N157" i="28"/>
  <c r="N165" i="28" s="1"/>
  <c r="D157" i="28"/>
  <c r="D165" i="28" s="1"/>
  <c r="D146" i="28"/>
  <c r="D127" i="28"/>
  <c r="N126" i="28"/>
  <c r="I127" i="28"/>
  <c r="N122" i="28"/>
  <c r="N121" i="28"/>
  <c r="N120" i="28"/>
  <c r="N119" i="28"/>
  <c r="N127" i="28" s="1"/>
  <c r="N107" i="28"/>
  <c r="I107" i="28"/>
  <c r="N106" i="28"/>
  <c r="N103" i="28"/>
  <c r="I103" i="28"/>
  <c r="D103" i="28"/>
  <c r="N102" i="28"/>
  <c r="D102" i="28"/>
  <c r="N101" i="28"/>
  <c r="I101" i="28"/>
  <c r="N100" i="28"/>
  <c r="N108" i="28" s="1"/>
  <c r="I100" i="28"/>
  <c r="I108" i="28" s="1"/>
  <c r="D100" i="28"/>
  <c r="D108" i="28" s="1"/>
  <c r="D90" i="28"/>
  <c r="N88" i="28"/>
  <c r="D88" i="28"/>
  <c r="D87" i="28"/>
  <c r="I84" i="28"/>
  <c r="N83" i="28"/>
  <c r="I83" i="28"/>
  <c r="D83" i="28"/>
  <c r="N82" i="28"/>
  <c r="I82" i="28"/>
  <c r="D82" i="28"/>
  <c r="N81" i="28"/>
  <c r="N89" i="28" s="1"/>
  <c r="I81" i="28"/>
  <c r="I89" i="28" s="1"/>
  <c r="D81" i="28"/>
  <c r="D89" i="28" s="1"/>
  <c r="I69" i="28"/>
  <c r="D69" i="28"/>
  <c r="N66" i="28"/>
  <c r="I65" i="28"/>
  <c r="D65" i="28"/>
  <c r="N64" i="28"/>
  <c r="I64" i="28"/>
  <c r="D64" i="28"/>
  <c r="N63" i="28"/>
  <c r="I63" i="28"/>
  <c r="D63" i="28"/>
  <c r="N62" i="28"/>
  <c r="N70" i="28" s="1"/>
  <c r="I62" i="28"/>
  <c r="I70" i="28" s="1"/>
  <c r="D62" i="28"/>
  <c r="D70" i="28" s="1"/>
  <c r="I52" i="28"/>
  <c r="N50" i="28"/>
  <c r="I50" i="28"/>
  <c r="N49" i="28"/>
  <c r="I49" i="28"/>
  <c r="N48" i="28"/>
  <c r="N46" i="28"/>
  <c r="D46" i="28"/>
  <c r="D51" i="28" s="1"/>
  <c r="N45" i="28"/>
  <c r="I45" i="28"/>
  <c r="N44" i="28"/>
  <c r="I44" i="28"/>
  <c r="N43" i="28"/>
  <c r="N51" i="28" s="1"/>
  <c r="I43" i="28"/>
  <c r="I51" i="28" s="1"/>
  <c r="D34" i="28"/>
  <c r="N33" i="28"/>
  <c r="I33" i="28"/>
  <c r="N31" i="28"/>
  <c r="I31" i="28"/>
  <c r="D31" i="28"/>
  <c r="N26" i="28"/>
  <c r="I26" i="28"/>
  <c r="D26" i="28"/>
  <c r="N25" i="28"/>
  <c r="I25" i="28"/>
  <c r="D25" i="28"/>
  <c r="N24" i="28"/>
  <c r="N32" i="28" s="1"/>
  <c r="I24" i="28"/>
  <c r="I32" i="28" s="1"/>
  <c r="D24" i="28"/>
  <c r="D32" i="28" s="1"/>
  <c r="I15" i="28"/>
  <c r="N15" i="28" s="1"/>
  <c r="I12" i="28"/>
  <c r="D12" i="28"/>
  <c r="D7" i="28"/>
  <c r="I6" i="28"/>
  <c r="D6" i="28"/>
  <c r="I5" i="28"/>
  <c r="I13" i="28" s="1"/>
  <c r="D5" i="28"/>
  <c r="D13" i="28" s="1"/>
  <c r="I313" i="27"/>
  <c r="D204" i="27"/>
  <c r="D199" i="27"/>
  <c r="D242" i="27"/>
  <c r="D237" i="27"/>
  <c r="D375" i="27"/>
  <c r="D370" i="27"/>
  <c r="D71" i="27"/>
  <c r="D66" i="27"/>
  <c r="N375" i="27"/>
  <c r="N370" i="27"/>
  <c r="N185" i="27"/>
  <c r="N180" i="27"/>
  <c r="I356" i="27"/>
  <c r="I351" i="27"/>
  <c r="D356" i="27"/>
  <c r="D351" i="27"/>
  <c r="D350" i="27"/>
  <c r="D299" i="27"/>
  <c r="D294" i="27"/>
  <c r="I337" i="27"/>
  <c r="I332" i="27"/>
  <c r="D337" i="27"/>
  <c r="D332" i="27"/>
  <c r="N299" i="27"/>
  <c r="N294" i="27"/>
  <c r="N280" i="27"/>
  <c r="N275" i="27"/>
  <c r="D280" i="27"/>
  <c r="D275" i="27"/>
  <c r="N255" i="27"/>
  <c r="I261" i="27"/>
  <c r="I256" i="27"/>
  <c r="N242" i="27"/>
  <c r="N237" i="27"/>
  <c r="I242" i="27"/>
  <c r="I237" i="27"/>
  <c r="I223" i="27"/>
  <c r="I218" i="27"/>
  <c r="D185" i="27"/>
  <c r="D180" i="27"/>
  <c r="N166" i="27"/>
  <c r="N161" i="27"/>
  <c r="D166" i="27"/>
  <c r="D161" i="27"/>
  <c r="N128" i="27"/>
  <c r="N123" i="27"/>
  <c r="I128" i="27"/>
  <c r="I123" i="27"/>
  <c r="N109" i="27"/>
  <c r="N104" i="27"/>
  <c r="I109" i="27"/>
  <c r="I104" i="27"/>
  <c r="D109" i="27"/>
  <c r="D104" i="27"/>
  <c r="I90" i="27"/>
  <c r="I85" i="27"/>
  <c r="I71" i="27"/>
  <c r="I66" i="27"/>
  <c r="N52" i="27"/>
  <c r="N47" i="27"/>
  <c r="D52" i="27"/>
  <c r="D47" i="27"/>
  <c r="D46" i="27"/>
  <c r="D239" i="27"/>
  <c r="D236" i="27"/>
  <c r="I318" i="27"/>
  <c r="N369" i="27"/>
  <c r="N179" i="27"/>
  <c r="N261" i="27"/>
  <c r="D261" i="27"/>
  <c r="D72" i="29" l="1"/>
  <c r="D91" i="29" s="1"/>
  <c r="I53" i="29"/>
  <c r="D53" i="28"/>
  <c r="I34" i="28"/>
  <c r="N34" i="28" s="1"/>
  <c r="N373" i="27"/>
  <c r="I373" i="27"/>
  <c r="D369" i="27"/>
  <c r="I368" i="27"/>
  <c r="D368" i="27"/>
  <c r="D367" i="27"/>
  <c r="N366" i="27"/>
  <c r="N374" i="27" s="1"/>
  <c r="I366" i="27"/>
  <c r="I374" i="27" s="1"/>
  <c r="D366" i="27"/>
  <c r="D374" i="27" s="1"/>
  <c r="N355" i="27"/>
  <c r="I350" i="27"/>
  <c r="I348" i="27"/>
  <c r="I347" i="27"/>
  <c r="I355" i="27" s="1"/>
  <c r="D347" i="27"/>
  <c r="D355" i="27" s="1"/>
  <c r="N337" i="27"/>
  <c r="N336" i="27"/>
  <c r="I335" i="27"/>
  <c r="D335" i="27"/>
  <c r="I331" i="27"/>
  <c r="D331" i="27"/>
  <c r="I330" i="27"/>
  <c r="D330" i="27"/>
  <c r="I329" i="27"/>
  <c r="D329" i="27"/>
  <c r="I328" i="27"/>
  <c r="I336" i="27" s="1"/>
  <c r="D328" i="27"/>
  <c r="D336" i="27" s="1"/>
  <c r="I316" i="27"/>
  <c r="N315" i="27"/>
  <c r="N317" i="27" s="1"/>
  <c r="I311" i="27"/>
  <c r="D311" i="27"/>
  <c r="I310" i="27"/>
  <c r="D310" i="27"/>
  <c r="I309" i="27"/>
  <c r="I317" i="27" s="1"/>
  <c r="D309" i="27"/>
  <c r="D317" i="27" s="1"/>
  <c r="H307" i="27"/>
  <c r="I299" i="27"/>
  <c r="N297" i="27"/>
  <c r="I296" i="27"/>
  <c r="N293" i="27"/>
  <c r="D293" i="27"/>
  <c r="D298" i="27" s="1"/>
  <c r="N292" i="27"/>
  <c r="I292" i="27"/>
  <c r="N291" i="27"/>
  <c r="I291" i="27"/>
  <c r="N290" i="27"/>
  <c r="N298" i="27" s="1"/>
  <c r="I290" i="27"/>
  <c r="I298" i="27" s="1"/>
  <c r="I278" i="27"/>
  <c r="D278" i="27"/>
  <c r="D277" i="27"/>
  <c r="D273" i="27"/>
  <c r="N272" i="27"/>
  <c r="I272" i="27"/>
  <c r="D272" i="27"/>
  <c r="N271" i="27"/>
  <c r="N279" i="27" s="1"/>
  <c r="I271" i="27"/>
  <c r="I279" i="27" s="1"/>
  <c r="D271" i="27"/>
  <c r="D279" i="27" s="1"/>
  <c r="N259" i="27"/>
  <c r="I255" i="27"/>
  <c r="N254" i="27"/>
  <c r="I254" i="27"/>
  <c r="N253" i="27"/>
  <c r="I253" i="27"/>
  <c r="N252" i="27"/>
  <c r="N260" i="27" s="1"/>
  <c r="I252" i="27"/>
  <c r="I260" i="27" s="1"/>
  <c r="D260" i="27"/>
  <c r="I240" i="27"/>
  <c r="D240" i="27"/>
  <c r="N236" i="27"/>
  <c r="I236" i="27"/>
  <c r="I235" i="27"/>
  <c r="D235" i="27"/>
  <c r="N234" i="27"/>
  <c r="I234" i="27"/>
  <c r="N233" i="27"/>
  <c r="N241" i="27" s="1"/>
  <c r="I233" i="27"/>
  <c r="I241" i="27" s="1"/>
  <c r="D233" i="27"/>
  <c r="D241" i="27" s="1"/>
  <c r="D231" i="27"/>
  <c r="N222" i="27"/>
  <c r="I221" i="27"/>
  <c r="D221" i="27"/>
  <c r="I220" i="27"/>
  <c r="I217" i="27"/>
  <c r="I216" i="27"/>
  <c r="D216" i="27"/>
  <c r="I215" i="27"/>
  <c r="D215" i="27"/>
  <c r="I214" i="27"/>
  <c r="I222" i="27" s="1"/>
  <c r="D214" i="27"/>
  <c r="D222" i="27" s="1"/>
  <c r="C212" i="27"/>
  <c r="I204" i="27"/>
  <c r="N202" i="27"/>
  <c r="I202" i="27"/>
  <c r="I201" i="27"/>
  <c r="I199" i="27"/>
  <c r="N197" i="27"/>
  <c r="I197" i="27"/>
  <c r="D197" i="27"/>
  <c r="N196" i="27"/>
  <c r="I196" i="27"/>
  <c r="D196" i="27"/>
  <c r="N195" i="27"/>
  <c r="N203" i="27" s="1"/>
  <c r="I195" i="27"/>
  <c r="I203" i="27" s="1"/>
  <c r="D195" i="27"/>
  <c r="D203" i="27" s="1"/>
  <c r="C193" i="27"/>
  <c r="I185" i="27"/>
  <c r="I183" i="27"/>
  <c r="D183" i="27"/>
  <c r="I182" i="27"/>
  <c r="N184" i="27"/>
  <c r="D179" i="27"/>
  <c r="I178" i="27"/>
  <c r="D178" i="27"/>
  <c r="I177" i="27"/>
  <c r="D177" i="27"/>
  <c r="I176" i="27"/>
  <c r="I184" i="27" s="1"/>
  <c r="D176" i="27"/>
  <c r="D184" i="27" s="1"/>
  <c r="N164" i="27"/>
  <c r="N159" i="27"/>
  <c r="D159" i="27"/>
  <c r="N158" i="27"/>
  <c r="D158" i="27"/>
  <c r="N157" i="27"/>
  <c r="N165" i="27" s="1"/>
  <c r="D157" i="27"/>
  <c r="D165" i="27" s="1"/>
  <c r="D146" i="27"/>
  <c r="I127" i="27"/>
  <c r="D127" i="27"/>
  <c r="N126" i="27"/>
  <c r="N122" i="27"/>
  <c r="N121" i="27"/>
  <c r="N120" i="27"/>
  <c r="N119" i="27"/>
  <c r="N127" i="27" s="1"/>
  <c r="N107" i="27"/>
  <c r="I107" i="27"/>
  <c r="N106" i="27"/>
  <c r="N103" i="27"/>
  <c r="I103" i="27"/>
  <c r="D103" i="27"/>
  <c r="N102" i="27"/>
  <c r="D102" i="27"/>
  <c r="N101" i="27"/>
  <c r="I101" i="27"/>
  <c r="N100" i="27"/>
  <c r="N108" i="27" s="1"/>
  <c r="I100" i="27"/>
  <c r="I108" i="27" s="1"/>
  <c r="D100" i="27"/>
  <c r="D108" i="27" s="1"/>
  <c r="D90" i="27"/>
  <c r="N88" i="27"/>
  <c r="D88" i="27"/>
  <c r="D87" i="27"/>
  <c r="I84" i="27"/>
  <c r="N83" i="27"/>
  <c r="I83" i="27"/>
  <c r="D83" i="27"/>
  <c r="N82" i="27"/>
  <c r="I82" i="27"/>
  <c r="D82" i="27"/>
  <c r="N81" i="27"/>
  <c r="N89" i="27" s="1"/>
  <c r="I81" i="27"/>
  <c r="I89" i="27" s="1"/>
  <c r="D81" i="27"/>
  <c r="D89" i="27" s="1"/>
  <c r="I69" i="27"/>
  <c r="D69" i="27"/>
  <c r="N66" i="27"/>
  <c r="I65" i="27"/>
  <c r="D65" i="27"/>
  <c r="N64" i="27"/>
  <c r="I64" i="27"/>
  <c r="D64" i="27"/>
  <c r="N63" i="27"/>
  <c r="I63" i="27"/>
  <c r="D63" i="27"/>
  <c r="N62" i="27"/>
  <c r="N70" i="27" s="1"/>
  <c r="I62" i="27"/>
  <c r="I70" i="27" s="1"/>
  <c r="D62" i="27"/>
  <c r="D70" i="27" s="1"/>
  <c r="I52" i="27"/>
  <c r="D51" i="27"/>
  <c r="N50" i="27"/>
  <c r="I50" i="27"/>
  <c r="N49" i="27"/>
  <c r="I49" i="27"/>
  <c r="N48" i="27"/>
  <c r="N46" i="27"/>
  <c r="N45" i="27"/>
  <c r="I45" i="27"/>
  <c r="N44" i="27"/>
  <c r="I44" i="27"/>
  <c r="N43" i="27"/>
  <c r="N51" i="27" s="1"/>
  <c r="I43" i="27"/>
  <c r="I51" i="27" s="1"/>
  <c r="D34" i="27"/>
  <c r="N33" i="27"/>
  <c r="I33" i="27"/>
  <c r="N31" i="27"/>
  <c r="I31" i="27"/>
  <c r="D31" i="27"/>
  <c r="N26" i="27"/>
  <c r="I26" i="27"/>
  <c r="D26" i="27"/>
  <c r="N25" i="27"/>
  <c r="I25" i="27"/>
  <c r="D25" i="27"/>
  <c r="N24" i="27"/>
  <c r="N32" i="27" s="1"/>
  <c r="I24" i="27"/>
  <c r="I32" i="27" s="1"/>
  <c r="D24" i="27"/>
  <c r="D32" i="27" s="1"/>
  <c r="I15" i="27"/>
  <c r="N15" i="27" s="1"/>
  <c r="I12" i="27"/>
  <c r="D12" i="27"/>
  <c r="D7" i="27"/>
  <c r="I6" i="27"/>
  <c r="D6" i="27"/>
  <c r="I5" i="27"/>
  <c r="I13" i="27" s="1"/>
  <c r="D5" i="27"/>
  <c r="D13" i="27" s="1"/>
  <c r="D71" i="25"/>
  <c r="D66" i="25"/>
  <c r="I318" i="25"/>
  <c r="I313" i="25"/>
  <c r="D375" i="25"/>
  <c r="D370" i="25"/>
  <c r="D204" i="25"/>
  <c r="D199" i="25"/>
  <c r="N375" i="25"/>
  <c r="N370" i="25"/>
  <c r="N369" i="25"/>
  <c r="N180" i="25"/>
  <c r="I356" i="25"/>
  <c r="I351" i="25"/>
  <c r="D299" i="25"/>
  <c r="D294" i="25"/>
  <c r="I337" i="25"/>
  <c r="I332" i="25"/>
  <c r="D337" i="25"/>
  <c r="D332" i="25"/>
  <c r="N299" i="25"/>
  <c r="N294" i="25"/>
  <c r="N280" i="25"/>
  <c r="N275" i="25"/>
  <c r="D280" i="25"/>
  <c r="D275" i="25"/>
  <c r="N261" i="25"/>
  <c r="N256" i="25"/>
  <c r="I261" i="25"/>
  <c r="I256" i="25"/>
  <c r="D261" i="25"/>
  <c r="D256" i="25"/>
  <c r="N242" i="25"/>
  <c r="N237" i="25"/>
  <c r="I242" i="25"/>
  <c r="I237" i="25"/>
  <c r="I223" i="25"/>
  <c r="I218" i="25"/>
  <c r="N185" i="25"/>
  <c r="D185" i="25"/>
  <c r="D180" i="25"/>
  <c r="D179" i="25"/>
  <c r="N166" i="25"/>
  <c r="N161" i="25"/>
  <c r="D166" i="25"/>
  <c r="D161" i="25"/>
  <c r="N147" i="25"/>
  <c r="N142" i="25"/>
  <c r="N128" i="25"/>
  <c r="N123" i="25"/>
  <c r="N109" i="25"/>
  <c r="N104" i="25"/>
  <c r="I109" i="25"/>
  <c r="I104" i="25"/>
  <c r="D109" i="25"/>
  <c r="D104" i="25"/>
  <c r="I87" i="25"/>
  <c r="I90" i="25"/>
  <c r="I85" i="25"/>
  <c r="I71" i="25"/>
  <c r="I66" i="25"/>
  <c r="N52" i="25"/>
  <c r="N47" i="25"/>
  <c r="N46" i="25"/>
  <c r="I50" i="25"/>
  <c r="I72" i="29" l="1"/>
  <c r="N72" i="29" s="1"/>
  <c r="N53" i="29"/>
  <c r="D110" i="29"/>
  <c r="H91" i="29"/>
  <c r="N91" i="29" s="1"/>
  <c r="D72" i="28"/>
  <c r="D91" i="28" s="1"/>
  <c r="I53" i="28"/>
  <c r="D53" i="27"/>
  <c r="I34" i="27"/>
  <c r="N34" i="27" s="1"/>
  <c r="N373" i="25"/>
  <c r="I373" i="25"/>
  <c r="D369" i="25"/>
  <c r="I368" i="25"/>
  <c r="D368" i="25"/>
  <c r="D367" i="25"/>
  <c r="N366" i="25"/>
  <c r="N374" i="25" s="1"/>
  <c r="I366" i="25"/>
  <c r="I374" i="25" s="1"/>
  <c r="D366" i="25"/>
  <c r="D374" i="25" s="1"/>
  <c r="D356" i="25"/>
  <c r="N355" i="25"/>
  <c r="I350" i="25"/>
  <c r="I348" i="25"/>
  <c r="I347" i="25"/>
  <c r="I355" i="25" s="1"/>
  <c r="D347" i="25"/>
  <c r="D355" i="25" s="1"/>
  <c r="N337" i="25"/>
  <c r="N336" i="25"/>
  <c r="I335" i="25"/>
  <c r="D335" i="25"/>
  <c r="I331" i="25"/>
  <c r="D331" i="25"/>
  <c r="I330" i="25"/>
  <c r="D330" i="25"/>
  <c r="I329" i="25"/>
  <c r="D329" i="25"/>
  <c r="I328" i="25"/>
  <c r="I336" i="25" s="1"/>
  <c r="D328" i="25"/>
  <c r="D336" i="25" s="1"/>
  <c r="I316" i="25"/>
  <c r="N315" i="25"/>
  <c r="N317" i="25" s="1"/>
  <c r="I312" i="25"/>
  <c r="I311" i="25"/>
  <c r="D311" i="25"/>
  <c r="I310" i="25"/>
  <c r="D310" i="25"/>
  <c r="I309" i="25"/>
  <c r="I317" i="25" s="1"/>
  <c r="D309" i="25"/>
  <c r="D317" i="25" s="1"/>
  <c r="H307" i="25"/>
  <c r="I299" i="25"/>
  <c r="N297" i="25"/>
  <c r="I296" i="25"/>
  <c r="N293" i="25"/>
  <c r="D293" i="25"/>
  <c r="D298" i="25" s="1"/>
  <c r="N292" i="25"/>
  <c r="I292" i="25"/>
  <c r="N291" i="25"/>
  <c r="I291" i="25"/>
  <c r="N290" i="25"/>
  <c r="N298" i="25" s="1"/>
  <c r="I290" i="25"/>
  <c r="I298" i="25" s="1"/>
  <c r="I278" i="25"/>
  <c r="D278" i="25"/>
  <c r="D277" i="25"/>
  <c r="D273" i="25"/>
  <c r="N272" i="25"/>
  <c r="I272" i="25"/>
  <c r="D272" i="25"/>
  <c r="N271" i="25"/>
  <c r="N279" i="25" s="1"/>
  <c r="I271" i="25"/>
  <c r="I279" i="25" s="1"/>
  <c r="D271" i="25"/>
  <c r="D279" i="25" s="1"/>
  <c r="N259" i="25"/>
  <c r="N255" i="25"/>
  <c r="I255" i="25"/>
  <c r="N254" i="25"/>
  <c r="I254" i="25"/>
  <c r="N253" i="25"/>
  <c r="I253" i="25"/>
  <c r="N252" i="25"/>
  <c r="N260" i="25" s="1"/>
  <c r="I252" i="25"/>
  <c r="I260" i="25" s="1"/>
  <c r="D252" i="25"/>
  <c r="D260" i="25" s="1"/>
  <c r="D242" i="25"/>
  <c r="I240" i="25"/>
  <c r="D240" i="25"/>
  <c r="D239" i="25"/>
  <c r="D237" i="25"/>
  <c r="N236" i="25"/>
  <c r="I236" i="25"/>
  <c r="I235" i="25"/>
  <c r="D235" i="25"/>
  <c r="N234" i="25"/>
  <c r="I234" i="25"/>
  <c r="N233" i="25"/>
  <c r="N241" i="25" s="1"/>
  <c r="I233" i="25"/>
  <c r="I241" i="25" s="1"/>
  <c r="D233" i="25"/>
  <c r="D241" i="25" s="1"/>
  <c r="D231" i="25"/>
  <c r="N222" i="25"/>
  <c r="I221" i="25"/>
  <c r="D221" i="25"/>
  <c r="I220" i="25"/>
  <c r="I217" i="25"/>
  <c r="I216" i="25"/>
  <c r="D216" i="25"/>
  <c r="I215" i="25"/>
  <c r="D215" i="25"/>
  <c r="I214" i="25"/>
  <c r="I222" i="25" s="1"/>
  <c r="D214" i="25"/>
  <c r="D222" i="25" s="1"/>
  <c r="C212" i="25"/>
  <c r="I204" i="25"/>
  <c r="N202" i="25"/>
  <c r="I202" i="25"/>
  <c r="I201" i="25"/>
  <c r="I199" i="25"/>
  <c r="N197" i="25"/>
  <c r="I197" i="25"/>
  <c r="D197" i="25"/>
  <c r="N196" i="25"/>
  <c r="I196" i="25"/>
  <c r="D196" i="25"/>
  <c r="N195" i="25"/>
  <c r="N203" i="25" s="1"/>
  <c r="I195" i="25"/>
  <c r="I203" i="25" s="1"/>
  <c r="D195" i="25"/>
  <c r="D203" i="25" s="1"/>
  <c r="C193" i="25"/>
  <c r="I185" i="25"/>
  <c r="I183" i="25"/>
  <c r="D183" i="25"/>
  <c r="I182" i="25"/>
  <c r="N179" i="25"/>
  <c r="N184" i="25" s="1"/>
  <c r="I178" i="25"/>
  <c r="D178" i="25"/>
  <c r="I177" i="25"/>
  <c r="D177" i="25"/>
  <c r="I176" i="25"/>
  <c r="I184" i="25" s="1"/>
  <c r="D176" i="25"/>
  <c r="D184" i="25" s="1"/>
  <c r="N164" i="25"/>
  <c r="N159" i="25"/>
  <c r="D159" i="25"/>
  <c r="N158" i="25"/>
  <c r="D158" i="25"/>
  <c r="N157" i="25"/>
  <c r="N165" i="25" s="1"/>
  <c r="D157" i="25"/>
  <c r="D165" i="25" s="1"/>
  <c r="I146" i="25"/>
  <c r="D146" i="25"/>
  <c r="N141" i="25"/>
  <c r="N140" i="25"/>
  <c r="N139" i="25"/>
  <c r="N138" i="25"/>
  <c r="N146" i="25" s="1"/>
  <c r="I127" i="25"/>
  <c r="D127" i="25"/>
  <c r="N126" i="25"/>
  <c r="N122" i="25"/>
  <c r="N121" i="25"/>
  <c r="N120" i="25"/>
  <c r="N119" i="25"/>
  <c r="N127" i="25" s="1"/>
  <c r="N107" i="25"/>
  <c r="I107" i="25"/>
  <c r="N106" i="25"/>
  <c r="N103" i="25"/>
  <c r="I103" i="25"/>
  <c r="D103" i="25"/>
  <c r="N102" i="25"/>
  <c r="D102" i="25"/>
  <c r="N101" i="25"/>
  <c r="I101" i="25"/>
  <c r="N100" i="25"/>
  <c r="N108" i="25" s="1"/>
  <c r="I100" i="25"/>
  <c r="I108" i="25" s="1"/>
  <c r="D100" i="25"/>
  <c r="D108" i="25" s="1"/>
  <c r="D90" i="25"/>
  <c r="N88" i="25"/>
  <c r="D88" i="25"/>
  <c r="D87" i="25"/>
  <c r="I84" i="25"/>
  <c r="N83" i="25"/>
  <c r="I83" i="25"/>
  <c r="D83" i="25"/>
  <c r="N82" i="25"/>
  <c r="I82" i="25"/>
  <c r="D82" i="25"/>
  <c r="N81" i="25"/>
  <c r="N89" i="25" s="1"/>
  <c r="I81" i="25"/>
  <c r="I89" i="25" s="1"/>
  <c r="D81" i="25"/>
  <c r="D89" i="25" s="1"/>
  <c r="I69" i="25"/>
  <c r="D69" i="25"/>
  <c r="N66" i="25"/>
  <c r="I65" i="25"/>
  <c r="D65" i="25"/>
  <c r="N64" i="25"/>
  <c r="I64" i="25"/>
  <c r="D64" i="25"/>
  <c r="N63" i="25"/>
  <c r="I63" i="25"/>
  <c r="D63" i="25"/>
  <c r="N62" i="25"/>
  <c r="N70" i="25" s="1"/>
  <c r="I62" i="25"/>
  <c r="I70" i="25" s="1"/>
  <c r="D62" i="25"/>
  <c r="D70" i="25" s="1"/>
  <c r="I52" i="25"/>
  <c r="D51" i="25"/>
  <c r="N50" i="25"/>
  <c r="N49" i="25"/>
  <c r="I49" i="25"/>
  <c r="N48" i="25"/>
  <c r="N45" i="25"/>
  <c r="I45" i="25"/>
  <c r="N44" i="25"/>
  <c r="I44" i="25"/>
  <c r="N43" i="25"/>
  <c r="N51" i="25" s="1"/>
  <c r="I43" i="25"/>
  <c r="I51" i="25" s="1"/>
  <c r="D34" i="25"/>
  <c r="N33" i="25"/>
  <c r="I33" i="25"/>
  <c r="N31" i="25"/>
  <c r="I31" i="25"/>
  <c r="D31" i="25"/>
  <c r="N26" i="25"/>
  <c r="I26" i="25"/>
  <c r="D26" i="25"/>
  <c r="N25" i="25"/>
  <c r="I25" i="25"/>
  <c r="D25" i="25"/>
  <c r="N24" i="25"/>
  <c r="N32" i="25" s="1"/>
  <c r="I24" i="25"/>
  <c r="I32" i="25" s="1"/>
  <c r="D24" i="25"/>
  <c r="D32" i="25" s="1"/>
  <c r="I15" i="25"/>
  <c r="N15" i="25" s="1"/>
  <c r="N14" i="25"/>
  <c r="N12" i="25"/>
  <c r="I12" i="25"/>
  <c r="D12" i="25"/>
  <c r="N11" i="25"/>
  <c r="N7" i="25"/>
  <c r="D7" i="25"/>
  <c r="N6" i="25"/>
  <c r="I6" i="25"/>
  <c r="D6" i="25"/>
  <c r="N5" i="25"/>
  <c r="N13" i="25" s="1"/>
  <c r="I5" i="25"/>
  <c r="I13" i="25" s="1"/>
  <c r="D5" i="25"/>
  <c r="D13" i="25" s="1"/>
  <c r="D71" i="24"/>
  <c r="D66" i="24"/>
  <c r="D375" i="24"/>
  <c r="D370" i="24"/>
  <c r="D204" i="24"/>
  <c r="D199" i="24"/>
  <c r="D242" i="24"/>
  <c r="D239" i="24"/>
  <c r="I318" i="24"/>
  <c r="I313" i="24"/>
  <c r="N185" i="24"/>
  <c r="N180" i="24"/>
  <c r="I356" i="24"/>
  <c r="I351" i="24"/>
  <c r="D299" i="24"/>
  <c r="D294" i="24"/>
  <c r="I337" i="24"/>
  <c r="I332" i="24"/>
  <c r="D337" i="24"/>
  <c r="D332" i="24"/>
  <c r="N299" i="24"/>
  <c r="N294" i="24"/>
  <c r="I299" i="24"/>
  <c r="I296" i="24"/>
  <c r="N280" i="24"/>
  <c r="N275" i="24"/>
  <c r="D280" i="24"/>
  <c r="D275" i="24"/>
  <c r="N261" i="24"/>
  <c r="N256" i="24"/>
  <c r="I261" i="24"/>
  <c r="I256" i="24"/>
  <c r="D261" i="24"/>
  <c r="D256" i="24"/>
  <c r="N242" i="24"/>
  <c r="N237" i="24"/>
  <c r="I242" i="24"/>
  <c r="I237" i="24"/>
  <c r="I223" i="24"/>
  <c r="I218" i="24"/>
  <c r="D185" i="24"/>
  <c r="D180" i="24"/>
  <c r="N166" i="24"/>
  <c r="N161" i="24"/>
  <c r="D166" i="24"/>
  <c r="D161" i="24"/>
  <c r="N147" i="24"/>
  <c r="N142" i="24"/>
  <c r="N128" i="24"/>
  <c r="N123" i="24"/>
  <c r="N109" i="24"/>
  <c r="N104" i="24"/>
  <c r="I109" i="24"/>
  <c r="I104" i="24"/>
  <c r="D109" i="24"/>
  <c r="D104" i="24"/>
  <c r="I90" i="24"/>
  <c r="I85" i="24"/>
  <c r="D87" i="24"/>
  <c r="D90" i="24"/>
  <c r="I71" i="24"/>
  <c r="I66" i="24"/>
  <c r="N47" i="24"/>
  <c r="N52" i="24"/>
  <c r="N129" i="29" l="1"/>
  <c r="N148" i="29" s="1"/>
  <c r="I129" i="29"/>
  <c r="I148" i="29" s="1"/>
  <c r="D129" i="29"/>
  <c r="D148" i="29" s="1"/>
  <c r="D167" i="29" s="1"/>
  <c r="I110" i="29"/>
  <c r="N110" i="29" s="1"/>
  <c r="I72" i="28"/>
  <c r="N72" i="28" s="1"/>
  <c r="N53" i="28"/>
  <c r="D110" i="28"/>
  <c r="H91" i="28"/>
  <c r="N91" i="28" s="1"/>
  <c r="D72" i="27"/>
  <c r="D91" i="27" s="1"/>
  <c r="I53" i="27"/>
  <c r="D53" i="25"/>
  <c r="I34" i="25"/>
  <c r="N34" i="25" s="1"/>
  <c r="N375" i="24"/>
  <c r="N373" i="24"/>
  <c r="I373" i="24"/>
  <c r="N369" i="24"/>
  <c r="D369" i="24"/>
  <c r="I368" i="24"/>
  <c r="D368" i="24"/>
  <c r="D367" i="24"/>
  <c r="N366" i="24"/>
  <c r="N374" i="24" s="1"/>
  <c r="I366" i="24"/>
  <c r="I374" i="24" s="1"/>
  <c r="D366" i="24"/>
  <c r="D374" i="24" s="1"/>
  <c r="D356" i="24"/>
  <c r="N355" i="24"/>
  <c r="I350" i="24"/>
  <c r="I348" i="24"/>
  <c r="I347" i="24"/>
  <c r="I355" i="24" s="1"/>
  <c r="D347" i="24"/>
  <c r="D355" i="24" s="1"/>
  <c r="N337" i="24"/>
  <c r="N336" i="24"/>
  <c r="I335" i="24"/>
  <c r="D335" i="24"/>
  <c r="I331" i="24"/>
  <c r="D331" i="24"/>
  <c r="I330" i="24"/>
  <c r="D330" i="24"/>
  <c r="I329" i="24"/>
  <c r="D329" i="24"/>
  <c r="I328" i="24"/>
  <c r="I336" i="24" s="1"/>
  <c r="D328" i="24"/>
  <c r="D336" i="24" s="1"/>
  <c r="I316" i="24"/>
  <c r="N315" i="24"/>
  <c r="N317" i="24" s="1"/>
  <c r="I312" i="24"/>
  <c r="I311" i="24"/>
  <c r="D311" i="24"/>
  <c r="I310" i="24"/>
  <c r="D310" i="24"/>
  <c r="I309" i="24"/>
  <c r="I317" i="24" s="1"/>
  <c r="D309" i="24"/>
  <c r="D317" i="24" s="1"/>
  <c r="H307" i="24"/>
  <c r="N297" i="24"/>
  <c r="N293" i="24"/>
  <c r="D293" i="24"/>
  <c r="D298" i="24" s="1"/>
  <c r="N292" i="24"/>
  <c r="I292" i="24"/>
  <c r="N291" i="24"/>
  <c r="I291" i="24"/>
  <c r="N290" i="24"/>
  <c r="N298" i="24" s="1"/>
  <c r="I290" i="24"/>
  <c r="I298" i="24" s="1"/>
  <c r="I278" i="24"/>
  <c r="D278" i="24"/>
  <c r="D277" i="24"/>
  <c r="D273" i="24"/>
  <c r="N272" i="24"/>
  <c r="I272" i="24"/>
  <c r="D272" i="24"/>
  <c r="N271" i="24"/>
  <c r="N279" i="24" s="1"/>
  <c r="I271" i="24"/>
  <c r="I279" i="24" s="1"/>
  <c r="D271" i="24"/>
  <c r="D279" i="24" s="1"/>
  <c r="N259" i="24"/>
  <c r="N255" i="24"/>
  <c r="I255" i="24"/>
  <c r="N254" i="24"/>
  <c r="I254" i="24"/>
  <c r="N253" i="24"/>
  <c r="I253" i="24"/>
  <c r="N252" i="24"/>
  <c r="N260" i="24" s="1"/>
  <c r="I252" i="24"/>
  <c r="I260" i="24" s="1"/>
  <c r="D252" i="24"/>
  <c r="D260" i="24" s="1"/>
  <c r="I240" i="24"/>
  <c r="D240" i="24"/>
  <c r="D237" i="24"/>
  <c r="N236" i="24"/>
  <c r="I236" i="24"/>
  <c r="I235" i="24"/>
  <c r="D235" i="24"/>
  <c r="N234" i="24"/>
  <c r="I234" i="24"/>
  <c r="N233" i="24"/>
  <c r="N241" i="24" s="1"/>
  <c r="I233" i="24"/>
  <c r="I241" i="24" s="1"/>
  <c r="D233" i="24"/>
  <c r="D241" i="24" s="1"/>
  <c r="D231" i="24"/>
  <c r="N222" i="24"/>
  <c r="I221" i="24"/>
  <c r="D221" i="24"/>
  <c r="I220" i="24"/>
  <c r="I217" i="24"/>
  <c r="I216" i="24"/>
  <c r="D216" i="24"/>
  <c r="I215" i="24"/>
  <c r="D215" i="24"/>
  <c r="I214" i="24"/>
  <c r="I222" i="24" s="1"/>
  <c r="D214" i="24"/>
  <c r="D222" i="24" s="1"/>
  <c r="C212" i="24"/>
  <c r="I204" i="24"/>
  <c r="N202" i="24"/>
  <c r="I202" i="24"/>
  <c r="I201" i="24"/>
  <c r="I199" i="24"/>
  <c r="N197" i="24"/>
  <c r="I197" i="24"/>
  <c r="D197" i="24"/>
  <c r="N196" i="24"/>
  <c r="I196" i="24"/>
  <c r="D196" i="24"/>
  <c r="N195" i="24"/>
  <c r="N203" i="24" s="1"/>
  <c r="I195" i="24"/>
  <c r="I203" i="24" s="1"/>
  <c r="D195" i="24"/>
  <c r="D203" i="24" s="1"/>
  <c r="C193" i="24"/>
  <c r="I185" i="24"/>
  <c r="I183" i="24"/>
  <c r="D183" i="24"/>
  <c r="I182" i="24"/>
  <c r="N179" i="24"/>
  <c r="N184" i="24" s="1"/>
  <c r="D179" i="24"/>
  <c r="I178" i="24"/>
  <c r="D178" i="24"/>
  <c r="I177" i="24"/>
  <c r="D177" i="24"/>
  <c r="I176" i="24"/>
  <c r="I184" i="24" s="1"/>
  <c r="D176" i="24"/>
  <c r="D184" i="24" s="1"/>
  <c r="N164" i="24"/>
  <c r="N159" i="24"/>
  <c r="D159" i="24"/>
  <c r="N158" i="24"/>
  <c r="D158" i="24"/>
  <c r="N157" i="24"/>
  <c r="N165" i="24" s="1"/>
  <c r="D157" i="24"/>
  <c r="D165" i="24" s="1"/>
  <c r="I146" i="24"/>
  <c r="D146" i="24"/>
  <c r="N141" i="24"/>
  <c r="N140" i="24"/>
  <c r="N139" i="24"/>
  <c r="N138" i="24"/>
  <c r="N146" i="24" s="1"/>
  <c r="I127" i="24"/>
  <c r="D127" i="24"/>
  <c r="N126" i="24"/>
  <c r="N122" i="24"/>
  <c r="N121" i="24"/>
  <c r="N120" i="24"/>
  <c r="N119" i="24"/>
  <c r="N127" i="24" s="1"/>
  <c r="N107" i="24"/>
  <c r="I107" i="24"/>
  <c r="N106" i="24"/>
  <c r="N103" i="24"/>
  <c r="I103" i="24"/>
  <c r="D103" i="24"/>
  <c r="N102" i="24"/>
  <c r="D102" i="24"/>
  <c r="N101" i="24"/>
  <c r="I101" i="24"/>
  <c r="N100" i="24"/>
  <c r="N108" i="24" s="1"/>
  <c r="I100" i="24"/>
  <c r="I108" i="24" s="1"/>
  <c r="D100" i="24"/>
  <c r="D108" i="24" s="1"/>
  <c r="N88" i="24"/>
  <c r="D88" i="24"/>
  <c r="I87" i="24"/>
  <c r="I84" i="24"/>
  <c r="N83" i="24"/>
  <c r="I83" i="24"/>
  <c r="D83" i="24"/>
  <c r="N82" i="24"/>
  <c r="I82" i="24"/>
  <c r="D82" i="24"/>
  <c r="N81" i="24"/>
  <c r="N89" i="24" s="1"/>
  <c r="I81" i="24"/>
  <c r="I89" i="24" s="1"/>
  <c r="D81" i="24"/>
  <c r="D89" i="24" s="1"/>
  <c r="I69" i="24"/>
  <c r="D69" i="24"/>
  <c r="N66" i="24"/>
  <c r="I65" i="24"/>
  <c r="D65" i="24"/>
  <c r="N64" i="24"/>
  <c r="I64" i="24"/>
  <c r="D64" i="24"/>
  <c r="N63" i="24"/>
  <c r="I63" i="24"/>
  <c r="D63" i="24"/>
  <c r="N62" i="24"/>
  <c r="N70" i="24" s="1"/>
  <c r="I62" i="24"/>
  <c r="I70" i="24" s="1"/>
  <c r="D62" i="24"/>
  <c r="D70" i="24" s="1"/>
  <c r="I52" i="24"/>
  <c r="D51" i="24"/>
  <c r="N50" i="24"/>
  <c r="I50" i="24"/>
  <c r="N49" i="24"/>
  <c r="I49" i="24"/>
  <c r="N48" i="24"/>
  <c r="N46" i="24"/>
  <c r="N45" i="24"/>
  <c r="I45" i="24"/>
  <c r="N44" i="24"/>
  <c r="I44" i="24"/>
  <c r="N43" i="24"/>
  <c r="N51" i="24" s="1"/>
  <c r="I43" i="24"/>
  <c r="I51" i="24" s="1"/>
  <c r="D34" i="24"/>
  <c r="N33" i="24"/>
  <c r="I33" i="24"/>
  <c r="N31" i="24"/>
  <c r="I31" i="24"/>
  <c r="D31" i="24"/>
  <c r="N26" i="24"/>
  <c r="I26" i="24"/>
  <c r="D26" i="24"/>
  <c r="N25" i="24"/>
  <c r="I25" i="24"/>
  <c r="D25" i="24"/>
  <c r="N24" i="24"/>
  <c r="N32" i="24" s="1"/>
  <c r="I24" i="24"/>
  <c r="I32" i="24" s="1"/>
  <c r="D24" i="24"/>
  <c r="D32" i="24" s="1"/>
  <c r="I15" i="24"/>
  <c r="N15" i="24" s="1"/>
  <c r="N14" i="24"/>
  <c r="N12" i="24"/>
  <c r="I12" i="24"/>
  <c r="D12" i="24"/>
  <c r="N11" i="24"/>
  <c r="N7" i="24"/>
  <c r="D7" i="24"/>
  <c r="N6" i="24"/>
  <c r="I6" i="24"/>
  <c r="D6" i="24"/>
  <c r="N5" i="24"/>
  <c r="N13" i="24" s="1"/>
  <c r="I5" i="24"/>
  <c r="I13" i="24" s="1"/>
  <c r="D5" i="24"/>
  <c r="D13" i="24" s="1"/>
  <c r="N376" i="29" l="1"/>
  <c r="I376" i="29"/>
  <c r="D357" i="29"/>
  <c r="I357" i="29" s="1"/>
  <c r="I338" i="29"/>
  <c r="L338" i="29" s="1"/>
  <c r="D338" i="29"/>
  <c r="N319" i="29"/>
  <c r="I319" i="29"/>
  <c r="N300" i="29"/>
  <c r="N186" i="29"/>
  <c r="I186" i="29"/>
  <c r="D186" i="29"/>
  <c r="D205" i="29" s="1"/>
  <c r="I167" i="29"/>
  <c r="N167" i="29" s="1"/>
  <c r="N129" i="28"/>
  <c r="N148" i="28" s="1"/>
  <c r="I129" i="28"/>
  <c r="I148" i="28" s="1"/>
  <c r="D129" i="28"/>
  <c r="D148" i="28" s="1"/>
  <c r="D167" i="28" s="1"/>
  <c r="I110" i="28"/>
  <c r="N110" i="28" s="1"/>
  <c r="I72" i="27"/>
  <c r="N72" i="27" s="1"/>
  <c r="N53" i="27"/>
  <c r="D110" i="27"/>
  <c r="H91" i="27"/>
  <c r="N91" i="27" s="1"/>
  <c r="D72" i="25"/>
  <c r="D91" i="25" s="1"/>
  <c r="I53" i="25"/>
  <c r="D53" i="24"/>
  <c r="I34" i="24"/>
  <c r="N34" i="24" s="1"/>
  <c r="D224" i="29" l="1"/>
  <c r="I205" i="29"/>
  <c r="N205" i="29" s="1"/>
  <c r="N376" i="28"/>
  <c r="I376" i="28"/>
  <c r="D357" i="28"/>
  <c r="I357" i="28" s="1"/>
  <c r="I338" i="28"/>
  <c r="L338" i="28" s="1"/>
  <c r="D338" i="28"/>
  <c r="N319" i="28"/>
  <c r="I319" i="28"/>
  <c r="N300" i="28"/>
  <c r="N186" i="28"/>
  <c r="I186" i="28"/>
  <c r="D186" i="28"/>
  <c r="D205" i="28" s="1"/>
  <c r="I167" i="28"/>
  <c r="N167" i="28" s="1"/>
  <c r="N129" i="27"/>
  <c r="N148" i="27" s="1"/>
  <c r="I129" i="27"/>
  <c r="I148" i="27" s="1"/>
  <c r="D129" i="27"/>
  <c r="D148" i="27" s="1"/>
  <c r="D167" i="27" s="1"/>
  <c r="I110" i="27"/>
  <c r="N110" i="27" s="1"/>
  <c r="I72" i="25"/>
  <c r="N72" i="25" s="1"/>
  <c r="N53" i="25"/>
  <c r="D110" i="25"/>
  <c r="H91" i="25"/>
  <c r="N91" i="25" s="1"/>
  <c r="D72" i="24"/>
  <c r="D91" i="24" s="1"/>
  <c r="I53" i="24"/>
  <c r="D243" i="29" l="1"/>
  <c r="I224" i="29"/>
  <c r="N224" i="29" s="1"/>
  <c r="D224" i="28"/>
  <c r="I205" i="28"/>
  <c r="N205" i="28" s="1"/>
  <c r="N376" i="27"/>
  <c r="I376" i="27"/>
  <c r="D357" i="27"/>
  <c r="I357" i="27" s="1"/>
  <c r="I338" i="27"/>
  <c r="L338" i="27" s="1"/>
  <c r="D338" i="27"/>
  <c r="N319" i="27"/>
  <c r="I319" i="27"/>
  <c r="N300" i="27"/>
  <c r="N186" i="27"/>
  <c r="I186" i="27"/>
  <c r="D186" i="27"/>
  <c r="D205" i="27" s="1"/>
  <c r="I167" i="27"/>
  <c r="N167" i="27" s="1"/>
  <c r="N129" i="25"/>
  <c r="N148" i="25" s="1"/>
  <c r="I129" i="25"/>
  <c r="I148" i="25" s="1"/>
  <c r="D129" i="25"/>
  <c r="D148" i="25" s="1"/>
  <c r="D167" i="25" s="1"/>
  <c r="I110" i="25"/>
  <c r="N110" i="25" s="1"/>
  <c r="I72" i="24"/>
  <c r="N72" i="24" s="1"/>
  <c r="N53" i="24"/>
  <c r="D110" i="24"/>
  <c r="H91" i="24"/>
  <c r="N91" i="24" s="1"/>
  <c r="D262" i="29" l="1"/>
  <c r="I243" i="29"/>
  <c r="N243" i="29" s="1"/>
  <c r="D243" i="28"/>
  <c r="I224" i="28"/>
  <c r="N224" i="28" s="1"/>
  <c r="D224" i="27"/>
  <c r="I205" i="27"/>
  <c r="N205" i="27" s="1"/>
  <c r="N376" i="25"/>
  <c r="I376" i="25"/>
  <c r="D357" i="25"/>
  <c r="I357" i="25" s="1"/>
  <c r="I338" i="25"/>
  <c r="L338" i="25" s="1"/>
  <c r="D338" i="25"/>
  <c r="N319" i="25"/>
  <c r="I319" i="25"/>
  <c r="N300" i="25"/>
  <c r="N186" i="25"/>
  <c r="I186" i="25"/>
  <c r="D186" i="25"/>
  <c r="D205" i="25" s="1"/>
  <c r="I167" i="25"/>
  <c r="N167" i="25" s="1"/>
  <c r="N129" i="24"/>
  <c r="N148" i="24" s="1"/>
  <c r="I129" i="24"/>
  <c r="I148" i="24" s="1"/>
  <c r="D129" i="24"/>
  <c r="D148" i="24" s="1"/>
  <c r="D167" i="24" s="1"/>
  <c r="I110" i="24"/>
  <c r="N110" i="24" s="1"/>
  <c r="D281" i="29" l="1"/>
  <c r="I262" i="29"/>
  <c r="N262" i="29" s="1"/>
  <c r="D262" i="28"/>
  <c r="I243" i="28"/>
  <c r="N243" i="28" s="1"/>
  <c r="D243" i="27"/>
  <c r="I224" i="27"/>
  <c r="N224" i="27" s="1"/>
  <c r="D224" i="25"/>
  <c r="I205" i="25"/>
  <c r="N205" i="25" s="1"/>
  <c r="N376" i="24"/>
  <c r="I376" i="24"/>
  <c r="D357" i="24"/>
  <c r="I357" i="24" s="1"/>
  <c r="I338" i="24"/>
  <c r="L338" i="24" s="1"/>
  <c r="D338" i="24"/>
  <c r="N319" i="24"/>
  <c r="I319" i="24"/>
  <c r="N300" i="24"/>
  <c r="N186" i="24"/>
  <c r="I186" i="24"/>
  <c r="D186" i="24"/>
  <c r="D205" i="24" s="1"/>
  <c r="I167" i="24"/>
  <c r="N167" i="24" s="1"/>
  <c r="D300" i="29" l="1"/>
  <c r="I281" i="29"/>
  <c r="D281" i="28"/>
  <c r="I262" i="28"/>
  <c r="N262" i="28" s="1"/>
  <c r="D262" i="27"/>
  <c r="I243" i="27"/>
  <c r="N243" i="27" s="1"/>
  <c r="D243" i="25"/>
  <c r="I224" i="25"/>
  <c r="N224" i="25" s="1"/>
  <c r="D224" i="24"/>
  <c r="I205" i="24"/>
  <c r="N205" i="24" s="1"/>
  <c r="I300" i="29" l="1"/>
  <c r="D319" i="29" s="1"/>
  <c r="N281" i="29"/>
  <c r="D300" i="28"/>
  <c r="I281" i="28"/>
  <c r="D281" i="27"/>
  <c r="I262" i="27"/>
  <c r="N262" i="27" s="1"/>
  <c r="D262" i="25"/>
  <c r="I243" i="25"/>
  <c r="N243" i="25" s="1"/>
  <c r="D243" i="24"/>
  <c r="I224" i="24"/>
  <c r="N224" i="24" s="1"/>
  <c r="I300" i="28" l="1"/>
  <c r="D319" i="28" s="1"/>
  <c r="N281" i="28"/>
  <c r="D300" i="27"/>
  <c r="I281" i="27"/>
  <c r="D281" i="25"/>
  <c r="I262" i="25"/>
  <c r="N262" i="25" s="1"/>
  <c r="D262" i="24"/>
  <c r="I243" i="24"/>
  <c r="N243" i="24" s="1"/>
  <c r="I300" i="27" l="1"/>
  <c r="D319" i="27" s="1"/>
  <c r="N281" i="27"/>
  <c r="D300" i="25"/>
  <c r="I281" i="25"/>
  <c r="D281" i="24"/>
  <c r="I262" i="24"/>
  <c r="N262" i="24" s="1"/>
  <c r="I300" i="25" l="1"/>
  <c r="D319" i="25" s="1"/>
  <c r="N281" i="25"/>
  <c r="D300" i="24"/>
  <c r="I281" i="24"/>
  <c r="I300" i="24" l="1"/>
  <c r="D319" i="24" s="1"/>
  <c r="N281" i="24"/>
</calcChain>
</file>

<file path=xl/sharedStrings.xml><?xml version="1.0" encoding="utf-8"?>
<sst xmlns="http://schemas.openxmlformats.org/spreadsheetml/2006/main" count="8190" uniqueCount="93">
  <si>
    <t>KOPERASI SEJAHTERA</t>
  </si>
  <si>
    <t>Nama/ No Angt.</t>
  </si>
  <si>
    <t>:</t>
  </si>
  <si>
    <t>NISWATUL A</t>
  </si>
  <si>
    <t xml:space="preserve">Rincian Potongan </t>
  </si>
  <si>
    <t>1. Simp.Wajib</t>
  </si>
  <si>
    <t>2.Simp. Suka Rela</t>
  </si>
  <si>
    <t>3. Simp. Hari Raya</t>
  </si>
  <si>
    <t>4. Angsuran ke</t>
  </si>
  <si>
    <t>5. Jasa 1,5%</t>
  </si>
  <si>
    <t>6. Angs.sebrak ke</t>
  </si>
  <si>
    <t>7. Jasa sebrak 2%</t>
  </si>
  <si>
    <t>8. Simp.Rekreasi</t>
  </si>
  <si>
    <t>Jumlah</t>
  </si>
  <si>
    <t>Sisa Pinjaman</t>
  </si>
  <si>
    <t>Bendahara,</t>
  </si>
  <si>
    <t>SULASTRI</t>
  </si>
  <si>
    <t>WIWIK DEWI</t>
  </si>
  <si>
    <t>SYAMSUL ARIFIN</t>
  </si>
  <si>
    <t>SULASTRI, S.Pd</t>
  </si>
  <si>
    <t>HANIK S</t>
  </si>
  <si>
    <t>GUNAWAN, S.Pd</t>
  </si>
  <si>
    <t>PRASTOPO, S.Pd</t>
  </si>
  <si>
    <t>3 Simp. Hari Raya</t>
  </si>
  <si>
    <t>SUGENG H, S.Pd</t>
  </si>
  <si>
    <t>ANGGRAENI B, S.Pd</t>
  </si>
  <si>
    <t>SUYANTO, S.Pd</t>
  </si>
  <si>
    <t>ARINA ASWIN, S.Pd</t>
  </si>
  <si>
    <t>RINI WIDYA P</t>
  </si>
  <si>
    <t>RAHAYU SAPTO</t>
  </si>
  <si>
    <t>YULAIKAH, S.Pd</t>
  </si>
  <si>
    <t>NANIK HIDAYATI</t>
  </si>
  <si>
    <t>JOHAN SYAH, S,Pd</t>
  </si>
  <si>
    <t>IM. MUJAHID</t>
  </si>
  <si>
    <t>EVA KUSUMA DEWI</t>
  </si>
  <si>
    <t>MINTORINI, S.Pd</t>
  </si>
  <si>
    <t>SUHAIBUDIN, S.T</t>
  </si>
  <si>
    <t>SUGIONO</t>
  </si>
  <si>
    <t>BASUKI</t>
  </si>
  <si>
    <t>SAROFAH</t>
  </si>
  <si>
    <t>MASHURI</t>
  </si>
  <si>
    <t>JUNAIDAH</t>
  </si>
  <si>
    <t>LATIF GAZALI</t>
  </si>
  <si>
    <t>REVALDO</t>
  </si>
  <si>
    <t>DIAN RIFQIL</t>
  </si>
  <si>
    <t>ROHMADIANI R</t>
  </si>
  <si>
    <t>ZAENAL ARIFIN</t>
  </si>
  <si>
    <t>Rr. TRI WIJAYANTI</t>
  </si>
  <si>
    <t>SUSANTI</t>
  </si>
  <si>
    <t>1 Simp.Wajib</t>
  </si>
  <si>
    <t>KARUNIA R</t>
  </si>
  <si>
    <t>SUGIANTO</t>
  </si>
  <si>
    <t>Rincian potongan</t>
  </si>
  <si>
    <t>1. Simp. Wajib</t>
  </si>
  <si>
    <t>2. Simp. Sukarela</t>
  </si>
  <si>
    <t>3. Simp. Hari raya</t>
  </si>
  <si>
    <t>5. Jasa 1,5 %</t>
  </si>
  <si>
    <t>6. Ang. Sebrak ke</t>
  </si>
  <si>
    <t>7. Jasa sebrak 2 %</t>
  </si>
  <si>
    <t>8. Simp. Rekreasi</t>
  </si>
  <si>
    <t>PUTRI RAFLESSIA</t>
  </si>
  <si>
    <t>SITI NUNIK</t>
  </si>
  <si>
    <t>7. Jasa sebrak 2 &amp;</t>
  </si>
  <si>
    <t>SATRIA</t>
  </si>
  <si>
    <t>ADITYA</t>
  </si>
  <si>
    <t>1. Simp.  Wajib</t>
  </si>
  <si>
    <t>1. Simp.Wajib,Pokok</t>
  </si>
  <si>
    <t>M.TAMZIS</t>
  </si>
  <si>
    <t>DEWI ASTUTIK</t>
  </si>
  <si>
    <t>FITRIANI</t>
  </si>
  <si>
    <t>SITI AMIN</t>
  </si>
  <si>
    <t>SITI NURASIH</t>
  </si>
  <si>
    <t>INDAH LESTARI</t>
  </si>
  <si>
    <t>QORINA AL AULIA</t>
  </si>
  <si>
    <t>FHITA MUSTIKASARI</t>
  </si>
  <si>
    <t>ANGGUN</t>
  </si>
  <si>
    <t>MAQDUM</t>
  </si>
  <si>
    <t>KRISNADI</t>
  </si>
  <si>
    <t>WAHYU SRI H</t>
  </si>
  <si>
    <t>ANDI NURUSSOFI</t>
  </si>
  <si>
    <t>NOUFARA</t>
  </si>
  <si>
    <t>LUTFI RIZKITA</t>
  </si>
  <si>
    <t xml:space="preserve">1. Simp.Wajib </t>
  </si>
  <si>
    <t>1. Simp.Wajib +Simp.Pokok</t>
  </si>
  <si>
    <t>Grogol,.......... 2025</t>
  </si>
  <si>
    <t>Grogol, 01 Desember 2025</t>
  </si>
  <si>
    <t>Grogol, 02 Januari 2026</t>
  </si>
  <si>
    <t>Grogol, 02 Maret  2026</t>
  </si>
  <si>
    <t>Grogol, 02 Maret 2026</t>
  </si>
  <si>
    <t>Grogol, 01 April  2026</t>
  </si>
  <si>
    <t>Grogol, 02 Mei   2026</t>
  </si>
  <si>
    <t xml:space="preserve">: </t>
  </si>
  <si>
    <t>ASRINING KUSUMA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</si>
</sst>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#,##0_ ;\-#,##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Segoe UI"/>
      <family val="2"/>
    </font>
    <font>
      <sz val="10"/>
      <name val="Segoe UI"/>
      <family val="2"/>
    </font>
    <font>
      <sz val="10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5" xfId="0" applyFont="1" applyBorder="1" applyAlignment="1">
      <alignment horizontal="center"/>
    </xf>
    <xf numFmtId="3" fontId="3" fillId="0" borderId="0" xfId="0" applyNumberFormat="1" applyFont="1"/>
    <xf numFmtId="3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3" fontId="3" fillId="0" borderId="6" xfId="0" quotePrefix="1" applyNumberFormat="1" applyFont="1" applyBorder="1"/>
    <xf numFmtId="41" fontId="4" fillId="0" borderId="6" xfId="1" applyFont="1" applyBorder="1" applyAlignment="1">
      <alignment horizontal="center"/>
    </xf>
    <xf numFmtId="41" fontId="5" fillId="0" borderId="6" xfId="1" quotePrefix="1" applyFont="1" applyBorder="1" applyAlignment="1">
      <alignment horizontal="center"/>
    </xf>
    <xf numFmtId="0" fontId="2" fillId="0" borderId="4" xfId="0" applyFont="1" applyBorder="1"/>
    <xf numFmtId="3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/>
    <xf numFmtId="0" fontId="3" fillId="0" borderId="8" xfId="0" applyFont="1" applyBorder="1"/>
    <xf numFmtId="0" fontId="2" fillId="0" borderId="8" xfId="0" applyFont="1" applyBorder="1" applyAlignment="1">
      <alignment horizontal="center"/>
    </xf>
    <xf numFmtId="0" fontId="3" fillId="0" borderId="9" xfId="0" applyFont="1" applyBorder="1"/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0" fillId="0" borderId="6" xfId="0" applyNumberFormat="1" applyBorder="1" applyAlignment="1">
      <alignment horizontal="right"/>
    </xf>
    <xf numFmtId="3" fontId="2" fillId="0" borderId="0" xfId="0" quotePrefix="1" applyNumberFormat="1" applyFont="1" applyAlignment="1">
      <alignment horizontal="right"/>
    </xf>
    <xf numFmtId="3" fontId="3" fillId="0" borderId="0" xfId="0" quotePrefix="1" applyNumberFormat="1" applyFont="1" applyAlignment="1">
      <alignment horizontal="right"/>
    </xf>
    <xf numFmtId="41" fontId="4" fillId="0" borderId="6" xfId="1" quotePrefix="1" applyFont="1" applyBorder="1" applyAlignment="1">
      <alignment horizontal="center"/>
    </xf>
    <xf numFmtId="41" fontId="5" fillId="0" borderId="6" xfId="1" applyFont="1" applyBorder="1" applyAlignment="1">
      <alignment horizontal="center"/>
    </xf>
    <xf numFmtId="3" fontId="2" fillId="0" borderId="0" xfId="0" applyNumberFormat="1" applyFont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3" fillId="0" borderId="6" xfId="0" applyNumberFormat="1" applyFont="1" applyBorder="1" applyAlignment="1">
      <alignment horizontal="right"/>
    </xf>
    <xf numFmtId="3" fontId="3" fillId="0" borderId="6" xfId="0" quotePrefix="1" applyNumberFormat="1" applyFont="1" applyBorder="1" applyAlignment="1">
      <alignment horizontal="right"/>
    </xf>
    <xf numFmtId="3" fontId="3" fillId="0" borderId="0" xfId="0" quotePrefix="1" applyNumberFormat="1" applyFont="1"/>
    <xf numFmtId="0" fontId="2" fillId="0" borderId="5" xfId="0" applyFont="1" applyBorder="1"/>
    <xf numFmtId="164" fontId="3" fillId="0" borderId="0" xfId="0" quotePrefix="1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0" fontId="3" fillId="0" borderId="11" xfId="0" applyFont="1" applyBorder="1"/>
    <xf numFmtId="0" fontId="2" fillId="0" borderId="8" xfId="0" applyFont="1" applyBorder="1"/>
    <xf numFmtId="3" fontId="2" fillId="0" borderId="12" xfId="0" applyNumberFormat="1" applyFont="1" applyBorder="1" applyAlignment="1">
      <alignment horizontal="right"/>
    </xf>
    <xf numFmtId="41" fontId="5" fillId="0" borderId="0" xfId="1" applyFont="1" applyBorder="1" applyAlignment="1">
      <alignment horizontal="center"/>
    </xf>
    <xf numFmtId="41" fontId="4" fillId="0" borderId="11" xfId="1" applyFont="1" applyBorder="1" applyAlignment="1">
      <alignment horizontal="center"/>
    </xf>
    <xf numFmtId="0" fontId="3" fillId="0" borderId="6" xfId="0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3" fillId="0" borderId="6" xfId="0" applyFont="1" applyBorder="1"/>
    <xf numFmtId="165" fontId="3" fillId="0" borderId="6" xfId="0" applyNumberFormat="1" applyFont="1" applyBorder="1"/>
    <xf numFmtId="3" fontId="3" fillId="0" borderId="6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9" Type="http://schemas.openxmlformats.org/officeDocument/2006/relationships/externalLink" Target="externalLinks/externalLink34.xml"/><Relationship Id="rId21" Type="http://schemas.openxmlformats.org/officeDocument/2006/relationships/externalLink" Target="externalLinks/externalLink16.xml"/><Relationship Id="rId34" Type="http://schemas.openxmlformats.org/officeDocument/2006/relationships/externalLink" Target="externalLinks/externalLink29.xml"/><Relationship Id="rId42" Type="http://schemas.openxmlformats.org/officeDocument/2006/relationships/externalLink" Target="externalLinks/externalLink37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4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32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2.xml"/><Relationship Id="rId40" Type="http://schemas.openxmlformats.org/officeDocument/2006/relationships/externalLink" Target="externalLinks/externalLink35.xml"/><Relationship Id="rId45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3.xml"/><Relationship Id="rId36" Type="http://schemas.openxmlformats.org/officeDocument/2006/relationships/externalLink" Target="externalLinks/externalLink31.xml"/><Relationship Id="rId49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externalLink" Target="externalLinks/externalLink26.xml"/><Relationship Id="rId44" Type="http://schemas.openxmlformats.org/officeDocument/2006/relationships/externalLink" Target="externalLinks/externalLink39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30.xml"/><Relationship Id="rId43" Type="http://schemas.openxmlformats.org/officeDocument/2006/relationships/externalLink" Target="externalLinks/externalLink38.xml"/><Relationship Id="rId48" Type="http://schemas.openxmlformats.org/officeDocument/2006/relationships/styles" Target="styles.xml"/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8.xml"/><Relationship Id="rId38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41.xml"/><Relationship Id="rId20" Type="http://schemas.openxmlformats.org/officeDocument/2006/relationships/externalLink" Target="externalLinks/externalLink15.xml"/><Relationship Id="rId41" Type="http://schemas.openxmlformats.org/officeDocument/2006/relationships/externalLink" Target="externalLinks/externalLink3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7E2A482-9B06-468F-B8F0-9628DE60E241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180975</xdr:rowOff>
    </xdr:from>
    <xdr:to>
      <xdr:col>9</xdr:col>
      <xdr:colOff>0</xdr:colOff>
      <xdr:row>12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8EC5444-58E5-453D-B0C3-07B117C8B1D9}"/>
            </a:ext>
          </a:extLst>
        </xdr:cNvPr>
        <xdr:cNvCxnSpPr/>
      </xdr:nvCxnSpPr>
      <xdr:spPr>
        <a:xfrm flipV="1">
          <a:off x="5076825" y="227647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D3C11E4-9500-4440-8775-BD3F1D519866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1009650</xdr:colOff>
      <xdr:row>31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5CEE9D7-4F18-42A6-A64C-1F2DF6321C63}"/>
            </a:ext>
          </a:extLst>
        </xdr:cNvPr>
        <xdr:cNvCxnSpPr/>
      </xdr:nvCxnSpPr>
      <xdr:spPr>
        <a:xfrm flipV="1">
          <a:off x="1657350" y="5915025"/>
          <a:ext cx="1009650" cy="952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08F2335-D698-4585-8A9A-2BE7335CDE96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1DEE1DD4-9C4F-4A37-A521-839AB293D9A4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3</xdr:col>
      <xdr:colOff>1009650</xdr:colOff>
      <xdr:row>50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D8341F4-3331-43E6-BD45-91E4398EB4F7}"/>
            </a:ext>
          </a:extLst>
        </xdr:cNvPr>
        <xdr:cNvCxnSpPr/>
      </xdr:nvCxnSpPr>
      <xdr:spPr>
        <a:xfrm>
          <a:off x="1657350" y="9544050"/>
          <a:ext cx="10096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9581392-0B2A-48D3-99F3-2F3EA36786C3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633A387-B09D-4D46-83A5-5C01C62A7E5D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5B1EEE0-1A68-4B0A-ACBE-795244F966A4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1701A5A-5420-439B-BE4C-0B526788FDC7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BD6C9D95-C244-4CC5-9097-63C12F1B97D8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5A7F592-A1CE-4389-9925-933159B59F1D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E22BA6A-E5FF-46E2-9A6E-928EA1EB72A3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06248FF-F8D6-427D-89F4-CBEC803D7949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8095E2A-51AA-4A1C-9984-36295C5A00E1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8CC762D-766F-4CFE-B3DE-5CF4848CC42D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38100</xdr:colOff>
      <xdr:row>126</xdr:row>
      <xdr:rowOff>19050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1AED7FF-5137-4D1B-BA1A-8515C7122196}"/>
            </a:ext>
          </a:extLst>
        </xdr:cNvPr>
        <xdr:cNvCxnSpPr/>
      </xdr:nvCxnSpPr>
      <xdr:spPr>
        <a:xfrm>
          <a:off x="1657350" y="24079200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FD78F639-3A60-4453-A133-2D3466D4B424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12A446B-B240-48D9-9EE6-47B49BEAA7FE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8581</xdr:rowOff>
    </xdr:from>
    <xdr:to>
      <xdr:col>3</xdr:col>
      <xdr:colOff>1390136</xdr:colOff>
      <xdr:row>145</xdr:row>
      <xdr:rowOff>9526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D37F5E0-36E7-447F-B01A-989D36E698EB}"/>
            </a:ext>
          </a:extLst>
        </xdr:cNvPr>
        <xdr:cNvCxnSpPr/>
      </xdr:nvCxnSpPr>
      <xdr:spPr>
        <a:xfrm flipV="1">
          <a:off x="1657350" y="27716806"/>
          <a:ext cx="1313936" cy="94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15C16C64-5415-4565-870C-41F613649C1E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F51AA24-634C-43B1-89E6-1348EA077A95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E950CDC-259D-4914-B8CC-EBBAC01EFD49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0498506C-F9FA-41D6-B9F5-E3F09D3C7AD3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1427B1EE-A89D-42A1-9A03-CA81F17CF761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C5679DDC-19B0-4ACE-8993-035171D0DD99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36B87CA-91EE-45C3-AC45-D95A08A5ED91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32A72516-548B-4A6D-B878-D1E8BF0D8A7B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202</xdr:row>
      <xdr:rowOff>0</xdr:rowOff>
    </xdr:from>
    <xdr:to>
      <xdr:col>3</xdr:col>
      <xdr:colOff>1402773</xdr:colOff>
      <xdr:row>202</xdr:row>
      <xdr:rowOff>17318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BB1C8CC-678B-4978-9699-4D204F3BCAC5}"/>
            </a:ext>
          </a:extLst>
        </xdr:cNvPr>
        <xdr:cNvCxnSpPr/>
      </xdr:nvCxnSpPr>
      <xdr:spPr>
        <a:xfrm>
          <a:off x="1657350" y="38595300"/>
          <a:ext cx="131704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E62FD65C-29F7-4382-8D97-0327CE0D7ED1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E348EC26-E289-4869-901A-CEDC26C72FA4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3</xdr:col>
      <xdr:colOff>1000125</xdr:colOff>
      <xdr:row>221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2A10F4D-D972-42FF-BF80-606C97663698}"/>
            </a:ext>
          </a:extLst>
        </xdr:cNvPr>
        <xdr:cNvCxnSpPr/>
      </xdr:nvCxnSpPr>
      <xdr:spPr>
        <a:xfrm>
          <a:off x="1657350" y="42224325"/>
          <a:ext cx="10001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7AC8388-6661-47B0-A165-EE1ABC28363C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5713ACA6-772C-4E7E-96E0-B122109BF8A5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0B6C2CF-353F-42E6-8B03-75B0281A267B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FC4B62D6-FB96-4D05-B11F-BF45FA262DBD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5ED7ADD1-09E8-44B1-A6E8-75585786C77A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E5CAFE4-E58C-40CF-AE92-8E16D6DB3950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04BF60B-DDFA-4839-B7A1-F2CBA0DB9A9D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278</xdr:row>
      <xdr:rowOff>0</xdr:rowOff>
    </xdr:from>
    <xdr:to>
      <xdr:col>14</xdr:col>
      <xdr:colOff>266700</xdr:colOff>
      <xdr:row>278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CE7BE74E-E35D-46B3-9EEF-6A6612FFFCBA}"/>
            </a:ext>
          </a:extLst>
        </xdr:cNvPr>
        <xdr:cNvCxnSpPr/>
      </xdr:nvCxnSpPr>
      <xdr:spPr>
        <a:xfrm>
          <a:off x="8448675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297</xdr:row>
      <xdr:rowOff>0</xdr:rowOff>
    </xdr:from>
    <xdr:to>
      <xdr:col>4</xdr:col>
      <xdr:colOff>57150</xdr:colOff>
      <xdr:row>297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358EDA29-9B08-4AF7-B538-43799AB06AC8}"/>
            </a:ext>
          </a:extLst>
        </xdr:cNvPr>
        <xdr:cNvCxnSpPr/>
      </xdr:nvCxnSpPr>
      <xdr:spPr>
        <a:xfrm>
          <a:off x="1657350" y="56740425"/>
          <a:ext cx="13716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AD4B88ED-29F8-45CF-A472-9846C4B0FEEC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A99D3F84-42C2-4CEB-9FA4-2566CC0D72A3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316</xdr:row>
      <xdr:rowOff>9526</xdr:rowOff>
    </xdr:from>
    <xdr:to>
      <xdr:col>4</xdr:col>
      <xdr:colOff>0</xdr:colOff>
      <xdr:row>316</xdr:row>
      <xdr:rowOff>19050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C7BDE7CA-6E01-4BA7-AB9E-FCFB9D6F25FA}"/>
            </a:ext>
          </a:extLst>
        </xdr:cNvPr>
        <xdr:cNvCxnSpPr/>
      </xdr:nvCxnSpPr>
      <xdr:spPr>
        <a:xfrm>
          <a:off x="1657350" y="60378976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0</xdr:rowOff>
    </xdr:from>
    <xdr:to>
      <xdr:col>9</xdr:col>
      <xdr:colOff>123825</xdr:colOff>
      <xdr:row>316</xdr:row>
      <xdr:rowOff>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B185C6B1-1650-4553-989C-128CD16EC586}"/>
            </a:ext>
          </a:extLst>
        </xdr:cNvPr>
        <xdr:cNvCxnSpPr/>
      </xdr:nvCxnSpPr>
      <xdr:spPr>
        <a:xfrm>
          <a:off x="5076825" y="603694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CC56377B-0361-4C6F-A4DD-17E0808A0D6E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335</xdr:row>
      <xdr:rowOff>0</xdr:rowOff>
    </xdr:from>
    <xdr:to>
      <xdr:col>4</xdr:col>
      <xdr:colOff>19050</xdr:colOff>
      <xdr:row>335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D18DA6D-712A-4B7B-B439-0399C6A20844}"/>
            </a:ext>
          </a:extLst>
        </xdr:cNvPr>
        <xdr:cNvCxnSpPr/>
      </xdr:nvCxnSpPr>
      <xdr:spPr>
        <a:xfrm>
          <a:off x="16573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335</xdr:row>
      <xdr:rowOff>0</xdr:rowOff>
    </xdr:from>
    <xdr:to>
      <xdr:col>9</xdr:col>
      <xdr:colOff>123825</xdr:colOff>
      <xdr:row>335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C8DDEDEF-882D-4D22-AC98-42D69227FF31}"/>
            </a:ext>
          </a:extLst>
        </xdr:cNvPr>
        <xdr:cNvCxnSpPr/>
      </xdr:nvCxnSpPr>
      <xdr:spPr>
        <a:xfrm>
          <a:off x="5076825" y="63998475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15BAFA3-120A-4972-8EA3-ADF17492864A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354</xdr:row>
      <xdr:rowOff>0</xdr:rowOff>
    </xdr:from>
    <xdr:to>
      <xdr:col>4</xdr:col>
      <xdr:colOff>38100</xdr:colOff>
      <xdr:row>354</xdr:row>
      <xdr:rowOff>9525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E2649F85-AF1F-4856-902C-8DCC0BBF4CCB}"/>
            </a:ext>
          </a:extLst>
        </xdr:cNvPr>
        <xdr:cNvCxnSpPr/>
      </xdr:nvCxnSpPr>
      <xdr:spPr>
        <a:xfrm>
          <a:off x="1657350" y="676275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2B8E0FB-B165-4DE9-B2E3-CF35582A9B55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FCD2A438-0559-4E66-8516-712F396F4078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278</xdr:row>
      <xdr:rowOff>0</xdr:rowOff>
    </xdr:from>
    <xdr:to>
      <xdr:col>14</xdr:col>
      <xdr:colOff>171450</xdr:colOff>
      <xdr:row>278</xdr:row>
      <xdr:rowOff>9525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99832EC4-8C71-4A73-8E53-A98176808E0B}"/>
            </a:ext>
          </a:extLst>
        </xdr:cNvPr>
        <xdr:cNvCxnSpPr/>
      </xdr:nvCxnSpPr>
      <xdr:spPr>
        <a:xfrm>
          <a:off x="8448675" y="53111400"/>
          <a:ext cx="14573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D836C7C-19BC-4AD1-966F-63609FD56B54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180975</xdr:rowOff>
    </xdr:from>
    <xdr:to>
      <xdr:col>9</xdr:col>
      <xdr:colOff>0</xdr:colOff>
      <xdr:row>12</xdr:row>
      <xdr:rowOff>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4FB8D93-3C4A-4803-B0F3-08E06C88F76F}"/>
            </a:ext>
          </a:extLst>
        </xdr:cNvPr>
        <xdr:cNvCxnSpPr/>
      </xdr:nvCxnSpPr>
      <xdr:spPr>
        <a:xfrm flipV="1">
          <a:off x="5076825" y="227647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78C79C4-0A7B-4207-B189-3406DB2F7381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3</xdr:col>
      <xdr:colOff>1009650</xdr:colOff>
      <xdr:row>31</xdr:row>
      <xdr:rowOff>9526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6228F626-5C34-4070-A4B7-DF58ACB36EE1}"/>
            </a:ext>
          </a:extLst>
        </xdr:cNvPr>
        <xdr:cNvCxnSpPr/>
      </xdr:nvCxnSpPr>
      <xdr:spPr>
        <a:xfrm flipV="1">
          <a:off x="1657350" y="5915025"/>
          <a:ext cx="1009650" cy="952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1DE4ADB5-36B6-4017-87B3-F1523EEF3813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5D794B67-ADBF-4B4F-91B0-439EC5F945E2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49</xdr:row>
      <xdr:rowOff>169333</xdr:rowOff>
    </xdr:from>
    <xdr:to>
      <xdr:col>4</xdr:col>
      <xdr:colOff>158750</xdr:colOff>
      <xdr:row>50</xdr:row>
      <xdr:rowOff>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A8A046A5-AF0D-44BA-9165-CE7406AA6978}"/>
            </a:ext>
          </a:extLst>
        </xdr:cNvPr>
        <xdr:cNvCxnSpPr/>
      </xdr:nvCxnSpPr>
      <xdr:spPr>
        <a:xfrm flipV="1">
          <a:off x="1657350" y="9522883"/>
          <a:ext cx="1473200" cy="21167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DC5B9980-CAFF-488E-9CE6-6312FD8511AA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2E3F6A6-8A05-4294-9959-4D9BA062CA9B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22EBC58-8F06-40D4-ACB8-329F2FED07B7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E55A11BF-7555-456A-B887-FF0CCD33347B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4A37992B-6AC0-4F93-B975-1CBFD9BA7801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6013A579-FE7E-4271-8D29-4482FA050290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EE25FD0A-873C-4B24-BA56-C70FC2639993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954F7FE8-0FDB-4B56-8065-9CE2509501D3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A115CF56-7C6A-41F3-B80E-00EDAA712AA5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86C1E108-2CA7-47FF-B8D9-4A9E259EFC88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38100</xdr:colOff>
      <xdr:row>126</xdr:row>
      <xdr:rowOff>19050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590549B-3EE9-4B17-9580-B1C0AEA23243}"/>
            </a:ext>
          </a:extLst>
        </xdr:cNvPr>
        <xdr:cNvCxnSpPr/>
      </xdr:nvCxnSpPr>
      <xdr:spPr>
        <a:xfrm>
          <a:off x="1657350" y="24079200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F3913D12-2E2D-4299-A56D-F6B16C3300F9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443FB5EC-7D90-4272-9778-50619D7DE49B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8EDD23F7-4BE0-4A85-A928-D1FAC9DCA70C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60A14F96-D44D-4E70-A891-B9308EDC4CAE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1197AD67-67C3-4A9E-A679-11E8306C56ED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4E2E5E02-08A8-4FB9-920C-BD68C905D7DB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542CB79D-9E77-4187-A1EF-C784AC9A2E99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7D0B446B-5031-4A64-824A-7A0661B385C1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2BD88AD5-E248-4395-898A-01DD6C2411CB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CA2DE88F-30FD-46BB-8661-7BA3FC48B6AB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97627F14-D0A9-4705-8976-1DF0B52ACF92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67205F42-C357-4175-9457-334981C0C70A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4</xdr:col>
      <xdr:colOff>34636</xdr:colOff>
      <xdr:row>221</xdr:row>
      <xdr:rowOff>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AA429E60-6B64-4AF1-9A19-9BC6CB0E6D88}"/>
            </a:ext>
          </a:extLst>
        </xdr:cNvPr>
        <xdr:cNvCxnSpPr/>
      </xdr:nvCxnSpPr>
      <xdr:spPr>
        <a:xfrm>
          <a:off x="1657350" y="42224325"/>
          <a:ext cx="1349086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ED8FF4F9-6C88-4877-BEB5-B03606B53E95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220</xdr:row>
      <xdr:rowOff>181841</xdr:rowOff>
    </xdr:from>
    <xdr:to>
      <xdr:col>14</xdr:col>
      <xdr:colOff>8659</xdr:colOff>
      <xdr:row>221</xdr:row>
      <xdr:rowOff>9525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EAE23EF5-53D6-49C4-BAFC-5869BC4F341F}"/>
            </a:ext>
          </a:extLst>
        </xdr:cNvPr>
        <xdr:cNvCxnSpPr/>
      </xdr:nvCxnSpPr>
      <xdr:spPr>
        <a:xfrm flipV="1">
          <a:off x="8448675" y="42215666"/>
          <a:ext cx="1294534" cy="1818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92461020-B25D-4371-8D17-13EEC430342D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EB1B7FDD-0516-4DA5-A067-2A190E1EF29E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240</xdr:row>
      <xdr:rowOff>0</xdr:rowOff>
    </xdr:from>
    <xdr:to>
      <xdr:col>13</xdr:col>
      <xdr:colOff>1489363</xdr:colOff>
      <xdr:row>240</xdr:row>
      <xdr:rowOff>17318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23E4021B-485D-4362-A49A-6AE178785988}"/>
            </a:ext>
          </a:extLst>
        </xdr:cNvPr>
        <xdr:cNvCxnSpPr/>
      </xdr:nvCxnSpPr>
      <xdr:spPr>
        <a:xfrm>
          <a:off x="8448675" y="45853350"/>
          <a:ext cx="128933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EFC364FE-B198-4E5B-A27C-F408DA818632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8B965B16-4AD1-4BA7-A8B4-BAE1F0057EB0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0</xdr:colOff>
      <xdr:row>259</xdr:row>
      <xdr:rowOff>9525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9C948AEA-A3CB-40CE-9CF2-8BE3025CB6AE}"/>
            </a:ext>
          </a:extLst>
        </xdr:cNvPr>
        <xdr:cNvCxnSpPr/>
      </xdr:nvCxnSpPr>
      <xdr:spPr>
        <a:xfrm>
          <a:off x="8448675" y="49482375"/>
          <a:ext cx="12858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E09C4C7C-B3CA-44F1-A265-9184D75177EB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BA210886-B766-4BAA-9C02-130DA52BDB99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278</xdr:row>
      <xdr:rowOff>0</xdr:rowOff>
    </xdr:from>
    <xdr:to>
      <xdr:col>14</xdr:col>
      <xdr:colOff>266700</xdr:colOff>
      <xdr:row>278</xdr:row>
      <xdr:rowOff>9525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9C2D7274-03EA-4919-A920-485EAB6E352F}"/>
            </a:ext>
          </a:extLst>
        </xdr:cNvPr>
        <xdr:cNvCxnSpPr/>
      </xdr:nvCxnSpPr>
      <xdr:spPr>
        <a:xfrm>
          <a:off x="8448675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297</xdr:row>
      <xdr:rowOff>0</xdr:rowOff>
    </xdr:from>
    <xdr:to>
      <xdr:col>4</xdr:col>
      <xdr:colOff>57150</xdr:colOff>
      <xdr:row>297</xdr:row>
      <xdr:rowOff>19050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6700BFAA-A675-4AC7-ADFE-CC82DBBA6349}"/>
            </a:ext>
          </a:extLst>
        </xdr:cNvPr>
        <xdr:cNvCxnSpPr/>
      </xdr:nvCxnSpPr>
      <xdr:spPr>
        <a:xfrm>
          <a:off x="1657350" y="56740425"/>
          <a:ext cx="13716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FAA47FBF-DEFD-4A2F-85BA-575DDBA41234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C76A63DE-2EA9-451F-99F6-65453FFB8724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316</xdr:row>
      <xdr:rowOff>9526</xdr:rowOff>
    </xdr:from>
    <xdr:to>
      <xdr:col>4</xdr:col>
      <xdr:colOff>0</xdr:colOff>
      <xdr:row>316</xdr:row>
      <xdr:rowOff>19050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0FAFBE96-A4AA-4DF6-9A2D-78CEAE416E03}"/>
            </a:ext>
          </a:extLst>
        </xdr:cNvPr>
        <xdr:cNvCxnSpPr/>
      </xdr:nvCxnSpPr>
      <xdr:spPr>
        <a:xfrm>
          <a:off x="1657350" y="60378976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0</xdr:rowOff>
    </xdr:from>
    <xdr:to>
      <xdr:col>9</xdr:col>
      <xdr:colOff>123825</xdr:colOff>
      <xdr:row>316</xdr:row>
      <xdr:rowOff>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4CD780B4-3BA2-4614-9A19-A227A5EF1AB5}"/>
            </a:ext>
          </a:extLst>
        </xdr:cNvPr>
        <xdr:cNvCxnSpPr/>
      </xdr:nvCxnSpPr>
      <xdr:spPr>
        <a:xfrm>
          <a:off x="5076825" y="603694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D478FFC7-ECE0-4FEE-B790-A04C77AC43D5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335</xdr:row>
      <xdr:rowOff>0</xdr:rowOff>
    </xdr:from>
    <xdr:to>
      <xdr:col>4</xdr:col>
      <xdr:colOff>19050</xdr:colOff>
      <xdr:row>335</xdr:row>
      <xdr:rowOff>9525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F1AA0D31-E1B7-462B-B2E9-8B3E38F970A6}"/>
            </a:ext>
          </a:extLst>
        </xdr:cNvPr>
        <xdr:cNvCxnSpPr/>
      </xdr:nvCxnSpPr>
      <xdr:spPr>
        <a:xfrm>
          <a:off x="16573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335</xdr:row>
      <xdr:rowOff>0</xdr:rowOff>
    </xdr:from>
    <xdr:to>
      <xdr:col>9</xdr:col>
      <xdr:colOff>123825</xdr:colOff>
      <xdr:row>335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573ADEFC-BA5D-47E8-8D14-4FBE8AFE91C7}"/>
            </a:ext>
          </a:extLst>
        </xdr:cNvPr>
        <xdr:cNvCxnSpPr/>
      </xdr:nvCxnSpPr>
      <xdr:spPr>
        <a:xfrm>
          <a:off x="5076825" y="63998475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EFE3DCCB-F869-4CCA-A989-949877D812B8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354</xdr:row>
      <xdr:rowOff>0</xdr:rowOff>
    </xdr:from>
    <xdr:to>
      <xdr:col>4</xdr:col>
      <xdr:colOff>38100</xdr:colOff>
      <xdr:row>354</xdr:row>
      <xdr:rowOff>9525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927F81B4-3DCF-4590-B603-092003840CED}"/>
            </a:ext>
          </a:extLst>
        </xdr:cNvPr>
        <xdr:cNvCxnSpPr/>
      </xdr:nvCxnSpPr>
      <xdr:spPr>
        <a:xfrm>
          <a:off x="1657350" y="676275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FBB17A51-8A15-40F5-94A2-EA8EC25424CA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7765C4C2-A11B-4102-BF10-EF2F86659B83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278</xdr:row>
      <xdr:rowOff>0</xdr:rowOff>
    </xdr:from>
    <xdr:to>
      <xdr:col>14</xdr:col>
      <xdr:colOff>171450</xdr:colOff>
      <xdr:row>278</xdr:row>
      <xdr:rowOff>9525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FC827665-67E8-4BB0-97FB-A378D297A4D5}"/>
            </a:ext>
          </a:extLst>
        </xdr:cNvPr>
        <xdr:cNvCxnSpPr/>
      </xdr:nvCxnSpPr>
      <xdr:spPr>
        <a:xfrm>
          <a:off x="8448675" y="53111400"/>
          <a:ext cx="14573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9526</xdr:rowOff>
    </xdr:from>
    <xdr:to>
      <xdr:col>9</xdr:col>
      <xdr:colOff>0</xdr:colOff>
      <xdr:row>316</xdr:row>
      <xdr:rowOff>19050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8648C199-49ED-4D44-9191-B95FC1ECFFA9}"/>
            </a:ext>
          </a:extLst>
        </xdr:cNvPr>
        <xdr:cNvCxnSpPr/>
      </xdr:nvCxnSpPr>
      <xdr:spPr>
        <a:xfrm>
          <a:off x="5076825" y="60378976"/>
          <a:ext cx="11906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9526</xdr:rowOff>
    </xdr:from>
    <xdr:to>
      <xdr:col>9</xdr:col>
      <xdr:colOff>0</xdr:colOff>
      <xdr:row>316</xdr:row>
      <xdr:rowOff>19050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7D0902ED-51AA-4F01-BC19-EB2E7741E425}"/>
            </a:ext>
          </a:extLst>
        </xdr:cNvPr>
        <xdr:cNvCxnSpPr/>
      </xdr:nvCxnSpPr>
      <xdr:spPr>
        <a:xfrm>
          <a:off x="5076825" y="60378976"/>
          <a:ext cx="11906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0</xdr:rowOff>
    </xdr:from>
    <xdr:to>
      <xdr:col>9</xdr:col>
      <xdr:colOff>133350</xdr:colOff>
      <xdr:row>31</xdr:row>
      <xdr:rowOff>9524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FDBA7BF2-7259-473B-BF34-EF04599FD506}"/>
            </a:ext>
          </a:extLst>
        </xdr:cNvPr>
        <xdr:cNvCxnSpPr/>
      </xdr:nvCxnSpPr>
      <xdr:spPr>
        <a:xfrm>
          <a:off x="5076825" y="5915025"/>
          <a:ext cx="132397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0</xdr:rowOff>
    </xdr:from>
    <xdr:to>
      <xdr:col>9</xdr:col>
      <xdr:colOff>133350</xdr:colOff>
      <xdr:row>31</xdr:row>
      <xdr:rowOff>9524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AA893262-B4E9-4D32-8A85-AFF869DAAAF9}"/>
            </a:ext>
          </a:extLst>
        </xdr:cNvPr>
        <xdr:cNvCxnSpPr/>
      </xdr:nvCxnSpPr>
      <xdr:spPr>
        <a:xfrm>
          <a:off x="5076825" y="5915025"/>
          <a:ext cx="132397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354</xdr:row>
      <xdr:rowOff>9525</xdr:rowOff>
    </xdr:from>
    <xdr:to>
      <xdr:col>14</xdr:col>
      <xdr:colOff>114300</xdr:colOff>
      <xdr:row>354</xdr:row>
      <xdr:rowOff>9525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09C5D4F0-2BDB-4465-9836-4CBDE807CEFC}"/>
            </a:ext>
          </a:extLst>
        </xdr:cNvPr>
        <xdr:cNvCxnSpPr/>
      </xdr:nvCxnSpPr>
      <xdr:spPr>
        <a:xfrm>
          <a:off x="8448675" y="67637025"/>
          <a:ext cx="14001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600075</xdr:colOff>
      <xdr:row>354</xdr:row>
      <xdr:rowOff>9525</xdr:rowOff>
    </xdr:from>
    <xdr:to>
      <xdr:col>14</xdr:col>
      <xdr:colOff>114300</xdr:colOff>
      <xdr:row>354</xdr:row>
      <xdr:rowOff>9525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241E8204-CEDD-4A42-BBBB-88B585F3F944}"/>
            </a:ext>
          </a:extLst>
        </xdr:cNvPr>
        <xdr:cNvCxnSpPr/>
      </xdr:nvCxnSpPr>
      <xdr:spPr>
        <a:xfrm>
          <a:off x="8448675" y="67637025"/>
          <a:ext cx="14001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133350</xdr:colOff>
      <xdr:row>126</xdr:row>
      <xdr:rowOff>9525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FE40957F-8DF2-4A99-9E14-3620E6FCCF69}"/>
            </a:ext>
          </a:extLst>
        </xdr:cNvPr>
        <xdr:cNvCxnSpPr/>
      </xdr:nvCxnSpPr>
      <xdr:spPr>
        <a:xfrm flipV="1">
          <a:off x="1657350" y="24079200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126</xdr:row>
      <xdr:rowOff>0</xdr:rowOff>
    </xdr:from>
    <xdr:to>
      <xdr:col>4</xdr:col>
      <xdr:colOff>133350</xdr:colOff>
      <xdr:row>126</xdr:row>
      <xdr:rowOff>9525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E1F242A7-897B-4F5E-920F-CA18CC020FB3}"/>
            </a:ext>
          </a:extLst>
        </xdr:cNvPr>
        <xdr:cNvCxnSpPr/>
      </xdr:nvCxnSpPr>
      <xdr:spPr>
        <a:xfrm flipV="1">
          <a:off x="1657350" y="24079200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C4B0BA5-2940-4665-AAEC-B770BFD21BE3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12</xdr:row>
      <xdr:rowOff>9525</xdr:rowOff>
    </xdr:from>
    <xdr:to>
      <xdr:col>9</xdr:col>
      <xdr:colOff>47625</xdr:colOff>
      <xdr:row>12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A22C8EF-9AB2-4F91-AC5E-7F63C4AE1DEA}"/>
            </a:ext>
          </a:extLst>
        </xdr:cNvPr>
        <xdr:cNvCxnSpPr/>
      </xdr:nvCxnSpPr>
      <xdr:spPr>
        <a:xfrm flipV="1">
          <a:off x="5124450" y="229552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307BA763-CE8F-4716-BDBF-D12D34C972ED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9525</xdr:rowOff>
    </xdr:from>
    <xdr:to>
      <xdr:col>4</xdr:col>
      <xdr:colOff>123825</xdr:colOff>
      <xdr:row>31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914CDA4-543E-456A-9591-F7D8F7CD7830}"/>
            </a:ext>
          </a:extLst>
        </xdr:cNvPr>
        <xdr:cNvCxnSpPr/>
      </xdr:nvCxnSpPr>
      <xdr:spPr>
        <a:xfrm flipV="1">
          <a:off x="1657350" y="5924550"/>
          <a:ext cx="14382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1C974BCC-1041-46E9-ABB6-73CE0DC04E1E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C03B142-D19A-4547-962F-C5FFFE853DA6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95250</xdr:colOff>
      <xdr:row>50</xdr:row>
      <xdr:rowOff>19050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AD455955-3975-49DD-B5ED-929902B0AE86}"/>
            </a:ext>
          </a:extLst>
        </xdr:cNvPr>
        <xdr:cNvCxnSpPr/>
      </xdr:nvCxnSpPr>
      <xdr:spPr>
        <a:xfrm>
          <a:off x="1657350" y="9544050"/>
          <a:ext cx="14097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B5E9F6E2-EA9F-49AF-B045-90C2EB37492C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158500E-1D26-4194-8F0B-FB6A54CEA64C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A5E5E5-C8C7-402A-A080-F0BE9E87D5E0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A4C07BA3-4C4D-4CB3-B06A-1BECBB40A9B4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259FC1A2-DBED-436D-BD18-D9CECD6433CB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D107ED2-F9B3-4861-8D3D-71D076B0962F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0611666-8CAA-407A-BBC9-C40B4ED626AF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7920E05-579F-4AD5-9ABB-071BC5EA035B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52C4A80-011A-41CD-94D6-1548067BC9B3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1954F21-D543-4950-8CB9-61A3D2DE25E6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126</xdr:row>
      <xdr:rowOff>0</xdr:rowOff>
    </xdr:from>
    <xdr:to>
      <xdr:col>4</xdr:col>
      <xdr:colOff>47625</xdr:colOff>
      <xdr:row>126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5C86BE7-3D3B-4DEA-99A1-146C65667A86}"/>
            </a:ext>
          </a:extLst>
        </xdr:cNvPr>
        <xdr:cNvCxnSpPr/>
      </xdr:nvCxnSpPr>
      <xdr:spPr>
        <a:xfrm flipV="1">
          <a:off x="1685925" y="24079200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EA2FEE1-5275-4440-98E3-3DD7B5736C3D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A128EB3-5D88-4F39-8D57-B204B779AA3E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8581</xdr:rowOff>
    </xdr:from>
    <xdr:to>
      <xdr:col>3</xdr:col>
      <xdr:colOff>1390136</xdr:colOff>
      <xdr:row>145</xdr:row>
      <xdr:rowOff>9526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2649125-E4D5-4EFD-A303-65EA5922E4C7}"/>
            </a:ext>
          </a:extLst>
        </xdr:cNvPr>
        <xdr:cNvCxnSpPr/>
      </xdr:nvCxnSpPr>
      <xdr:spPr>
        <a:xfrm flipV="1">
          <a:off x="1657350" y="27716806"/>
          <a:ext cx="1313936" cy="94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BEF99BDC-434B-43F1-8A6B-7527368DFDA5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5A628321-AF97-4AA5-B4EA-1790E5B7F5D9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F0A8EB10-FDF6-49CA-B78E-099888C91B81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3CC1E697-C011-4F2A-B7ED-BB48A37A0FD2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5961E899-E8B2-4FFE-9E59-DC40AAFD4A25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76A47E5E-10F0-4F87-A57E-AAA9902A18FC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C2AB350-7A01-4EDF-A58E-4CBCFC0640B2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7674777-F611-41F9-8CBC-938089DAC710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202</xdr:row>
      <xdr:rowOff>0</xdr:rowOff>
    </xdr:from>
    <xdr:to>
      <xdr:col>3</xdr:col>
      <xdr:colOff>1402773</xdr:colOff>
      <xdr:row>202</xdr:row>
      <xdr:rowOff>17318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960ABAD-7231-4C23-BED8-71C904AB2E24}"/>
            </a:ext>
          </a:extLst>
        </xdr:cNvPr>
        <xdr:cNvCxnSpPr/>
      </xdr:nvCxnSpPr>
      <xdr:spPr>
        <a:xfrm>
          <a:off x="1657350" y="38595300"/>
          <a:ext cx="131704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C51FFE4D-229B-4F5E-AEF9-48396AE761CE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568F9C27-8758-4C4F-8F7F-39105DFB3205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3</xdr:col>
      <xdr:colOff>1000125</xdr:colOff>
      <xdr:row>221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02C7D36-49ED-4B22-B53C-3399DC055256}"/>
            </a:ext>
          </a:extLst>
        </xdr:cNvPr>
        <xdr:cNvCxnSpPr/>
      </xdr:nvCxnSpPr>
      <xdr:spPr>
        <a:xfrm>
          <a:off x="1657350" y="42224325"/>
          <a:ext cx="10001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A33605B-7575-4BC1-B81B-5F09E7784823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D9F3F91E-D1EA-44E1-9BB5-B8FF63414C24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917C9A08-3A07-4F78-9997-3BC0CAA3C9DF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52DB34C-D226-4582-AB8B-98A43633A67C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18AFE601-14D6-486C-8D05-7B7F844D8F8B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D91C07B-8168-437A-A942-BF6CE7F0B9D7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9B363513-33CD-4EEE-BC51-D73199B30B14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278</xdr:row>
      <xdr:rowOff>0</xdr:rowOff>
    </xdr:from>
    <xdr:to>
      <xdr:col>14</xdr:col>
      <xdr:colOff>161925</xdr:colOff>
      <xdr:row>278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6BC3F4B6-425D-439C-870E-547DDF6FC530}"/>
            </a:ext>
          </a:extLst>
        </xdr:cNvPr>
        <xdr:cNvCxnSpPr/>
      </xdr:nvCxnSpPr>
      <xdr:spPr>
        <a:xfrm>
          <a:off x="8343900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297</xdr:row>
      <xdr:rowOff>19050</xdr:rowOff>
    </xdr:from>
    <xdr:to>
      <xdr:col>4</xdr:col>
      <xdr:colOff>104775</xdr:colOff>
      <xdr:row>297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B040F36-C825-4538-A45D-F61A8CBA9506}"/>
            </a:ext>
          </a:extLst>
        </xdr:cNvPr>
        <xdr:cNvCxnSpPr/>
      </xdr:nvCxnSpPr>
      <xdr:spPr>
        <a:xfrm>
          <a:off x="1647825" y="567594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5E20BFE1-DCA3-4758-9CEF-1E468EC81E43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B89D4479-4722-4EB4-A0FF-8DE064176DDB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316</xdr:row>
      <xdr:rowOff>1</xdr:rowOff>
    </xdr:from>
    <xdr:to>
      <xdr:col>4</xdr:col>
      <xdr:colOff>19050</xdr:colOff>
      <xdr:row>316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38803294-F15A-4F5E-A035-83862290AF10}"/>
            </a:ext>
          </a:extLst>
        </xdr:cNvPr>
        <xdr:cNvCxnSpPr/>
      </xdr:nvCxnSpPr>
      <xdr:spPr>
        <a:xfrm>
          <a:off x="1676400" y="60369451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19050</xdr:rowOff>
    </xdr:from>
    <xdr:to>
      <xdr:col>9</xdr:col>
      <xdr:colOff>123825</xdr:colOff>
      <xdr:row>316</xdr:row>
      <xdr:rowOff>19050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7F4CDE2E-BF2E-4CA6-8453-26E65C66F911}"/>
            </a:ext>
          </a:extLst>
        </xdr:cNvPr>
        <xdr:cNvCxnSpPr/>
      </xdr:nvCxnSpPr>
      <xdr:spPr>
        <a:xfrm>
          <a:off x="5076825" y="6038850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0575A1B0-7191-4143-B4AE-D75DA77FB730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335</xdr:row>
      <xdr:rowOff>0</xdr:rowOff>
    </xdr:from>
    <xdr:to>
      <xdr:col>3</xdr:col>
      <xdr:colOff>1295400</xdr:colOff>
      <xdr:row>335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80D47A23-472F-4E1B-A0BC-2F956F49A182}"/>
            </a:ext>
          </a:extLst>
        </xdr:cNvPr>
        <xdr:cNvCxnSpPr/>
      </xdr:nvCxnSpPr>
      <xdr:spPr>
        <a:xfrm>
          <a:off x="16192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335</xdr:row>
      <xdr:rowOff>28575</xdr:rowOff>
    </xdr:from>
    <xdr:to>
      <xdr:col>9</xdr:col>
      <xdr:colOff>57150</xdr:colOff>
      <xdr:row>335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81A49F4-2E6C-4838-ACF8-117262FFB5E4}"/>
            </a:ext>
          </a:extLst>
        </xdr:cNvPr>
        <xdr:cNvCxnSpPr/>
      </xdr:nvCxnSpPr>
      <xdr:spPr>
        <a:xfrm>
          <a:off x="5010150" y="640270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00A65EB7-F47E-42FC-9B27-0C82C27A84B6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353</xdr:row>
      <xdr:rowOff>180975</xdr:rowOff>
    </xdr:from>
    <xdr:to>
      <xdr:col>4</xdr:col>
      <xdr:colOff>19050</xdr:colOff>
      <xdr:row>354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F89F245D-ECF0-41C1-92F9-9A8E0AF41B6C}"/>
            </a:ext>
          </a:extLst>
        </xdr:cNvPr>
        <xdr:cNvCxnSpPr/>
      </xdr:nvCxnSpPr>
      <xdr:spPr>
        <a:xfrm>
          <a:off x="1638300" y="67617975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1AC7FF7-CFF6-4D54-B4F9-828CA54BF4D1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E82008E-914B-41F1-AB40-61284F132B3B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54EB4CE-83CD-4507-81A5-E974A6C23FAF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DDC5A649-BE5E-4466-9C2F-1669AC76D468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55D3CB8-6DE4-4024-890B-F1F60255486B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3F3265B-3553-46F3-B886-44C2F8403C34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536B59D1-FD82-43DD-AFBC-6003C65103C0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87A9BCA0-5809-4621-A01A-679881DFA57C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BC2687F-B414-4413-BE7A-0127964C2B7B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97567B6F-5194-4832-80DD-D8C05335A140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DA4FD520-81DB-41C1-8A16-22143B4FCD11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C6E195E0-B518-456B-91E0-D9E478FD3E6E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85173126-897B-4710-B0E1-CBFA5167053E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D5D20B83-FDE7-4C89-97F3-BED5272DF8DB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46927D05-FCE1-41B8-8584-7CFF3F950244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50BB1E6F-894D-4B0E-9F48-2C608DEFAD0F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4</xdr:col>
      <xdr:colOff>34636</xdr:colOff>
      <xdr:row>221</xdr:row>
      <xdr:rowOff>0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FE29D3FC-E094-4BE9-8547-79E457B0BBAA}"/>
            </a:ext>
          </a:extLst>
        </xdr:cNvPr>
        <xdr:cNvCxnSpPr/>
      </xdr:nvCxnSpPr>
      <xdr:spPr>
        <a:xfrm>
          <a:off x="1657350" y="42224325"/>
          <a:ext cx="1349086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221</xdr:row>
      <xdr:rowOff>19050</xdr:rowOff>
    </xdr:from>
    <xdr:to>
      <xdr:col>14</xdr:col>
      <xdr:colOff>8659</xdr:colOff>
      <xdr:row>221</xdr:row>
      <xdr:rowOff>19916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F10BDF30-9E3D-4243-9F96-5F218527BFB7}"/>
            </a:ext>
          </a:extLst>
        </xdr:cNvPr>
        <xdr:cNvCxnSpPr/>
      </xdr:nvCxnSpPr>
      <xdr:spPr>
        <a:xfrm>
          <a:off x="8477250" y="42243375"/>
          <a:ext cx="1265959" cy="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33ABF345-2732-42DC-B614-823D69CCE6FA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239</xdr:row>
      <xdr:rowOff>180975</xdr:rowOff>
    </xdr:from>
    <xdr:to>
      <xdr:col>13</xdr:col>
      <xdr:colOff>1279813</xdr:colOff>
      <xdr:row>240</xdr:row>
      <xdr:rowOff>7793</xdr:rowOff>
    </xdr:to>
    <xdr:cxnSp macro="">
      <xdr:nvCxnSpPr>
        <xdr:cNvPr id="91" name="Straight Connector 90">
          <a:extLst>
            <a:ext uri="{FF2B5EF4-FFF2-40B4-BE49-F238E27FC236}">
              <a16:creationId xmlns:a16="http://schemas.microsoft.com/office/drawing/2014/main" id="{A8D68294-235D-4C80-83F7-59235DCAF9D0}"/>
            </a:ext>
          </a:extLst>
        </xdr:cNvPr>
        <xdr:cNvCxnSpPr/>
      </xdr:nvCxnSpPr>
      <xdr:spPr>
        <a:xfrm>
          <a:off x="8439150" y="45843825"/>
          <a:ext cx="128933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92" name="Straight Connector 91">
          <a:extLst>
            <a:ext uri="{FF2B5EF4-FFF2-40B4-BE49-F238E27FC236}">
              <a16:creationId xmlns:a16="http://schemas.microsoft.com/office/drawing/2014/main" id="{6E11DD3C-1AAF-466A-9391-A9DDE2CF4201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93" name="Straight Connector 92">
          <a:extLst>
            <a:ext uri="{FF2B5EF4-FFF2-40B4-BE49-F238E27FC236}">
              <a16:creationId xmlns:a16="http://schemas.microsoft.com/office/drawing/2014/main" id="{489270C6-D819-4134-9D65-6D9E54CF215F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0</xdr:colOff>
      <xdr:row>259</xdr:row>
      <xdr:rowOff>9525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12B28C98-FD21-4B8A-9B86-F3CADC665461}"/>
            </a:ext>
          </a:extLst>
        </xdr:cNvPr>
        <xdr:cNvCxnSpPr/>
      </xdr:nvCxnSpPr>
      <xdr:spPr>
        <a:xfrm>
          <a:off x="8448675" y="49482375"/>
          <a:ext cx="12858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7F2CCC5A-3F89-4313-8539-AF03EF3A3BCD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4698E21F-C505-4045-986C-D0DA9BD95C28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5AFB5009-A1BB-4284-BB82-EFA6A10D0500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2A48396E-BB40-4775-AA80-D881FBD7940E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7300579-5FB4-4E2A-8269-50EA993FBD29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12</xdr:row>
      <xdr:rowOff>9525</xdr:rowOff>
    </xdr:from>
    <xdr:to>
      <xdr:col>9</xdr:col>
      <xdr:colOff>47625</xdr:colOff>
      <xdr:row>12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637E836-B070-4E4F-8731-64649ED9A217}"/>
            </a:ext>
          </a:extLst>
        </xdr:cNvPr>
        <xdr:cNvCxnSpPr/>
      </xdr:nvCxnSpPr>
      <xdr:spPr>
        <a:xfrm flipV="1">
          <a:off x="5124450" y="229552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1B6B190-FA53-4E2B-A6FF-9B99DB190508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9525</xdr:rowOff>
    </xdr:from>
    <xdr:to>
      <xdr:col>4</xdr:col>
      <xdr:colOff>123825</xdr:colOff>
      <xdr:row>31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316B42C-F551-4254-98DB-AF276D9FE8FD}"/>
            </a:ext>
          </a:extLst>
        </xdr:cNvPr>
        <xdr:cNvCxnSpPr/>
      </xdr:nvCxnSpPr>
      <xdr:spPr>
        <a:xfrm flipV="1">
          <a:off x="1657350" y="5924550"/>
          <a:ext cx="14382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70B82CA-54D0-464D-B1E5-735AC8F9BEBB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9111FEE-BB03-4F86-91A7-22BE50DBB83B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95250</xdr:colOff>
      <xdr:row>50</xdr:row>
      <xdr:rowOff>19050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40A4BB2-6AA6-402A-A9E1-3801566AF0F7}"/>
            </a:ext>
          </a:extLst>
        </xdr:cNvPr>
        <xdr:cNvCxnSpPr/>
      </xdr:nvCxnSpPr>
      <xdr:spPr>
        <a:xfrm>
          <a:off x="1657350" y="9544050"/>
          <a:ext cx="14097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91E21BA-60A8-4B2C-B02C-C83266AF043F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62E69281-2E1F-45C5-BF84-15F6927CFF1D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7290818-6688-4D06-A87F-E0E6AE1503C4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474B517-56FF-403C-8004-63F71AB9324B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FD4E3E4-5D42-4BA7-BDEB-DC69A3596DF6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765C2F26-5211-4388-BACA-232FEB900F37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4C7C352-DD08-4538-B6DB-E316A1501783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D637D361-52ED-4FAD-94E3-77BAF76526F4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B556FDDF-D1D7-4FAF-A5CE-BE3CBAC06075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4CA71E37-8CD0-4E07-912D-E340EB599441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126</xdr:row>
      <xdr:rowOff>0</xdr:rowOff>
    </xdr:from>
    <xdr:to>
      <xdr:col>4</xdr:col>
      <xdr:colOff>47625</xdr:colOff>
      <xdr:row>126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B14AFB85-3D26-4D22-B6D4-F5343AFD9481}"/>
            </a:ext>
          </a:extLst>
        </xdr:cNvPr>
        <xdr:cNvCxnSpPr/>
      </xdr:nvCxnSpPr>
      <xdr:spPr>
        <a:xfrm flipV="1">
          <a:off x="1685925" y="24079200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837C7ED-CB5D-40B8-B99A-1903BDDC5D38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02BFE62-938A-4F24-BD1F-DBAA712B1089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8581</xdr:rowOff>
    </xdr:from>
    <xdr:to>
      <xdr:col>3</xdr:col>
      <xdr:colOff>1390136</xdr:colOff>
      <xdr:row>145</xdr:row>
      <xdr:rowOff>9526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F85C4D84-C9E5-4DC6-A21A-D95BEB3B7326}"/>
            </a:ext>
          </a:extLst>
        </xdr:cNvPr>
        <xdr:cNvCxnSpPr/>
      </xdr:nvCxnSpPr>
      <xdr:spPr>
        <a:xfrm flipV="1">
          <a:off x="1657350" y="27716806"/>
          <a:ext cx="1313936" cy="94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26BD9962-13E6-4649-B24F-D475E101BB25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AF176CB-6158-45A6-9E9E-5BBB0C66CDD4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98E27E06-2EF7-4D4F-86B2-DBF42B2590B4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46E24BD-3115-4C15-B07B-299FDF8781A7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3B1D895-B55D-499A-80E4-AB11722224DB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9F445BD-3D05-497B-AD96-07DB3710FDDC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A199CF9D-2B7A-4769-A67F-0029009CEBF3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7AA1A2F-FBE9-4EC9-A085-AF13D21CDAA4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202</xdr:row>
      <xdr:rowOff>0</xdr:rowOff>
    </xdr:from>
    <xdr:to>
      <xdr:col>3</xdr:col>
      <xdr:colOff>1402773</xdr:colOff>
      <xdr:row>202</xdr:row>
      <xdr:rowOff>17318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50A52C8-16F7-46EF-9F68-939D13E3D146}"/>
            </a:ext>
          </a:extLst>
        </xdr:cNvPr>
        <xdr:cNvCxnSpPr/>
      </xdr:nvCxnSpPr>
      <xdr:spPr>
        <a:xfrm>
          <a:off x="1657350" y="38595300"/>
          <a:ext cx="131704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F32C9A8-0282-45A2-89B0-6383E3B97633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9D74AC18-537E-41A8-9DE7-0191E2702212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3</xdr:col>
      <xdr:colOff>1000125</xdr:colOff>
      <xdr:row>221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A544D93-0F68-4ADD-83C9-710DF38FE58A}"/>
            </a:ext>
          </a:extLst>
        </xdr:cNvPr>
        <xdr:cNvCxnSpPr/>
      </xdr:nvCxnSpPr>
      <xdr:spPr>
        <a:xfrm>
          <a:off x="1657350" y="42224325"/>
          <a:ext cx="10001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A75393E-DBAC-43DA-B29E-0F898E9E7F32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335997AD-1CFE-4815-AF39-EA6600F0DB25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64695CC-22D5-47CA-BE39-D8AAB3134414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7E46AD54-474D-4D9F-9516-7881A903FE24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ED526B1-39C8-4D3F-879B-3136D740CC32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942B9E6E-181E-4863-9498-0DDA7E789316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52105FA8-6A2A-443B-9930-1973830D2787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278</xdr:row>
      <xdr:rowOff>0</xdr:rowOff>
    </xdr:from>
    <xdr:to>
      <xdr:col>14</xdr:col>
      <xdr:colOff>161925</xdr:colOff>
      <xdr:row>278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8E7FC6F-81CC-4FA8-8482-FB597EF0EC27}"/>
            </a:ext>
          </a:extLst>
        </xdr:cNvPr>
        <xdr:cNvCxnSpPr/>
      </xdr:nvCxnSpPr>
      <xdr:spPr>
        <a:xfrm>
          <a:off x="8343900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297</xdr:row>
      <xdr:rowOff>19050</xdr:rowOff>
    </xdr:from>
    <xdr:to>
      <xdr:col>4</xdr:col>
      <xdr:colOff>104775</xdr:colOff>
      <xdr:row>297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7476A3E-A625-4D6F-9C21-B015669D3595}"/>
            </a:ext>
          </a:extLst>
        </xdr:cNvPr>
        <xdr:cNvCxnSpPr/>
      </xdr:nvCxnSpPr>
      <xdr:spPr>
        <a:xfrm>
          <a:off x="1647825" y="567594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E2996FF5-3791-4D61-859F-94F5D0CA82F2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50E1F935-5687-4863-A66C-57B965068309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316</xdr:row>
      <xdr:rowOff>1</xdr:rowOff>
    </xdr:from>
    <xdr:to>
      <xdr:col>4</xdr:col>
      <xdr:colOff>19050</xdr:colOff>
      <xdr:row>316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9C4978F-AA1E-4F79-9DEC-B83CE3C340A9}"/>
            </a:ext>
          </a:extLst>
        </xdr:cNvPr>
        <xdr:cNvCxnSpPr/>
      </xdr:nvCxnSpPr>
      <xdr:spPr>
        <a:xfrm>
          <a:off x="1676400" y="60369451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19050</xdr:rowOff>
    </xdr:from>
    <xdr:to>
      <xdr:col>9</xdr:col>
      <xdr:colOff>123825</xdr:colOff>
      <xdr:row>316</xdr:row>
      <xdr:rowOff>19050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7ED2E9D-1F8C-4409-8832-70C4338E058C}"/>
            </a:ext>
          </a:extLst>
        </xdr:cNvPr>
        <xdr:cNvCxnSpPr/>
      </xdr:nvCxnSpPr>
      <xdr:spPr>
        <a:xfrm>
          <a:off x="5076825" y="6038850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4E36774E-B625-4138-A56E-55C3B04306FB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335</xdr:row>
      <xdr:rowOff>0</xdr:rowOff>
    </xdr:from>
    <xdr:to>
      <xdr:col>3</xdr:col>
      <xdr:colOff>1295400</xdr:colOff>
      <xdr:row>335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D38FA8B-A279-4448-B859-EBF65A8C4175}"/>
            </a:ext>
          </a:extLst>
        </xdr:cNvPr>
        <xdr:cNvCxnSpPr/>
      </xdr:nvCxnSpPr>
      <xdr:spPr>
        <a:xfrm>
          <a:off x="16192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335</xdr:row>
      <xdr:rowOff>28575</xdr:rowOff>
    </xdr:from>
    <xdr:to>
      <xdr:col>9</xdr:col>
      <xdr:colOff>57150</xdr:colOff>
      <xdr:row>335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5A512EE6-40E3-46ED-A68E-EA60763612D9}"/>
            </a:ext>
          </a:extLst>
        </xdr:cNvPr>
        <xdr:cNvCxnSpPr/>
      </xdr:nvCxnSpPr>
      <xdr:spPr>
        <a:xfrm>
          <a:off x="5010150" y="640270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6D625470-C788-4208-A791-4CA0A1C2153F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353</xdr:row>
      <xdr:rowOff>180975</xdr:rowOff>
    </xdr:from>
    <xdr:to>
      <xdr:col>4</xdr:col>
      <xdr:colOff>19050</xdr:colOff>
      <xdr:row>354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0C17338D-B8AA-4BEA-8A28-A49709FFADA1}"/>
            </a:ext>
          </a:extLst>
        </xdr:cNvPr>
        <xdr:cNvCxnSpPr/>
      </xdr:nvCxnSpPr>
      <xdr:spPr>
        <a:xfrm>
          <a:off x="1638300" y="67617975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6D1BAAA-251D-4889-816F-07E75130DB93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DB6F0AE0-6405-4E17-B364-37ACC9B26A1F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1C98C6C2-33FC-428F-AAE8-164B908345A1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EBB0A33-1D4C-4200-84E2-C3919A2C1368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4CA8A002-285A-4279-9E56-48D9E0B9E058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E3898A1-E737-48EC-A7A6-727FB50A27B2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F14ECF8-B977-42A1-92ED-514067BA3819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3396E56B-F7D3-42E1-A5BF-CEDD4AA4AE36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C309D68C-C90C-4EB4-8737-2E6A58BF9B12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250821A-1D3B-4C80-A2C4-77BCA7388CE1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B05FA216-1346-405A-BF95-8790815787CE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871288F-638B-4C94-9967-9E980BE1BCF5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C3EBA59B-33E5-4EB4-B446-791DA8975AD2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8E91B9CD-EC1D-4804-8D7C-3FCBC4D84585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FF405C4-004D-4427-A5A7-7FC069192BC4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8C24419E-B904-45BE-BA7F-3C0E565387B4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4</xdr:col>
      <xdr:colOff>34636</xdr:colOff>
      <xdr:row>221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381EE946-55AD-430A-BEDA-B9E82F16138C}"/>
            </a:ext>
          </a:extLst>
        </xdr:cNvPr>
        <xdr:cNvCxnSpPr/>
      </xdr:nvCxnSpPr>
      <xdr:spPr>
        <a:xfrm>
          <a:off x="1657350" y="42224325"/>
          <a:ext cx="1349086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221</xdr:row>
      <xdr:rowOff>19050</xdr:rowOff>
    </xdr:from>
    <xdr:to>
      <xdr:col>14</xdr:col>
      <xdr:colOff>8659</xdr:colOff>
      <xdr:row>221</xdr:row>
      <xdr:rowOff>19916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8EB75E17-4F19-4D5D-9B9A-645618AAAC0D}"/>
            </a:ext>
          </a:extLst>
        </xdr:cNvPr>
        <xdr:cNvCxnSpPr/>
      </xdr:nvCxnSpPr>
      <xdr:spPr>
        <a:xfrm>
          <a:off x="8477250" y="42243375"/>
          <a:ext cx="1265959" cy="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3F7781D-5F1E-4CC6-A2DC-36F29E4C495F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239</xdr:row>
      <xdr:rowOff>180975</xdr:rowOff>
    </xdr:from>
    <xdr:to>
      <xdr:col>13</xdr:col>
      <xdr:colOff>1279813</xdr:colOff>
      <xdr:row>240</xdr:row>
      <xdr:rowOff>7793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C0B8488B-9589-485D-A2BC-57E935941304}"/>
            </a:ext>
          </a:extLst>
        </xdr:cNvPr>
        <xdr:cNvCxnSpPr/>
      </xdr:nvCxnSpPr>
      <xdr:spPr>
        <a:xfrm>
          <a:off x="8439150" y="45843825"/>
          <a:ext cx="128933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FFC92070-B10E-4961-A2F6-EB43F5619179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DC76A4FD-3A89-45EE-BF9E-35FBA5E4C304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0</xdr:colOff>
      <xdr:row>259</xdr:row>
      <xdr:rowOff>9525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A87982B8-D212-4056-932A-154A2CDE2D13}"/>
            </a:ext>
          </a:extLst>
        </xdr:cNvPr>
        <xdr:cNvCxnSpPr/>
      </xdr:nvCxnSpPr>
      <xdr:spPr>
        <a:xfrm>
          <a:off x="8448675" y="49482375"/>
          <a:ext cx="12858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5F21BF3B-B589-47D4-8E4D-77108DE5A244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E671A641-72A7-4552-BC2F-1D194089E33D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5D0E16D4-1225-464F-AE83-B12B778EA7B7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BC7A2DD-37EA-44FD-9BF0-48F5F62CF6EA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F984CA-0BAE-411D-8D4B-368F7CA748A3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12</xdr:row>
      <xdr:rowOff>9525</xdr:rowOff>
    </xdr:from>
    <xdr:to>
      <xdr:col>9</xdr:col>
      <xdr:colOff>47625</xdr:colOff>
      <xdr:row>12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8278813-00A0-4467-89B9-6274D0B4B420}"/>
            </a:ext>
          </a:extLst>
        </xdr:cNvPr>
        <xdr:cNvCxnSpPr/>
      </xdr:nvCxnSpPr>
      <xdr:spPr>
        <a:xfrm flipV="1">
          <a:off x="5124450" y="229552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7808BB6-AF22-4AC8-B0EB-CF746F9CB274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9525</xdr:rowOff>
    </xdr:from>
    <xdr:to>
      <xdr:col>4</xdr:col>
      <xdr:colOff>123825</xdr:colOff>
      <xdr:row>31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810BED8-8A74-4CE6-B333-EC75573551E1}"/>
            </a:ext>
          </a:extLst>
        </xdr:cNvPr>
        <xdr:cNvCxnSpPr/>
      </xdr:nvCxnSpPr>
      <xdr:spPr>
        <a:xfrm flipV="1">
          <a:off x="1657350" y="5924550"/>
          <a:ext cx="14382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7164DE6B-F9C5-4C32-9AAF-F7D7F2CF2697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BE6B41F-AAC6-4FC6-BB19-124429C33005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95250</xdr:colOff>
      <xdr:row>50</xdr:row>
      <xdr:rowOff>19050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852A6B1-6C44-4EE0-9640-DAC84E9092B4}"/>
            </a:ext>
          </a:extLst>
        </xdr:cNvPr>
        <xdr:cNvCxnSpPr/>
      </xdr:nvCxnSpPr>
      <xdr:spPr>
        <a:xfrm>
          <a:off x="1657350" y="9544050"/>
          <a:ext cx="14097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5194CDA-01BC-4DD2-A7AF-3A90DDB13683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0293995-2A78-4D36-9B59-864C81BD14A1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523EF54-6E5A-455F-8CEC-0624E37E3DEC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2668A2FA-8E36-4FC0-8FA4-E9AA346F6AE3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93F7A11-3921-46C2-BCBA-2D2E45F073AB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EAF6878A-8392-4518-9985-31699876F97B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2815D59F-EB8B-489E-B2F9-CD762E8D39AB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04EF17C1-5FF3-494A-B557-C94D1842CD3D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8F4B0D49-3226-47AB-9A95-A5A0640AC512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D754D659-811A-42B7-AF3C-5EF2E900AFE8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126</xdr:row>
      <xdr:rowOff>0</xdr:rowOff>
    </xdr:from>
    <xdr:to>
      <xdr:col>4</xdr:col>
      <xdr:colOff>47625</xdr:colOff>
      <xdr:row>126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5D31E8D-A1FA-4811-8075-86D73EEC2ECE}"/>
            </a:ext>
          </a:extLst>
        </xdr:cNvPr>
        <xdr:cNvCxnSpPr/>
      </xdr:nvCxnSpPr>
      <xdr:spPr>
        <a:xfrm flipV="1">
          <a:off x="1685925" y="24079200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2146C6D-BCD1-4F9B-83CB-DC90E357855D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F4FF6921-BBFA-4BD7-8218-C4BF4EBB2CD9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8581</xdr:rowOff>
    </xdr:from>
    <xdr:to>
      <xdr:col>3</xdr:col>
      <xdr:colOff>1390136</xdr:colOff>
      <xdr:row>145</xdr:row>
      <xdr:rowOff>9526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E3EBD497-A439-473C-B5B0-0746D6771A2B}"/>
            </a:ext>
          </a:extLst>
        </xdr:cNvPr>
        <xdr:cNvCxnSpPr/>
      </xdr:nvCxnSpPr>
      <xdr:spPr>
        <a:xfrm flipV="1">
          <a:off x="1657350" y="27716806"/>
          <a:ext cx="1313936" cy="94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CA2B4FA7-1A55-49AF-8099-E8C58569E0F5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F27A3E37-2C38-4CD3-BBC0-8C4F46B81C84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5279EC7-2E64-4B0D-B0A0-2A377851D2C7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03F1E4-0B94-442D-AD54-9104F6A5CB62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5B51FD6-2024-47F2-AED2-FAE5B0884C5C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A82297B2-F158-4F70-8ED1-969BA4E78F95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0B4E1E92-12E1-4876-9682-59AE124E6D1A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4F037844-2251-4ECE-B536-1B8023396643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202</xdr:row>
      <xdr:rowOff>0</xdr:rowOff>
    </xdr:from>
    <xdr:to>
      <xdr:col>3</xdr:col>
      <xdr:colOff>1402773</xdr:colOff>
      <xdr:row>202</xdr:row>
      <xdr:rowOff>17318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01D450D6-DF54-4886-9597-163B95FF8A9A}"/>
            </a:ext>
          </a:extLst>
        </xdr:cNvPr>
        <xdr:cNvCxnSpPr/>
      </xdr:nvCxnSpPr>
      <xdr:spPr>
        <a:xfrm>
          <a:off x="1657350" y="38595300"/>
          <a:ext cx="131704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4A988AA7-971C-4F62-9F77-5EC5397219BE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1D6E1E56-1CFF-43F2-ADF8-70C366344AB6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3</xdr:col>
      <xdr:colOff>1000125</xdr:colOff>
      <xdr:row>221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9FD718B2-F66F-4184-9487-BC6107EA5AB9}"/>
            </a:ext>
          </a:extLst>
        </xdr:cNvPr>
        <xdr:cNvCxnSpPr/>
      </xdr:nvCxnSpPr>
      <xdr:spPr>
        <a:xfrm>
          <a:off x="1657350" y="42224325"/>
          <a:ext cx="10001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2E26F7F5-EB6D-471B-9586-62DD4C1AF290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A7DA45E5-F77C-4F27-B695-A911D45F2637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3192EEAE-AB61-4BED-8496-F492D4244530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29CE2667-947A-4A81-AABB-CAC6AB334DF9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7341AC7E-4B23-41B3-92F6-0CB82C517725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362686D2-9D2D-4C16-BA43-44199F190480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3CF0BCB5-8CEA-4266-8360-B85E0D0B6356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278</xdr:row>
      <xdr:rowOff>0</xdr:rowOff>
    </xdr:from>
    <xdr:to>
      <xdr:col>14</xdr:col>
      <xdr:colOff>161925</xdr:colOff>
      <xdr:row>278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E2757D18-A241-4808-8918-53059D316CAA}"/>
            </a:ext>
          </a:extLst>
        </xdr:cNvPr>
        <xdr:cNvCxnSpPr/>
      </xdr:nvCxnSpPr>
      <xdr:spPr>
        <a:xfrm>
          <a:off x="8343900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297</xdr:row>
      <xdr:rowOff>19050</xdr:rowOff>
    </xdr:from>
    <xdr:to>
      <xdr:col>4</xdr:col>
      <xdr:colOff>104775</xdr:colOff>
      <xdr:row>297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AC08F5C6-69BD-4D64-855E-F95C591596D7}"/>
            </a:ext>
          </a:extLst>
        </xdr:cNvPr>
        <xdr:cNvCxnSpPr/>
      </xdr:nvCxnSpPr>
      <xdr:spPr>
        <a:xfrm>
          <a:off x="1647825" y="567594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4F3A81F-28E9-4210-8039-9F1AC0D5B100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E20C9BD5-F550-4A58-9DCD-F6212536070F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316</xdr:row>
      <xdr:rowOff>1</xdr:rowOff>
    </xdr:from>
    <xdr:to>
      <xdr:col>4</xdr:col>
      <xdr:colOff>19050</xdr:colOff>
      <xdr:row>316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5FDD8A8-C8CF-4742-AC2D-DBB08AD836CA}"/>
            </a:ext>
          </a:extLst>
        </xdr:cNvPr>
        <xdr:cNvCxnSpPr/>
      </xdr:nvCxnSpPr>
      <xdr:spPr>
        <a:xfrm>
          <a:off x="1676400" y="60369451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19050</xdr:rowOff>
    </xdr:from>
    <xdr:to>
      <xdr:col>9</xdr:col>
      <xdr:colOff>123825</xdr:colOff>
      <xdr:row>316</xdr:row>
      <xdr:rowOff>19050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D3A38501-4EFF-4F64-B78D-B2FED4775FD5}"/>
            </a:ext>
          </a:extLst>
        </xdr:cNvPr>
        <xdr:cNvCxnSpPr/>
      </xdr:nvCxnSpPr>
      <xdr:spPr>
        <a:xfrm>
          <a:off x="5076825" y="6038850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18AB05C1-7F70-4335-9AD4-5AAC71395E25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335</xdr:row>
      <xdr:rowOff>0</xdr:rowOff>
    </xdr:from>
    <xdr:to>
      <xdr:col>3</xdr:col>
      <xdr:colOff>1295400</xdr:colOff>
      <xdr:row>335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A7010A2B-7F48-4AA3-B46D-4C6679FEE226}"/>
            </a:ext>
          </a:extLst>
        </xdr:cNvPr>
        <xdr:cNvCxnSpPr/>
      </xdr:nvCxnSpPr>
      <xdr:spPr>
        <a:xfrm>
          <a:off x="16192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335</xdr:row>
      <xdr:rowOff>28575</xdr:rowOff>
    </xdr:from>
    <xdr:to>
      <xdr:col>9</xdr:col>
      <xdr:colOff>57150</xdr:colOff>
      <xdr:row>335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3FE5377-9A45-430B-88F1-94BABDE64268}"/>
            </a:ext>
          </a:extLst>
        </xdr:cNvPr>
        <xdr:cNvCxnSpPr/>
      </xdr:nvCxnSpPr>
      <xdr:spPr>
        <a:xfrm>
          <a:off x="5010150" y="640270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9748BFFD-0349-41CA-AFC6-A584E49B196B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353</xdr:row>
      <xdr:rowOff>180975</xdr:rowOff>
    </xdr:from>
    <xdr:to>
      <xdr:col>4</xdr:col>
      <xdr:colOff>19050</xdr:colOff>
      <xdr:row>354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C6125A6A-E778-406C-BE70-9D7C4779284F}"/>
            </a:ext>
          </a:extLst>
        </xdr:cNvPr>
        <xdr:cNvCxnSpPr/>
      </xdr:nvCxnSpPr>
      <xdr:spPr>
        <a:xfrm>
          <a:off x="1638300" y="67617975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46667119-6B06-4789-BD8D-B02DFB20F0A0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5209FB88-4664-489F-9E46-E1059776FC03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550D5FFD-3EBD-4849-8F1D-0FBA87814D1E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E708CBD-A6B0-4669-AA57-059C22AE03D2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E1996C58-CC5A-49EA-B0CC-BD45B796EDA0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952E16A-E71C-49F4-AB50-649AFA66ECBE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54B02CDC-CE9D-4D2B-9E8E-1DAC4311E49A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600ED68E-8ABD-4A57-BD20-C808E34736FF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B5C6A323-C285-4104-BA28-88B693ECB6B5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B0E2D037-5A1F-4A4A-B874-3F3C2DCCF553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4CB934F2-2D63-41A0-86B7-569B8DB41EDA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92B69B4E-83D0-4434-8419-B9412DF1D933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9D2323D0-AF23-41F8-A073-24D1FF21CCBF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AAAD1526-1A72-497B-B0E1-C1E88C04039C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1A82E59-A63B-4176-9930-FE5117CC1571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BAA9E565-45D9-4C35-8364-D1220B81C1BE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4</xdr:col>
      <xdr:colOff>34636</xdr:colOff>
      <xdr:row>221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C73BC9B-0EFB-4FA7-873E-A3DE154B6042}"/>
            </a:ext>
          </a:extLst>
        </xdr:cNvPr>
        <xdr:cNvCxnSpPr/>
      </xdr:nvCxnSpPr>
      <xdr:spPr>
        <a:xfrm>
          <a:off x="1657350" y="42224325"/>
          <a:ext cx="1349086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221</xdr:row>
      <xdr:rowOff>19050</xdr:rowOff>
    </xdr:from>
    <xdr:to>
      <xdr:col>14</xdr:col>
      <xdr:colOff>8659</xdr:colOff>
      <xdr:row>221</xdr:row>
      <xdr:rowOff>19916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FCB03A46-2287-4A36-A8AF-CC0A126BCDBF}"/>
            </a:ext>
          </a:extLst>
        </xdr:cNvPr>
        <xdr:cNvCxnSpPr/>
      </xdr:nvCxnSpPr>
      <xdr:spPr>
        <a:xfrm>
          <a:off x="8477250" y="42243375"/>
          <a:ext cx="1265959" cy="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BE432A4C-E9BB-46D3-B6C7-DFE5C303F2D0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239</xdr:row>
      <xdr:rowOff>180975</xdr:rowOff>
    </xdr:from>
    <xdr:to>
      <xdr:col>13</xdr:col>
      <xdr:colOff>1279813</xdr:colOff>
      <xdr:row>240</xdr:row>
      <xdr:rowOff>7793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F48A7F03-BD76-48E4-8F05-9512E562B26D}"/>
            </a:ext>
          </a:extLst>
        </xdr:cNvPr>
        <xdr:cNvCxnSpPr/>
      </xdr:nvCxnSpPr>
      <xdr:spPr>
        <a:xfrm>
          <a:off x="8439150" y="45843825"/>
          <a:ext cx="128933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3BDC75-7536-4CCE-870B-F8677D633770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2D6F77A9-955A-42CD-9FC3-DDDBD1DBAFB1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0</xdr:colOff>
      <xdr:row>259</xdr:row>
      <xdr:rowOff>9525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8FD0D38B-BEC5-4BA5-94AB-4643FE3429C4}"/>
            </a:ext>
          </a:extLst>
        </xdr:cNvPr>
        <xdr:cNvCxnSpPr/>
      </xdr:nvCxnSpPr>
      <xdr:spPr>
        <a:xfrm>
          <a:off x="8448675" y="49482375"/>
          <a:ext cx="12858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9E1ECB0D-F5BB-47D9-A302-55DE37C6A499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6717D8B9-1EA1-4A8C-B88D-8776D651B8B5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FF6CA394-DB06-4457-A6C9-4AC93FDFDCC6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A5D70B9E-B781-423C-81EE-64C40063FFC6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5EA4C97-92D3-40CA-BEE7-866B146BCC2C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47625</xdr:colOff>
      <xdr:row>12</xdr:row>
      <xdr:rowOff>9525</xdr:rowOff>
    </xdr:from>
    <xdr:to>
      <xdr:col>9</xdr:col>
      <xdr:colOff>47625</xdr:colOff>
      <xdr:row>12</xdr:row>
      <xdr:rowOff>19050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2203E2F-6D68-4249-8872-B928288748A7}"/>
            </a:ext>
          </a:extLst>
        </xdr:cNvPr>
        <xdr:cNvCxnSpPr/>
      </xdr:nvCxnSpPr>
      <xdr:spPr>
        <a:xfrm flipV="1">
          <a:off x="5124450" y="2295525"/>
          <a:ext cx="11906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7A7F9AC-28BF-40D8-B360-090D96A51E59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9525</xdr:rowOff>
    </xdr:from>
    <xdr:to>
      <xdr:col>4</xdr:col>
      <xdr:colOff>123825</xdr:colOff>
      <xdr:row>31</xdr:row>
      <xdr:rowOff>9526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EF24EB4-4D2F-4153-87F2-AE536411AB6A}"/>
            </a:ext>
          </a:extLst>
        </xdr:cNvPr>
        <xdr:cNvCxnSpPr/>
      </xdr:nvCxnSpPr>
      <xdr:spPr>
        <a:xfrm flipV="1">
          <a:off x="1657350" y="5924550"/>
          <a:ext cx="14382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</xdr:row>
      <xdr:rowOff>9526</xdr:rowOff>
    </xdr:from>
    <xdr:to>
      <xdr:col>9</xdr:col>
      <xdr:colOff>38100</xdr:colOff>
      <xdr:row>31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95230630-37AB-4070-86C3-A2334B0ABFFC}"/>
            </a:ext>
          </a:extLst>
        </xdr:cNvPr>
        <xdr:cNvCxnSpPr/>
      </xdr:nvCxnSpPr>
      <xdr:spPr>
        <a:xfrm>
          <a:off x="5076825" y="5924551"/>
          <a:ext cx="12287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</xdr:row>
      <xdr:rowOff>0</xdr:rowOff>
    </xdr:from>
    <xdr:to>
      <xdr:col>14</xdr:col>
      <xdr:colOff>133350</xdr:colOff>
      <xdr:row>31</xdr:row>
      <xdr:rowOff>9524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7F6FE92-8086-4488-9241-3C6278750437}"/>
            </a:ext>
          </a:extLst>
        </xdr:cNvPr>
        <xdr:cNvCxnSpPr/>
      </xdr:nvCxnSpPr>
      <xdr:spPr>
        <a:xfrm>
          <a:off x="8448675" y="5915025"/>
          <a:ext cx="1419225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50</xdr:row>
      <xdr:rowOff>0</xdr:rowOff>
    </xdr:from>
    <xdr:to>
      <xdr:col>4</xdr:col>
      <xdr:colOff>95250</xdr:colOff>
      <xdr:row>50</xdr:row>
      <xdr:rowOff>19050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FF56513-78F0-4EE7-B60C-371F1C8D7228}"/>
            </a:ext>
          </a:extLst>
        </xdr:cNvPr>
        <xdr:cNvCxnSpPr/>
      </xdr:nvCxnSpPr>
      <xdr:spPr>
        <a:xfrm>
          <a:off x="1657350" y="9544050"/>
          <a:ext cx="140970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49</xdr:row>
      <xdr:rowOff>180975</xdr:rowOff>
    </xdr:from>
    <xdr:to>
      <xdr:col>9</xdr:col>
      <xdr:colOff>104775</xdr:colOff>
      <xdr:row>50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F8331A8A-EC2E-4B86-B09F-8EF343EDA897}"/>
            </a:ext>
          </a:extLst>
        </xdr:cNvPr>
        <xdr:cNvCxnSpPr/>
      </xdr:nvCxnSpPr>
      <xdr:spPr>
        <a:xfrm flipV="1">
          <a:off x="5076825" y="9534525"/>
          <a:ext cx="12954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50</xdr:row>
      <xdr:rowOff>0</xdr:rowOff>
    </xdr:from>
    <xdr:to>
      <xdr:col>14</xdr:col>
      <xdr:colOff>85725</xdr:colOff>
      <xdr:row>50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192FA932-D90C-4088-A02D-4ACC870F0D46}"/>
            </a:ext>
          </a:extLst>
        </xdr:cNvPr>
        <xdr:cNvCxnSpPr/>
      </xdr:nvCxnSpPr>
      <xdr:spPr>
        <a:xfrm>
          <a:off x="8448675" y="9544050"/>
          <a:ext cx="13716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69</xdr:row>
      <xdr:rowOff>0</xdr:rowOff>
    </xdr:from>
    <xdr:to>
      <xdr:col>4</xdr:col>
      <xdr:colOff>0</xdr:colOff>
      <xdr:row>69</xdr:row>
      <xdr:rowOff>9525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87ADE79B-5B18-4F2F-9478-9226E35A3AB5}"/>
            </a:ext>
          </a:extLst>
        </xdr:cNvPr>
        <xdr:cNvCxnSpPr/>
      </xdr:nvCxnSpPr>
      <xdr:spPr>
        <a:xfrm>
          <a:off x="1657350" y="13173075"/>
          <a:ext cx="13144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68</xdr:row>
      <xdr:rowOff>180975</xdr:rowOff>
    </xdr:from>
    <xdr:to>
      <xdr:col>9</xdr:col>
      <xdr:colOff>19050</xdr:colOff>
      <xdr:row>69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91F4453-AC09-4224-B85E-139DAD7FF3C0}"/>
            </a:ext>
          </a:extLst>
        </xdr:cNvPr>
        <xdr:cNvCxnSpPr/>
      </xdr:nvCxnSpPr>
      <xdr:spPr>
        <a:xfrm flipV="1">
          <a:off x="5076825" y="13163550"/>
          <a:ext cx="12096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69</xdr:row>
      <xdr:rowOff>0</xdr:rowOff>
    </xdr:from>
    <xdr:to>
      <xdr:col>14</xdr:col>
      <xdr:colOff>114300</xdr:colOff>
      <xdr:row>69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8D51A89-26F4-4977-B8C1-E2B97179D30A}"/>
            </a:ext>
          </a:extLst>
        </xdr:cNvPr>
        <xdr:cNvCxnSpPr/>
      </xdr:nvCxnSpPr>
      <xdr:spPr>
        <a:xfrm flipV="1">
          <a:off x="8448675" y="13173075"/>
          <a:ext cx="14001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2736E51-24DC-4699-B6BF-65E56095E546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E948C510-6D96-4B42-B69F-965B361A28FD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8FD9553C-B324-45EA-9EF3-B0E60C8F2BF8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BBAE346-7757-4780-84A1-A52BF89983BE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3A44B9ED-D05D-4A3F-8AE8-E6D7A521A734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28575</xdr:colOff>
      <xdr:row>126</xdr:row>
      <xdr:rowOff>0</xdr:rowOff>
    </xdr:from>
    <xdr:to>
      <xdr:col>4</xdr:col>
      <xdr:colOff>47625</xdr:colOff>
      <xdr:row>126</xdr:row>
      <xdr:rowOff>9525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1011B48-5F09-46BF-AA7D-E73FF0A1A0E9}"/>
            </a:ext>
          </a:extLst>
        </xdr:cNvPr>
        <xdr:cNvCxnSpPr/>
      </xdr:nvCxnSpPr>
      <xdr:spPr>
        <a:xfrm flipV="1">
          <a:off x="1685925" y="24079200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125</xdr:row>
      <xdr:rowOff>180975</xdr:rowOff>
    </xdr:from>
    <xdr:to>
      <xdr:col>9</xdr:col>
      <xdr:colOff>38100</xdr:colOff>
      <xdr:row>126</xdr:row>
      <xdr:rowOff>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B36DB559-0DBE-419F-A2EF-4D0D199A3D27}"/>
            </a:ext>
          </a:extLst>
        </xdr:cNvPr>
        <xdr:cNvCxnSpPr/>
      </xdr:nvCxnSpPr>
      <xdr:spPr>
        <a:xfrm flipV="1">
          <a:off x="5076825" y="24069675"/>
          <a:ext cx="12287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126</xdr:row>
      <xdr:rowOff>0</xdr:rowOff>
    </xdr:from>
    <xdr:to>
      <xdr:col>14</xdr:col>
      <xdr:colOff>133350</xdr:colOff>
      <xdr:row>126</xdr:row>
      <xdr:rowOff>9525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CD5E1A06-BDFD-415B-9CC5-29066247BDA1}"/>
            </a:ext>
          </a:extLst>
        </xdr:cNvPr>
        <xdr:cNvCxnSpPr/>
      </xdr:nvCxnSpPr>
      <xdr:spPr>
        <a:xfrm flipV="1">
          <a:off x="8448675" y="24079200"/>
          <a:ext cx="14192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145</xdr:row>
      <xdr:rowOff>8581</xdr:rowOff>
    </xdr:from>
    <xdr:to>
      <xdr:col>3</xdr:col>
      <xdr:colOff>1390136</xdr:colOff>
      <xdr:row>145</xdr:row>
      <xdr:rowOff>9526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4A7A935E-8662-43B0-8E2A-0D321C2494EF}"/>
            </a:ext>
          </a:extLst>
        </xdr:cNvPr>
        <xdr:cNvCxnSpPr/>
      </xdr:nvCxnSpPr>
      <xdr:spPr>
        <a:xfrm flipV="1">
          <a:off x="1657350" y="27716806"/>
          <a:ext cx="1313936" cy="94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8D028F0A-B964-4A69-8957-31D3BED2C465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CF52734C-1AC3-4A4D-AD5B-59917BBBCB84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164</xdr:row>
      <xdr:rowOff>2</xdr:rowOff>
    </xdr:from>
    <xdr:to>
      <xdr:col>4</xdr:col>
      <xdr:colOff>0</xdr:colOff>
      <xdr:row>164</xdr:row>
      <xdr:rowOff>9525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C6774FBA-2D65-4338-936D-62D9B265845C}"/>
            </a:ext>
          </a:extLst>
        </xdr:cNvPr>
        <xdr:cNvCxnSpPr/>
      </xdr:nvCxnSpPr>
      <xdr:spPr>
        <a:xfrm>
          <a:off x="1657350" y="31337252"/>
          <a:ext cx="1314450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71DC29E-A3F2-46C0-A787-AF0F15F36038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164</xdr:row>
      <xdr:rowOff>0</xdr:rowOff>
    </xdr:from>
    <xdr:to>
      <xdr:col>14</xdr:col>
      <xdr:colOff>114300</xdr:colOff>
      <xdr:row>164</xdr:row>
      <xdr:rowOff>19050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097991C9-670D-433E-8F51-FB9DB318A419}"/>
            </a:ext>
          </a:extLst>
        </xdr:cNvPr>
        <xdr:cNvCxnSpPr/>
      </xdr:nvCxnSpPr>
      <xdr:spPr>
        <a:xfrm>
          <a:off x="8448675" y="31337250"/>
          <a:ext cx="1400175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183</xdr:row>
      <xdr:rowOff>0</xdr:rowOff>
    </xdr:from>
    <xdr:to>
      <xdr:col>4</xdr:col>
      <xdr:colOff>38100</xdr:colOff>
      <xdr:row>183</xdr:row>
      <xdr:rowOff>19050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FEF3085C-9FBD-41B3-BEA4-FFBE5103A003}"/>
            </a:ext>
          </a:extLst>
        </xdr:cNvPr>
        <xdr:cNvCxnSpPr/>
      </xdr:nvCxnSpPr>
      <xdr:spPr>
        <a:xfrm>
          <a:off x="1657350" y="34966275"/>
          <a:ext cx="1352550" cy="1905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10ECDDE7-3AF5-4492-B6D1-AFF07AD503B3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903CE440-8962-40AF-8EC1-AC874C0FBC7E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202</xdr:row>
      <xdr:rowOff>0</xdr:rowOff>
    </xdr:from>
    <xdr:to>
      <xdr:col>3</xdr:col>
      <xdr:colOff>1402773</xdr:colOff>
      <xdr:row>202</xdr:row>
      <xdr:rowOff>17318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742E2AFB-FDFB-473E-BA6F-C61D22F7D5CA}"/>
            </a:ext>
          </a:extLst>
        </xdr:cNvPr>
        <xdr:cNvCxnSpPr/>
      </xdr:nvCxnSpPr>
      <xdr:spPr>
        <a:xfrm>
          <a:off x="1657350" y="38595300"/>
          <a:ext cx="131704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652887D9-79D0-4096-84AB-F47776A8EADA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4CDE41F6-FE2D-4199-8FA9-E24326E0E929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3</xdr:col>
      <xdr:colOff>1000125</xdr:colOff>
      <xdr:row>221</xdr:row>
      <xdr:rowOff>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C0E02799-60A5-4C46-B6B6-1A04D15136D8}"/>
            </a:ext>
          </a:extLst>
        </xdr:cNvPr>
        <xdr:cNvCxnSpPr/>
      </xdr:nvCxnSpPr>
      <xdr:spPr>
        <a:xfrm>
          <a:off x="1657350" y="42224325"/>
          <a:ext cx="10001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220</xdr:row>
      <xdr:rowOff>180975</xdr:rowOff>
    </xdr:from>
    <xdr:to>
      <xdr:col>9</xdr:col>
      <xdr:colOff>114300</xdr:colOff>
      <xdr:row>221</xdr:row>
      <xdr:rowOff>0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9857751C-A17C-497C-A58C-667FE3CA6FA9}"/>
            </a:ext>
          </a:extLst>
        </xdr:cNvPr>
        <xdr:cNvCxnSpPr/>
      </xdr:nvCxnSpPr>
      <xdr:spPr>
        <a:xfrm flipV="1">
          <a:off x="5076825" y="42214800"/>
          <a:ext cx="13049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F068E06D-1D79-447A-9815-C821F00838FD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240</xdr:row>
      <xdr:rowOff>2</xdr:rowOff>
    </xdr:from>
    <xdr:to>
      <xdr:col>9</xdr:col>
      <xdr:colOff>76200</xdr:colOff>
      <xdr:row>240</xdr:row>
      <xdr:rowOff>19050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ADAAFFEE-D2A0-49EC-8F1E-24591355222D}"/>
            </a:ext>
          </a:extLst>
        </xdr:cNvPr>
        <xdr:cNvCxnSpPr/>
      </xdr:nvCxnSpPr>
      <xdr:spPr>
        <a:xfrm>
          <a:off x="5076825" y="45853352"/>
          <a:ext cx="1266825" cy="1904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A891A26-8D35-4BEB-AF27-A07996CF9A0D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E46F42DD-11FC-4916-A16E-D11F59CC6BD0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213948B5-F918-4366-A680-8614B2B8F93B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278</xdr:row>
      <xdr:rowOff>0</xdr:rowOff>
    </xdr:from>
    <xdr:to>
      <xdr:col>9</xdr:col>
      <xdr:colOff>171450</xdr:colOff>
      <xdr:row>278</xdr:row>
      <xdr:rowOff>9525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049F8160-A09A-4ED5-BE77-1B85EBCC4DBB}"/>
            </a:ext>
          </a:extLst>
        </xdr:cNvPr>
        <xdr:cNvCxnSpPr/>
      </xdr:nvCxnSpPr>
      <xdr:spPr>
        <a:xfrm>
          <a:off x="5076825" y="53111400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161925</xdr:colOff>
      <xdr:row>278</xdr:row>
      <xdr:rowOff>0</xdr:rowOff>
    </xdr:from>
    <xdr:to>
      <xdr:col>14</xdr:col>
      <xdr:colOff>161925</xdr:colOff>
      <xdr:row>278</xdr:row>
      <xdr:rowOff>9525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B19E850D-DD13-49DA-A858-FEA69C2804D5}"/>
            </a:ext>
          </a:extLst>
        </xdr:cNvPr>
        <xdr:cNvCxnSpPr/>
      </xdr:nvCxnSpPr>
      <xdr:spPr>
        <a:xfrm>
          <a:off x="8343900" y="53111400"/>
          <a:ext cx="15525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161925</xdr:colOff>
      <xdr:row>297</xdr:row>
      <xdr:rowOff>19050</xdr:rowOff>
    </xdr:from>
    <xdr:to>
      <xdr:col>4</xdr:col>
      <xdr:colOff>104775</xdr:colOff>
      <xdr:row>297</xdr:row>
      <xdr:rowOff>19050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C1B169F6-7071-4ABE-97C2-AD1BE6AFEC30}"/>
            </a:ext>
          </a:extLst>
        </xdr:cNvPr>
        <xdr:cNvCxnSpPr/>
      </xdr:nvCxnSpPr>
      <xdr:spPr>
        <a:xfrm>
          <a:off x="1647825" y="567594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296</xdr:row>
      <xdr:rowOff>180975</xdr:rowOff>
    </xdr:from>
    <xdr:to>
      <xdr:col>9</xdr:col>
      <xdr:colOff>66675</xdr:colOff>
      <xdr:row>297</xdr:row>
      <xdr:rowOff>0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6DD83400-1097-4DA7-97F4-41C4AA82630C}"/>
            </a:ext>
          </a:extLst>
        </xdr:cNvPr>
        <xdr:cNvCxnSpPr/>
      </xdr:nvCxnSpPr>
      <xdr:spPr>
        <a:xfrm flipV="1">
          <a:off x="5076825" y="56730900"/>
          <a:ext cx="12573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297</xdr:row>
      <xdr:rowOff>0</xdr:rowOff>
    </xdr:from>
    <xdr:to>
      <xdr:col>14</xdr:col>
      <xdr:colOff>161925</xdr:colOff>
      <xdr:row>297</xdr:row>
      <xdr:rowOff>9525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24840287-563A-4E0E-AA51-667C7743D04C}"/>
            </a:ext>
          </a:extLst>
        </xdr:cNvPr>
        <xdr:cNvCxnSpPr/>
      </xdr:nvCxnSpPr>
      <xdr:spPr>
        <a:xfrm flipV="1">
          <a:off x="8448675" y="56740425"/>
          <a:ext cx="14478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</xdr:colOff>
      <xdr:row>316</xdr:row>
      <xdr:rowOff>1</xdr:rowOff>
    </xdr:from>
    <xdr:to>
      <xdr:col>4</xdr:col>
      <xdr:colOff>19050</xdr:colOff>
      <xdr:row>316</xdr:row>
      <xdr:rowOff>9525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886A9924-D73D-41D1-8F38-3A2D4E5A6931}"/>
            </a:ext>
          </a:extLst>
        </xdr:cNvPr>
        <xdr:cNvCxnSpPr/>
      </xdr:nvCxnSpPr>
      <xdr:spPr>
        <a:xfrm>
          <a:off x="1676400" y="60369451"/>
          <a:ext cx="1314450" cy="9524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316</xdr:row>
      <xdr:rowOff>19050</xdr:rowOff>
    </xdr:from>
    <xdr:to>
      <xdr:col>9</xdr:col>
      <xdr:colOff>123825</xdr:colOff>
      <xdr:row>316</xdr:row>
      <xdr:rowOff>19050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4CC84ADD-DA19-4DFC-9B67-EE4509A2E74F}"/>
            </a:ext>
          </a:extLst>
        </xdr:cNvPr>
        <xdr:cNvCxnSpPr/>
      </xdr:nvCxnSpPr>
      <xdr:spPr>
        <a:xfrm>
          <a:off x="5076825" y="6038850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029C308-88C9-4DA8-8ED6-8A230EDADB49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133350</xdr:colOff>
      <xdr:row>335</xdr:row>
      <xdr:rowOff>0</xdr:rowOff>
    </xdr:from>
    <xdr:to>
      <xdr:col>3</xdr:col>
      <xdr:colOff>1295400</xdr:colOff>
      <xdr:row>335</xdr:row>
      <xdr:rowOff>9525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45B01AF9-5F60-406C-96F4-1D46ABF02E3D}"/>
            </a:ext>
          </a:extLst>
        </xdr:cNvPr>
        <xdr:cNvCxnSpPr/>
      </xdr:nvCxnSpPr>
      <xdr:spPr>
        <a:xfrm>
          <a:off x="1619250" y="63998475"/>
          <a:ext cx="133350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335</xdr:row>
      <xdr:rowOff>28575</xdr:rowOff>
    </xdr:from>
    <xdr:to>
      <xdr:col>9</xdr:col>
      <xdr:colOff>57150</xdr:colOff>
      <xdr:row>335</xdr:row>
      <xdr:rowOff>28575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101E2FBF-50CB-41AE-A808-B5FBE48C6414}"/>
            </a:ext>
          </a:extLst>
        </xdr:cNvPr>
        <xdr:cNvCxnSpPr/>
      </xdr:nvCxnSpPr>
      <xdr:spPr>
        <a:xfrm>
          <a:off x="5010150" y="64027050"/>
          <a:ext cx="13144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335</xdr:row>
      <xdr:rowOff>0</xdr:rowOff>
    </xdr:from>
    <xdr:to>
      <xdr:col>14</xdr:col>
      <xdr:colOff>219075</xdr:colOff>
      <xdr:row>335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5AE6827-91A1-4B48-8E24-4439FDBF2087}"/>
            </a:ext>
          </a:extLst>
        </xdr:cNvPr>
        <xdr:cNvCxnSpPr/>
      </xdr:nvCxnSpPr>
      <xdr:spPr>
        <a:xfrm>
          <a:off x="8448675" y="63998475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152400</xdr:colOff>
      <xdr:row>353</xdr:row>
      <xdr:rowOff>180975</xdr:rowOff>
    </xdr:from>
    <xdr:to>
      <xdr:col>4</xdr:col>
      <xdr:colOff>19050</xdr:colOff>
      <xdr:row>354</xdr:row>
      <xdr:rowOff>0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78A5B20-06FF-4BD6-8BC4-3AC0652CB448}"/>
            </a:ext>
          </a:extLst>
        </xdr:cNvPr>
        <xdr:cNvCxnSpPr/>
      </xdr:nvCxnSpPr>
      <xdr:spPr>
        <a:xfrm>
          <a:off x="1638300" y="67617975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6E9AEADD-570E-4B72-BB90-6C5DBF870D21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62262DE7-9EBE-49AE-A30A-BEE09444A195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12</xdr:row>
      <xdr:rowOff>0</xdr:rowOff>
    </xdr:from>
    <xdr:to>
      <xdr:col>4</xdr:col>
      <xdr:colOff>28575</xdr:colOff>
      <xdr:row>12</xdr:row>
      <xdr:rowOff>0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0C5D8068-1EDC-449B-ACCE-A1A814681F46}"/>
            </a:ext>
          </a:extLst>
        </xdr:cNvPr>
        <xdr:cNvCxnSpPr/>
      </xdr:nvCxnSpPr>
      <xdr:spPr>
        <a:xfrm>
          <a:off x="1657350" y="2286000"/>
          <a:ext cx="13430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95250</xdr:colOff>
      <xdr:row>12</xdr:row>
      <xdr:rowOff>9525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B6E9E1FD-9926-4434-88FA-59329F17D349}"/>
            </a:ext>
          </a:extLst>
        </xdr:cNvPr>
        <xdr:cNvCxnSpPr/>
      </xdr:nvCxnSpPr>
      <xdr:spPr>
        <a:xfrm flipV="1">
          <a:off x="8448675" y="2286000"/>
          <a:ext cx="138112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88</xdr:row>
      <xdr:rowOff>0</xdr:rowOff>
    </xdr:from>
    <xdr:to>
      <xdr:col>9</xdr:col>
      <xdr:colOff>95250</xdr:colOff>
      <xdr:row>88</xdr:row>
      <xdr:rowOff>2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AC6EB781-74F2-4CD8-AD97-7001D7BDA666}"/>
            </a:ext>
          </a:extLst>
        </xdr:cNvPr>
        <xdr:cNvCxnSpPr/>
      </xdr:nvCxnSpPr>
      <xdr:spPr>
        <a:xfrm flipV="1">
          <a:off x="5076825" y="16811625"/>
          <a:ext cx="12858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88</xdr:row>
      <xdr:rowOff>0</xdr:rowOff>
    </xdr:from>
    <xdr:to>
      <xdr:col>14</xdr:col>
      <xdr:colOff>190500</xdr:colOff>
      <xdr:row>88</xdr:row>
      <xdr:rowOff>2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FB8FAA2C-C019-42D6-89D0-273161BBA9EB}"/>
            </a:ext>
          </a:extLst>
        </xdr:cNvPr>
        <xdr:cNvCxnSpPr/>
      </xdr:nvCxnSpPr>
      <xdr:spPr>
        <a:xfrm flipV="1">
          <a:off x="8448675" y="16811625"/>
          <a:ext cx="1476375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107</xdr:row>
      <xdr:rowOff>2</xdr:rowOff>
    </xdr:from>
    <xdr:to>
      <xdr:col>4</xdr:col>
      <xdr:colOff>28575</xdr:colOff>
      <xdr:row>107</xdr:row>
      <xdr:rowOff>9525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BA2F8A98-666D-453A-97B7-6840A8B92FE7}"/>
            </a:ext>
          </a:extLst>
        </xdr:cNvPr>
        <xdr:cNvCxnSpPr/>
      </xdr:nvCxnSpPr>
      <xdr:spPr>
        <a:xfrm>
          <a:off x="1657350" y="20450177"/>
          <a:ext cx="1343025" cy="9523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107</xdr:row>
      <xdr:rowOff>0</xdr:rowOff>
    </xdr:from>
    <xdr:to>
      <xdr:col>9</xdr:col>
      <xdr:colOff>95250</xdr:colOff>
      <xdr:row>107</xdr:row>
      <xdr:rowOff>0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E879A0E4-4E7F-4E05-8EC7-A40044BE2932}"/>
            </a:ext>
          </a:extLst>
        </xdr:cNvPr>
        <xdr:cNvCxnSpPr/>
      </xdr:nvCxnSpPr>
      <xdr:spPr>
        <a:xfrm>
          <a:off x="5076825" y="20450175"/>
          <a:ext cx="12858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107</xdr:row>
      <xdr:rowOff>0</xdr:rowOff>
    </xdr:from>
    <xdr:to>
      <xdr:col>14</xdr:col>
      <xdr:colOff>190500</xdr:colOff>
      <xdr:row>107</xdr:row>
      <xdr:rowOff>0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0E2C51C9-8ADC-4D8C-A236-9187C429C245}"/>
            </a:ext>
          </a:extLst>
        </xdr:cNvPr>
        <xdr:cNvCxnSpPr/>
      </xdr:nvCxnSpPr>
      <xdr:spPr>
        <a:xfrm>
          <a:off x="8448675" y="20450175"/>
          <a:ext cx="147637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145</xdr:row>
      <xdr:rowOff>19050</xdr:rowOff>
    </xdr:from>
    <xdr:to>
      <xdr:col>9</xdr:col>
      <xdr:colOff>66675</xdr:colOff>
      <xdr:row>145</xdr:row>
      <xdr:rowOff>19052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0F6C8713-C6C9-4176-949B-09565784E445}"/>
            </a:ext>
          </a:extLst>
        </xdr:cNvPr>
        <xdr:cNvCxnSpPr/>
      </xdr:nvCxnSpPr>
      <xdr:spPr>
        <a:xfrm flipV="1">
          <a:off x="5076825" y="27727275"/>
          <a:ext cx="12573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145</xdr:row>
      <xdr:rowOff>0</xdr:rowOff>
    </xdr:from>
    <xdr:to>
      <xdr:col>14</xdr:col>
      <xdr:colOff>161925</xdr:colOff>
      <xdr:row>145</xdr:row>
      <xdr:rowOff>2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673FCC54-A673-45BA-B764-934EF8FC8DC6}"/>
            </a:ext>
          </a:extLst>
        </xdr:cNvPr>
        <xdr:cNvCxnSpPr/>
      </xdr:nvCxnSpPr>
      <xdr:spPr>
        <a:xfrm flipV="1">
          <a:off x="8448675" y="27708225"/>
          <a:ext cx="1447800" cy="2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164</xdr:row>
      <xdr:rowOff>0</xdr:rowOff>
    </xdr:from>
    <xdr:to>
      <xdr:col>9</xdr:col>
      <xdr:colOff>142875</xdr:colOff>
      <xdr:row>164</xdr:row>
      <xdr:rowOff>0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34ABDE7B-D572-4B67-8C46-9C258BA0CE30}"/>
            </a:ext>
          </a:extLst>
        </xdr:cNvPr>
        <xdr:cNvCxnSpPr/>
      </xdr:nvCxnSpPr>
      <xdr:spPr>
        <a:xfrm>
          <a:off x="5076825" y="31337250"/>
          <a:ext cx="133350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183</xdr:row>
      <xdr:rowOff>0</xdr:rowOff>
    </xdr:from>
    <xdr:to>
      <xdr:col>9</xdr:col>
      <xdr:colOff>47625</xdr:colOff>
      <xdr:row>183</xdr:row>
      <xdr:rowOff>0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853926C8-2B80-45C0-BB13-92B2958983C9}"/>
            </a:ext>
          </a:extLst>
        </xdr:cNvPr>
        <xdr:cNvCxnSpPr/>
      </xdr:nvCxnSpPr>
      <xdr:spPr>
        <a:xfrm>
          <a:off x="5076825" y="34966275"/>
          <a:ext cx="12382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183</xdr:row>
      <xdr:rowOff>0</xdr:rowOff>
    </xdr:from>
    <xdr:to>
      <xdr:col>14</xdr:col>
      <xdr:colOff>142875</xdr:colOff>
      <xdr:row>183</xdr:row>
      <xdr:rowOff>0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D3E564B3-3E95-41EC-A62E-C5B9C733335A}"/>
            </a:ext>
          </a:extLst>
        </xdr:cNvPr>
        <xdr:cNvCxnSpPr/>
      </xdr:nvCxnSpPr>
      <xdr:spPr>
        <a:xfrm>
          <a:off x="8448675" y="34966275"/>
          <a:ext cx="14287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202</xdr:row>
      <xdr:rowOff>0</xdr:rowOff>
    </xdr:from>
    <xdr:to>
      <xdr:col>9</xdr:col>
      <xdr:colOff>76200</xdr:colOff>
      <xdr:row>202</xdr:row>
      <xdr:rowOff>0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020AAFF3-D60C-48EA-97F5-68BEB5FC9C2F}"/>
            </a:ext>
          </a:extLst>
        </xdr:cNvPr>
        <xdr:cNvCxnSpPr/>
      </xdr:nvCxnSpPr>
      <xdr:spPr>
        <a:xfrm>
          <a:off x="5076825" y="38595300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202</xdr:row>
      <xdr:rowOff>0</xdr:rowOff>
    </xdr:from>
    <xdr:to>
      <xdr:col>14</xdr:col>
      <xdr:colOff>171450</xdr:colOff>
      <xdr:row>202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E82AFE06-4F18-4181-9B60-51C665CAD3AD}"/>
            </a:ext>
          </a:extLst>
        </xdr:cNvPr>
        <xdr:cNvCxnSpPr/>
      </xdr:nvCxnSpPr>
      <xdr:spPr>
        <a:xfrm>
          <a:off x="8448675" y="38595300"/>
          <a:ext cx="14573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221</xdr:row>
      <xdr:rowOff>0</xdr:rowOff>
    </xdr:from>
    <xdr:to>
      <xdr:col>4</xdr:col>
      <xdr:colOff>34636</xdr:colOff>
      <xdr:row>221</xdr:row>
      <xdr:rowOff>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84F66312-DDB2-45D0-8AC7-18DF0AB705D5}"/>
            </a:ext>
          </a:extLst>
        </xdr:cNvPr>
        <xdr:cNvCxnSpPr/>
      </xdr:nvCxnSpPr>
      <xdr:spPr>
        <a:xfrm>
          <a:off x="1657350" y="42224325"/>
          <a:ext cx="1349086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28575</xdr:colOff>
      <xdr:row>221</xdr:row>
      <xdr:rowOff>19050</xdr:rowOff>
    </xdr:from>
    <xdr:to>
      <xdr:col>14</xdr:col>
      <xdr:colOff>8659</xdr:colOff>
      <xdr:row>221</xdr:row>
      <xdr:rowOff>19916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2D0BFB6E-6AAC-49EF-A52C-7316DA1CAEC5}"/>
            </a:ext>
          </a:extLst>
        </xdr:cNvPr>
        <xdr:cNvCxnSpPr/>
      </xdr:nvCxnSpPr>
      <xdr:spPr>
        <a:xfrm>
          <a:off x="8477250" y="42243375"/>
          <a:ext cx="1265959" cy="866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240</xdr:row>
      <xdr:rowOff>9525</xdr:rowOff>
    </xdr:from>
    <xdr:to>
      <xdr:col>4</xdr:col>
      <xdr:colOff>9525</xdr:colOff>
      <xdr:row>240</xdr:row>
      <xdr:rowOff>9526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FF363DA1-4DA2-4DE2-AEB2-36D7F25D4F3D}"/>
            </a:ext>
          </a:extLst>
        </xdr:cNvPr>
        <xdr:cNvCxnSpPr/>
      </xdr:nvCxnSpPr>
      <xdr:spPr>
        <a:xfrm flipV="1">
          <a:off x="1657350" y="45862875"/>
          <a:ext cx="1323975" cy="1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257175</xdr:colOff>
      <xdr:row>239</xdr:row>
      <xdr:rowOff>180975</xdr:rowOff>
    </xdr:from>
    <xdr:to>
      <xdr:col>13</xdr:col>
      <xdr:colOff>1279813</xdr:colOff>
      <xdr:row>240</xdr:row>
      <xdr:rowOff>7793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612BF68C-7D8A-4274-A860-64B63FD984F3}"/>
            </a:ext>
          </a:extLst>
        </xdr:cNvPr>
        <xdr:cNvCxnSpPr/>
      </xdr:nvCxnSpPr>
      <xdr:spPr>
        <a:xfrm>
          <a:off x="8439150" y="45843825"/>
          <a:ext cx="1289338" cy="17318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259</xdr:row>
      <xdr:rowOff>0</xdr:rowOff>
    </xdr:from>
    <xdr:to>
      <xdr:col>4</xdr:col>
      <xdr:colOff>47625</xdr:colOff>
      <xdr:row>259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0648C267-A44A-48D6-88FF-E129A76F9A93}"/>
            </a:ext>
          </a:extLst>
        </xdr:cNvPr>
        <xdr:cNvCxnSpPr/>
      </xdr:nvCxnSpPr>
      <xdr:spPr>
        <a:xfrm>
          <a:off x="1657350" y="49482375"/>
          <a:ext cx="13620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259</xdr:row>
      <xdr:rowOff>0</xdr:rowOff>
    </xdr:from>
    <xdr:to>
      <xdr:col>9</xdr:col>
      <xdr:colOff>76200</xdr:colOff>
      <xdr:row>259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12011F1C-CF76-405C-A767-8E25855ADE7D}"/>
            </a:ext>
          </a:extLst>
        </xdr:cNvPr>
        <xdr:cNvCxnSpPr/>
      </xdr:nvCxnSpPr>
      <xdr:spPr>
        <a:xfrm>
          <a:off x="5076825" y="49482375"/>
          <a:ext cx="12668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259</xdr:row>
      <xdr:rowOff>0</xdr:rowOff>
    </xdr:from>
    <xdr:to>
      <xdr:col>14</xdr:col>
      <xdr:colOff>0</xdr:colOff>
      <xdr:row>259</xdr:row>
      <xdr:rowOff>9525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DA5B85DC-6BE0-4675-A26A-3CA3E3497525}"/>
            </a:ext>
          </a:extLst>
        </xdr:cNvPr>
        <xdr:cNvCxnSpPr/>
      </xdr:nvCxnSpPr>
      <xdr:spPr>
        <a:xfrm>
          <a:off x="8448675" y="49482375"/>
          <a:ext cx="1285875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278</xdr:row>
      <xdr:rowOff>0</xdr:rowOff>
    </xdr:from>
    <xdr:to>
      <xdr:col>4</xdr:col>
      <xdr:colOff>38100</xdr:colOff>
      <xdr:row>278</xdr:row>
      <xdr:rowOff>9525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391C9C61-62D0-4DE2-A6DF-A99BFF2FF717}"/>
            </a:ext>
          </a:extLst>
        </xdr:cNvPr>
        <xdr:cNvCxnSpPr/>
      </xdr:nvCxnSpPr>
      <xdr:spPr>
        <a:xfrm>
          <a:off x="1657350" y="53111400"/>
          <a:ext cx="1352550" cy="9525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316</xdr:row>
      <xdr:rowOff>0</xdr:rowOff>
    </xdr:from>
    <xdr:to>
      <xdr:col>14</xdr:col>
      <xdr:colOff>219075</xdr:colOff>
      <xdr:row>316</xdr:row>
      <xdr:rowOff>0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10806FB8-7271-4E4B-864A-1FC9DF7172A1}"/>
            </a:ext>
          </a:extLst>
        </xdr:cNvPr>
        <xdr:cNvCxnSpPr/>
      </xdr:nvCxnSpPr>
      <xdr:spPr>
        <a:xfrm>
          <a:off x="8448675" y="6036945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354</xdr:row>
      <xdr:rowOff>9525</xdr:rowOff>
    </xdr:from>
    <xdr:to>
      <xdr:col>9</xdr:col>
      <xdr:colOff>114300</xdr:colOff>
      <xdr:row>354</xdr:row>
      <xdr:rowOff>9525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A1554591-ACC0-4614-9B1C-F21EB48A27C3}"/>
            </a:ext>
          </a:extLst>
        </xdr:cNvPr>
        <xdr:cNvCxnSpPr/>
      </xdr:nvCxnSpPr>
      <xdr:spPr>
        <a:xfrm>
          <a:off x="5076825" y="67637025"/>
          <a:ext cx="1304925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354</xdr:row>
      <xdr:rowOff>0</xdr:rowOff>
    </xdr:from>
    <xdr:to>
      <xdr:col>14</xdr:col>
      <xdr:colOff>219075</xdr:colOff>
      <xdr:row>354</xdr:row>
      <xdr:rowOff>0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19ABD00B-9BAE-400F-93EE-64BB0F722101}"/>
            </a:ext>
          </a:extLst>
        </xdr:cNvPr>
        <xdr:cNvCxnSpPr/>
      </xdr:nvCxnSpPr>
      <xdr:spPr>
        <a:xfrm>
          <a:off x="8448675" y="67627500"/>
          <a:ext cx="1504950" cy="0"/>
        </a:xfrm>
        <a:prstGeom prst="line">
          <a:avLst/>
        </a:prstGeom>
        <a:ln w="2222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PEB-%202025.xlsx" TargetMode="External"/><Relationship Id="rId1" Type="http://schemas.openxmlformats.org/officeDocument/2006/relationships/externalLinkPath" Target="file:///D:\KOPERASI%20SEJAHTERA%202025\KARTU%20REKENING%20PEB-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%20DESEMBER%202024.xlsx" TargetMode="External"/><Relationship Id="rId1" Type="http://schemas.openxmlformats.org/officeDocument/2006/relationships/externalLinkPath" Target="file:///D:\KOPERASI%20SEJAHTERA%202025\KARTU%20REKENING%20%20DES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Koperasi%202021\KARNING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JANUARI%20%202024.xlsx" TargetMode="External"/><Relationship Id="rId1" Type="http://schemas.openxmlformats.org/officeDocument/2006/relationships/externalLinkPath" Target="file:///D:\KOPERASI%20SEJAHTERA%20SIGRO%202024\KARTU%20REKENING%20%20JANUARI%20%20202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MEI%202024.xlsx" TargetMode="External"/><Relationship Id="rId1" Type="http://schemas.openxmlformats.org/officeDocument/2006/relationships/externalLinkPath" Target="file:///D:\KOPERASI%20SEJAHTERA%20SIGRO%202024\KARTU%20REKENING%20%20MEI%20202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SEPTEMBER%20-%202025.xlsx" TargetMode="External"/><Relationship Id="rId1" Type="http://schemas.openxmlformats.org/officeDocument/2006/relationships/externalLinkPath" Target="file:///D:\KOPERASI%20SEJAHTERA%202025\KARTU%20REKENING%20SEPTEMBER%20-%202025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NOPEMBER%20-%202025.xlsx" TargetMode="External"/><Relationship Id="rId1" Type="http://schemas.openxmlformats.org/officeDocument/2006/relationships/externalLinkPath" Target="file:///D:\KOPERASI%20SEJAHTERA%202025\KARTU%20REKENING%20NOPEMBER%20-%202025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SEPTEMBER%202023.xlsx" TargetMode="External"/><Relationship Id="rId1" Type="http://schemas.openxmlformats.org/officeDocument/2006/relationships/externalLinkPath" Target="file:///D:\KOPERASI%20SEJAHTERA%20SIGRO%202023\KARTU%20REKENING%20%20SEPTEMBER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NOPEMBER%202023.xlsx" TargetMode="External"/><Relationship Id="rId1" Type="http://schemas.openxmlformats.org/officeDocument/2006/relationships/externalLinkPath" Target="file:///D:\KOPERASI%20SEJAHTERA%20SIGRO%202023\KARTU%20REKENING%20%20NOPEMBER%202023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JUNI%202023.xlsx" TargetMode="External"/><Relationship Id="rId1" Type="http://schemas.openxmlformats.org/officeDocument/2006/relationships/externalLinkPath" Target="file:///D:\KOPERASI%20SEJAHTERA%20SIGRO%202023\KARTU%20REKENING%20%20JUNI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OKTOBER%20%202024.xlsx" TargetMode="External"/><Relationship Id="rId1" Type="http://schemas.openxmlformats.org/officeDocument/2006/relationships/externalLinkPath" Target="file:///D:\KOPERASI%20SEJAHTERA%20SIGRO%202024\KARTU%20REKENING%20%20OKTOBER%20%202024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DESEMBER%20-%202025.xlsx" TargetMode="External"/><Relationship Id="rId1" Type="http://schemas.openxmlformats.org/officeDocument/2006/relationships/externalLinkPath" Target="file:///D:\KOPERASI%20SEJAHTERA-2026\KARTU%20REKENING%20DESEMBER%20-%202025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JULI%202024.xlsx" TargetMode="External"/><Relationship Id="rId1" Type="http://schemas.openxmlformats.org/officeDocument/2006/relationships/externalLinkPath" Target="file:///D:\KOPERASI%20SEJAHTERA%20SIGRO%202024\KARTU%20REKENING%20%20JULI%202024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ANUARI%20%202025.xlsx" TargetMode="External"/><Relationship Id="rId1" Type="http://schemas.openxmlformats.org/officeDocument/2006/relationships/externalLinkPath" Target="file:///D:\KOPERASI%20SEJAHTERA%202025\KARTU%20REKENING%20JANUARI%20%202025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AGUSTUS%20%202023.xlsx" TargetMode="External"/><Relationship Id="rId1" Type="http://schemas.openxmlformats.org/officeDocument/2006/relationships/externalLinkPath" Target="file:///D:\KOPERASI%20SEJAHTERA%20SIGRO%202023\KARTU%20REKENING%20%20AGUSTUS%20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MARET-%202025.xlsx" TargetMode="External"/><Relationship Id="rId1" Type="http://schemas.openxmlformats.org/officeDocument/2006/relationships/externalLinkPath" Target="file:///D:\KOPERASI%20SEJAHTERA%202025\KARTU%20REKENING%20MARET-%202025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KARTU%20REKENING%202022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OKTOBER%20-%202025.xlsx" TargetMode="External"/><Relationship Id="rId1" Type="http://schemas.openxmlformats.org/officeDocument/2006/relationships/externalLinkPath" Target="file:///D:\KOPERASI%20SEJAHTERA%202025\KARTU%20REKENING%20OKTOBER%20-%202025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FEBRUARI%202024.xlsx" TargetMode="External"/><Relationship Id="rId1" Type="http://schemas.openxmlformats.org/officeDocument/2006/relationships/externalLinkPath" Target="file:///D:\KOPERASI%20SEJAHTERA%20SIGRO%202024\KARTU%20REKENING%20%20FEBRUARI%202024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AGUSTUS%20%202024.xlsx" TargetMode="External"/><Relationship Id="rId1" Type="http://schemas.openxmlformats.org/officeDocument/2006/relationships/externalLinkPath" Target="file:///D:\KOPERASI%20SEJAHTERA%20SIGRO%202024\KARTU%20REKENING%20%20AGUSTUS%20%202024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KARTU%20REKENING%20%20JUNI%202022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MARET%202023.xlsx" TargetMode="External"/><Relationship Id="rId1" Type="http://schemas.openxmlformats.org/officeDocument/2006/relationships/externalLinkPath" Target="file:///D:\KOPERASI%20SEJAHTERA%20SIGRO%202023\KARTU%20REKENING%20%20MARET%202023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MEI-%202025.xlsx" TargetMode="External"/><Relationship Id="rId1" Type="http://schemas.openxmlformats.org/officeDocument/2006/relationships/externalLinkPath" Target="file:///D:\KOPERASI%20SEJAHTERA%202025\KARTU%20REKENING%20MEI-%202025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KARTU%20REKENING%20%20AGUSTUS%202022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UNI%20-%202025.xlsx" TargetMode="External"/><Relationship Id="rId1" Type="http://schemas.openxmlformats.org/officeDocument/2006/relationships/externalLinkPath" Target="file:///D:\KOPERASI%20SEJAHTERA%202025\KARTU%20REKENING%20JUNI%20-%202025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JUNI%202024.xlsx" TargetMode="External"/><Relationship Id="rId1" Type="http://schemas.openxmlformats.org/officeDocument/2006/relationships/externalLinkPath" Target="file:///D:\KOPERASI%20SEJAHTERA%20SIGRO%202024\KARTU%20REKENING%20%20JUNI%202024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REKENING%20KOP%20DUPLIKAT%20SIGRO\KARTU%20REKENING%20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PERASI%20SEJAHTERA%20SIGRO%202022\KARTU%20REKENING%20%20JULI%202022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JANUARI%202023.xlsx" TargetMode="External"/><Relationship Id="rId1" Type="http://schemas.openxmlformats.org/officeDocument/2006/relationships/externalLinkPath" Target="file:///D:\KOPERASI%20SEJAHTERA%20SIGRO%202023\KARTU%20REKENING%20%20JANUARI%202023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JULI%20%202023.xlsx" TargetMode="External"/><Relationship Id="rId1" Type="http://schemas.openxmlformats.org/officeDocument/2006/relationships/externalLinkPath" Target="file:///D:\KOPERASI%20SEJAHTERA%20SIGRO%202023\KARTU%20REKENING%20%20JULI%20%202023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AGUSTUS%20-%202025.xlsx" TargetMode="External"/><Relationship Id="rId1" Type="http://schemas.openxmlformats.org/officeDocument/2006/relationships/externalLinkPath" Target="file:///D:\KOPERASI%20SEJAHTERA%202025\KARTU%20REKENING%20AGUSTUS%20-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FEBRUARI%202023.xlsx" TargetMode="External"/><Relationship Id="rId1" Type="http://schemas.openxmlformats.org/officeDocument/2006/relationships/externalLinkPath" Target="file:///D:\KOPERASI%20SEJAHTERA%20SIGRO%202023\KARTU%20REKENING%20%20FEBRUARI%202023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MARET%202024.xlsx" TargetMode="External"/><Relationship Id="rId1" Type="http://schemas.openxmlformats.org/officeDocument/2006/relationships/externalLinkPath" Target="file:///D:\KOPERASI%20SEJAHTERA%20SIGRO%202024\KARTU%20REKENING%20%20MARET%202024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2025\KARTU%20REKENING%20JULI%20-%202025.xlsx" TargetMode="External"/><Relationship Id="rId1" Type="http://schemas.openxmlformats.org/officeDocument/2006/relationships/externalLinkPath" Target="file:///D:\KOPERASI%20SEJAHTERA%202025\KARTU%20REKENING%20JULI%20-%20202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4\KARTU%20REKENING%20%20NOPEMBER%202024.xlsx" TargetMode="External"/><Relationship Id="rId1" Type="http://schemas.openxmlformats.org/officeDocument/2006/relationships/externalLinkPath" Target="file:///D:\KOPERASI%20SEJAHTERA%20SIGRO%202024\KARTU%20REKENING%20%20NOPEMBER%202024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%20SIGRO%202023\KARTU%20REKENING%20%20MEI%202023.xlsx" TargetMode="External"/><Relationship Id="rId1" Type="http://schemas.openxmlformats.org/officeDocument/2006/relationships/externalLinkPath" Target="file:///D:\KOPERASI%20SEJAHTERA%20SIGRO%202023\KARTU%20REKENING%20%20MEI%20202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JANUARI-%202026.xlsx" TargetMode="External"/><Relationship Id="rId1" Type="http://schemas.openxmlformats.org/officeDocument/2006/relationships/externalLinkPath" Target="file:///D:\KOPERASI%20SEJAHTERA-2026\KARTU%20REKENING%20JANUARI-%202026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MARET-%202026.xlsx" TargetMode="External"/><Relationship Id="rId1" Type="http://schemas.openxmlformats.org/officeDocument/2006/relationships/externalLinkPath" Target="file:///D:\KOPERASI%20SEJAHTERA-2026\KARTU%20REKENING%20MARET-%202026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PEBRUARI-%202026.xlsx" TargetMode="External"/><Relationship Id="rId1" Type="http://schemas.openxmlformats.org/officeDocument/2006/relationships/externalLinkPath" Target="file:///D:\KOPERASI%20SEJAHTERA-2026\KARTU%20REKENING%20PEBRUARI-%202026.xlsx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APRIL-%202026.xlsx" TargetMode="External"/><Relationship Id="rId1" Type="http://schemas.openxmlformats.org/officeDocument/2006/relationships/externalLinkPath" Target="file:///D:\KOPERASI%20SEJAHTERA-2026\KARTU%20REKENING%20APRIL-%202026.xlsx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OPERASI%20SEJAHTERA-2026\KARTU%20REKENING%20MEI%20-%202026.xlsx" TargetMode="External"/><Relationship Id="rId1" Type="http://schemas.openxmlformats.org/officeDocument/2006/relationships/externalLinkPath" Target="file:///D:\KOPERASI%20SEJAHTERA-2026\KARTU%20REKENING%20MEI%20-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66">
          <cell r="F566">
            <v>1000000</v>
          </cell>
        </row>
        <row r="1314">
          <cell r="C1314">
            <v>15000</v>
          </cell>
          <cell r="D1314">
            <v>20000</v>
          </cell>
          <cell r="E1314">
            <v>50000</v>
          </cell>
          <cell r="F1314">
            <v>15000</v>
          </cell>
        </row>
        <row r="1331">
          <cell r="C1331">
            <v>15000</v>
          </cell>
          <cell r="D1331">
            <v>20000</v>
          </cell>
          <cell r="E1331">
            <v>50000</v>
          </cell>
          <cell r="F1331">
            <v>15000</v>
          </cell>
        </row>
        <row r="1348">
          <cell r="C1348">
            <v>15000</v>
          </cell>
          <cell r="D1348">
            <v>20000</v>
          </cell>
          <cell r="E1348">
            <v>50000</v>
          </cell>
          <cell r="F1348">
            <v>15000</v>
          </cell>
        </row>
        <row r="1365">
          <cell r="D1365">
            <v>10000</v>
          </cell>
          <cell r="E1365">
            <v>60000</v>
          </cell>
        </row>
        <row r="1381">
          <cell r="C1381">
            <v>10000</v>
          </cell>
          <cell r="D1381">
            <v>30000</v>
          </cell>
        </row>
        <row r="1382">
          <cell r="E1382">
            <v>50000</v>
          </cell>
          <cell r="F1382">
            <v>10000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  <sheetName val="krnmei (2)"/>
      <sheetName val="krnmei (3)"/>
      <sheetName val="Sheet6"/>
      <sheetName val="LAP.JASA"/>
      <sheetName val="LAP.KEU"/>
      <sheetName val="Sheet3"/>
    </sheetNames>
    <sheetDataSet>
      <sheetData sheetId="0">
        <row r="253">
          <cell r="L253"/>
        </row>
        <row r="1289">
          <cell r="C1289">
            <v>15000</v>
          </cell>
        </row>
        <row r="1290">
          <cell r="D1290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RNING 2021"/>
      <sheetName val="ASLI"/>
      <sheetName val="EDIT"/>
      <sheetName val="Sheet2"/>
      <sheetName val="KARNING"/>
      <sheetName val="Sheet4"/>
      <sheetName val="TANDA TERIMA"/>
      <sheetName val="Sheet5"/>
      <sheetName val="krnmei (2)"/>
      <sheetName val="krnmei (3)"/>
      <sheetName val="Sheet6"/>
      <sheetName val="krnmei"/>
      <sheetName val="LAP.JASA"/>
      <sheetName val="LAP.KEU"/>
      <sheetName val="Sheet3"/>
    </sheetNames>
    <sheetDataSet>
      <sheetData sheetId="0" refreshError="1">
        <row r="4">
          <cell r="C4">
            <v>100000</v>
          </cell>
        </row>
        <row r="140">
          <cell r="C140">
            <v>100000</v>
          </cell>
        </row>
        <row r="225">
          <cell r="C225">
            <v>100000</v>
          </cell>
          <cell r="D225">
            <v>100000</v>
          </cell>
        </row>
        <row r="242">
          <cell r="C242">
            <v>100000</v>
          </cell>
          <cell r="D242">
            <v>25000</v>
          </cell>
          <cell r="E242">
            <v>150000</v>
          </cell>
          <cell r="F242">
            <v>100000</v>
          </cell>
        </row>
        <row r="276">
          <cell r="C276">
            <v>100000</v>
          </cell>
          <cell r="F276">
            <v>200000</v>
          </cell>
        </row>
        <row r="293">
          <cell r="C293">
            <v>100000</v>
          </cell>
        </row>
        <row r="310">
          <cell r="C310">
            <v>100000</v>
          </cell>
          <cell r="D310">
            <v>10000</v>
          </cell>
          <cell r="E310">
            <v>150000</v>
          </cell>
          <cell r="F310">
            <v>100000</v>
          </cell>
        </row>
        <row r="327">
          <cell r="C327">
            <v>100000</v>
          </cell>
          <cell r="D327">
            <v>25000</v>
          </cell>
          <cell r="E327">
            <v>200000</v>
          </cell>
          <cell r="I327">
            <v>250000</v>
          </cell>
        </row>
        <row r="361">
          <cell r="C361">
            <v>100000</v>
          </cell>
        </row>
        <row r="378">
          <cell r="C378">
            <v>100000</v>
          </cell>
          <cell r="D378">
            <v>5000</v>
          </cell>
          <cell r="F378">
            <v>100000</v>
          </cell>
        </row>
        <row r="395">
          <cell r="C395">
            <v>100000</v>
          </cell>
          <cell r="D395">
            <v>5000</v>
          </cell>
        </row>
        <row r="446">
          <cell r="C446">
            <v>100000</v>
          </cell>
          <cell r="D446">
            <v>50000</v>
          </cell>
          <cell r="E446">
            <v>200000</v>
          </cell>
          <cell r="F446">
            <v>100000</v>
          </cell>
          <cell r="I446">
            <v>500000</v>
          </cell>
        </row>
        <row r="497">
          <cell r="C497">
            <v>100000</v>
          </cell>
          <cell r="D497">
            <v>10000</v>
          </cell>
          <cell r="E497">
            <v>50000</v>
          </cell>
        </row>
        <row r="548">
          <cell r="C548">
            <v>100000</v>
          </cell>
          <cell r="D548">
            <v>25000</v>
          </cell>
          <cell r="F548">
            <v>50000</v>
          </cell>
        </row>
        <row r="565">
          <cell r="C565">
            <v>100000</v>
          </cell>
          <cell r="E565">
            <v>300000</v>
          </cell>
        </row>
        <row r="582">
          <cell r="C582">
            <v>100000</v>
          </cell>
          <cell r="D582">
            <v>25000</v>
          </cell>
        </row>
        <row r="667">
          <cell r="C667">
            <v>100000</v>
          </cell>
          <cell r="D667">
            <v>25000</v>
          </cell>
        </row>
        <row r="684">
          <cell r="D684">
            <v>10000</v>
          </cell>
        </row>
        <row r="735">
          <cell r="D735">
            <v>5000</v>
          </cell>
          <cell r="E735">
            <v>150000</v>
          </cell>
          <cell r="F735">
            <v>30000</v>
          </cell>
        </row>
        <row r="752">
          <cell r="C752">
            <v>10000</v>
          </cell>
          <cell r="D752">
            <v>15000</v>
          </cell>
        </row>
        <row r="769">
          <cell r="C769">
            <v>15000</v>
          </cell>
        </row>
        <row r="786">
          <cell r="C786">
            <v>15000</v>
          </cell>
          <cell r="D786">
            <v>20000</v>
          </cell>
          <cell r="E786">
            <v>200000</v>
          </cell>
        </row>
        <row r="803">
          <cell r="C803">
            <v>15000</v>
          </cell>
          <cell r="D803">
            <v>5000</v>
          </cell>
          <cell r="E803">
            <v>50000</v>
          </cell>
          <cell r="F803">
            <v>10000</v>
          </cell>
        </row>
        <row r="820">
          <cell r="C820">
            <v>15000</v>
          </cell>
          <cell r="D820">
            <v>5000</v>
          </cell>
          <cell r="E820">
            <v>230000</v>
          </cell>
          <cell r="F820">
            <v>200000</v>
          </cell>
        </row>
        <row r="854">
          <cell r="D854">
            <v>5000</v>
          </cell>
        </row>
        <row r="905">
          <cell r="D905">
            <v>10000</v>
          </cell>
        </row>
        <row r="922">
          <cell r="C922">
            <v>15000</v>
          </cell>
          <cell r="D922">
            <v>35000</v>
          </cell>
          <cell r="E922">
            <v>50000</v>
          </cell>
        </row>
        <row r="973">
          <cell r="C973">
            <v>15000</v>
          </cell>
          <cell r="D973">
            <v>10000</v>
          </cell>
          <cell r="F973">
            <v>50000</v>
          </cell>
          <cell r="I973">
            <v>200000</v>
          </cell>
        </row>
        <row r="990">
          <cell r="C990">
            <v>100000</v>
          </cell>
          <cell r="D990">
            <v>75000</v>
          </cell>
          <cell r="E990">
            <v>100000</v>
          </cell>
          <cell r="F990">
            <v>50000</v>
          </cell>
        </row>
        <row r="1024">
          <cell r="C1024">
            <v>20000</v>
          </cell>
        </row>
        <row r="1041">
          <cell r="C1041">
            <v>15000</v>
          </cell>
          <cell r="D1041">
            <v>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1">
          <cell r="A1">
            <v>1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40">
          <cell r="D140">
            <v>300000</v>
          </cell>
        </row>
        <row r="292">
          <cell r="J292">
            <v>0</v>
          </cell>
        </row>
        <row r="581">
          <cell r="F581">
            <v>0</v>
          </cell>
        </row>
        <row r="684">
          <cell r="F684">
            <v>0</v>
          </cell>
        </row>
        <row r="752">
          <cell r="I752">
            <v>200000</v>
          </cell>
        </row>
        <row r="786">
          <cell r="I786">
            <v>300000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44">
          <cell r="E144">
            <v>500000</v>
          </cell>
        </row>
        <row r="280">
          <cell r="E280">
            <v>500000</v>
          </cell>
        </row>
        <row r="297">
          <cell r="E297">
            <v>600000</v>
          </cell>
        </row>
        <row r="399">
          <cell r="E399">
            <v>200000</v>
          </cell>
        </row>
        <row r="654">
          <cell r="D654">
            <v>100000</v>
          </cell>
          <cell r="E654">
            <v>200000</v>
          </cell>
          <cell r="F654">
            <v>400000</v>
          </cell>
        </row>
        <row r="909">
          <cell r="E909">
            <v>100000</v>
          </cell>
          <cell r="F909">
            <v>100000</v>
          </cell>
        </row>
        <row r="1130">
          <cell r="E1130">
            <v>100000</v>
          </cell>
        </row>
        <row r="1147">
          <cell r="E1147">
            <v>300000</v>
          </cell>
        </row>
        <row r="1232">
          <cell r="D1232">
            <v>10000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48">
          <cell r="O148">
            <v>4000000</v>
          </cell>
          <cell r="P148">
            <v>80000</v>
          </cell>
        </row>
        <row r="1032">
          <cell r="J1032">
            <v>0</v>
          </cell>
        </row>
        <row r="1236">
          <cell r="I1236">
            <v>400000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92">
          <cell r="J592">
            <v>0</v>
          </cell>
        </row>
        <row r="1289">
          <cell r="F1289">
            <v>100000</v>
          </cell>
        </row>
        <row r="1391">
          <cell r="O1391">
            <v>6000000</v>
          </cell>
          <cell r="P1391">
            <v>120000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48">
          <cell r="F148">
            <v>250000</v>
          </cell>
        </row>
        <row r="912">
          <cell r="C912">
            <v>100000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84">
          <cell r="J184">
            <v>0</v>
          </cell>
        </row>
        <row r="286">
          <cell r="I286">
            <v>500000</v>
          </cell>
        </row>
        <row r="830">
          <cell r="P830"/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0">
          <cell r="E230">
            <v>500000</v>
          </cell>
        </row>
        <row r="689">
          <cell r="E689">
            <v>200000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51">
          <cell r="I251">
            <v>500000</v>
          </cell>
        </row>
        <row r="1169">
          <cell r="K1169">
            <v>0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53">
          <cell r="J253">
            <v>39500000</v>
          </cell>
          <cell r="K253">
            <v>225000</v>
          </cell>
        </row>
        <row r="287">
          <cell r="J287">
            <v>2500000</v>
          </cell>
          <cell r="K287">
            <v>45000</v>
          </cell>
        </row>
        <row r="321">
          <cell r="O321">
            <v>12000000</v>
          </cell>
          <cell r="P321">
            <v>240000</v>
          </cell>
        </row>
        <row r="338">
          <cell r="J338">
            <v>16500000</v>
          </cell>
          <cell r="K338">
            <v>251250</v>
          </cell>
        </row>
        <row r="372">
          <cell r="J372">
            <v>11500000</v>
          </cell>
          <cell r="K372">
            <v>180000</v>
          </cell>
        </row>
        <row r="389">
          <cell r="J389">
            <v>22420000</v>
          </cell>
          <cell r="K389">
            <v>343800</v>
          </cell>
        </row>
        <row r="406">
          <cell r="J406">
            <v>6000000</v>
          </cell>
          <cell r="K406">
            <v>105000</v>
          </cell>
        </row>
        <row r="457">
          <cell r="J457">
            <v>29000000</v>
          </cell>
          <cell r="K457">
            <v>442500</v>
          </cell>
        </row>
        <row r="508">
          <cell r="J508">
            <v>35171000</v>
          </cell>
          <cell r="K508">
            <v>529815</v>
          </cell>
        </row>
        <row r="525">
          <cell r="J525">
            <v>21800000</v>
          </cell>
          <cell r="K525">
            <v>333000</v>
          </cell>
        </row>
        <row r="559">
          <cell r="J559">
            <v>19000000</v>
          </cell>
          <cell r="K559">
            <v>292500</v>
          </cell>
        </row>
        <row r="576">
          <cell r="J576">
            <v>26000000</v>
          </cell>
          <cell r="K576">
            <v>405000</v>
          </cell>
        </row>
        <row r="695">
          <cell r="J695">
            <v>12500000</v>
          </cell>
          <cell r="K695">
            <v>210000</v>
          </cell>
        </row>
        <row r="746">
          <cell r="J746">
            <v>6250000</v>
          </cell>
          <cell r="K746">
            <v>97500</v>
          </cell>
        </row>
        <row r="763">
          <cell r="J763">
            <v>6950000</v>
          </cell>
          <cell r="K763">
            <v>107250</v>
          </cell>
        </row>
        <row r="780">
          <cell r="J780">
            <v>1000000</v>
          </cell>
          <cell r="K780">
            <v>22500</v>
          </cell>
        </row>
        <row r="797">
          <cell r="J797">
            <v>3550000</v>
          </cell>
          <cell r="K797">
            <v>57750</v>
          </cell>
        </row>
        <row r="814">
          <cell r="J814">
            <v>600000</v>
          </cell>
          <cell r="K814">
            <v>13500</v>
          </cell>
        </row>
        <row r="831">
          <cell r="J831">
            <v>700000</v>
          </cell>
          <cell r="K831">
            <v>11250</v>
          </cell>
        </row>
        <row r="865">
          <cell r="J865">
            <v>2600000</v>
          </cell>
          <cell r="K865">
            <v>45000</v>
          </cell>
        </row>
        <row r="899">
          <cell r="O899">
            <v>3000000</v>
          </cell>
          <cell r="P899">
            <v>60000</v>
          </cell>
        </row>
        <row r="916">
          <cell r="J916">
            <v>13600000</v>
          </cell>
          <cell r="K916">
            <v>213000</v>
          </cell>
        </row>
        <row r="984">
          <cell r="J984">
            <v>2200000</v>
          </cell>
          <cell r="K984">
            <v>36000</v>
          </cell>
        </row>
        <row r="1001">
          <cell r="J1001">
            <v>5500000</v>
          </cell>
          <cell r="K1001">
            <v>105000</v>
          </cell>
        </row>
        <row r="1018">
          <cell r="J1018">
            <v>2250000</v>
          </cell>
          <cell r="K1018">
            <v>41250</v>
          </cell>
        </row>
        <row r="1052">
          <cell r="J1052">
            <v>4500000</v>
          </cell>
          <cell r="K1052">
            <v>75000</v>
          </cell>
        </row>
        <row r="1069">
          <cell r="J1069">
            <v>12000000</v>
          </cell>
          <cell r="K1069">
            <v>186000</v>
          </cell>
        </row>
        <row r="1137">
          <cell r="J1137">
            <v>7225000</v>
          </cell>
          <cell r="K1137">
            <v>115875</v>
          </cell>
        </row>
        <row r="1154">
          <cell r="J1154">
            <v>1000000</v>
          </cell>
          <cell r="K1154">
            <v>22500</v>
          </cell>
        </row>
        <row r="1171">
          <cell r="O1171">
            <v>8000000</v>
          </cell>
          <cell r="P1171">
            <v>160000</v>
          </cell>
        </row>
        <row r="1239">
          <cell r="J1239">
            <v>3450000</v>
          </cell>
          <cell r="K1239">
            <v>57750</v>
          </cell>
        </row>
        <row r="1409">
          <cell r="J1409">
            <v>7000000</v>
          </cell>
          <cell r="K1409">
            <v>120000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0">
          <cell r="O230">
            <v>0</v>
          </cell>
        </row>
        <row r="231">
          <cell r="P231">
            <v>0</v>
          </cell>
        </row>
        <row r="1149">
          <cell r="I1149">
            <v>500000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2">
          <cell r="P242"/>
        </row>
        <row r="395">
          <cell r="F395">
            <v>200000</v>
          </cell>
          <cell r="P395">
            <v>0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2">
          <cell r="F232">
            <v>300000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856">
          <cell r="C856">
            <v>15000</v>
          </cell>
        </row>
        <row r="1399">
          <cell r="C1399">
            <v>15000</v>
          </cell>
          <cell r="D1399">
            <v>10000</v>
          </cell>
          <cell r="E1399">
            <v>100000</v>
          </cell>
          <cell r="F1399">
            <v>50000</v>
          </cell>
        </row>
        <row r="1416">
          <cell r="C1416">
            <v>15000</v>
          </cell>
          <cell r="D1416">
            <v>10000</v>
          </cell>
          <cell r="E1416">
            <v>15000</v>
          </cell>
          <cell r="F1416">
            <v>10000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nmei"/>
    </sheetNames>
    <sheetDataSet>
      <sheetData sheetId="0" refreshError="1">
        <row r="39">
          <cell r="R39">
            <v>1800000</v>
          </cell>
        </row>
        <row r="278">
          <cell r="D278">
            <v>100000</v>
          </cell>
        </row>
        <row r="295">
          <cell r="D295">
            <v>100000</v>
          </cell>
        </row>
        <row r="499">
          <cell r="I499">
            <v>150000</v>
          </cell>
        </row>
        <row r="567">
          <cell r="D567">
            <v>100000</v>
          </cell>
        </row>
        <row r="1094">
          <cell r="C1094">
            <v>100000</v>
          </cell>
        </row>
        <row r="1111">
          <cell r="C1111">
            <v>100000</v>
          </cell>
        </row>
        <row r="1140">
          <cell r="B1140" t="str">
            <v>SITI RODIYAH</v>
          </cell>
        </row>
        <row r="1145">
          <cell r="C1145">
            <v>100000</v>
          </cell>
          <cell r="F1145">
            <v>50000</v>
          </cell>
        </row>
        <row r="1157">
          <cell r="B1157" t="str">
            <v>FAHIMAH D</v>
          </cell>
        </row>
        <row r="1162">
          <cell r="C1162">
            <v>100000</v>
          </cell>
          <cell r="E1162">
            <v>50000</v>
          </cell>
          <cell r="F1162">
            <v>50000</v>
          </cell>
        </row>
        <row r="1174">
          <cell r="B1174" t="str">
            <v>SRI WAHYUNINGSIH</v>
          </cell>
        </row>
        <row r="1179">
          <cell r="F1179">
            <v>25000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36">
          <cell r="P336">
            <v>40000</v>
          </cell>
        </row>
        <row r="404">
          <cell r="I404">
            <v>1000000</v>
          </cell>
        </row>
        <row r="693">
          <cell r="C693">
            <v>15000</v>
          </cell>
        </row>
        <row r="744">
          <cell r="C744">
            <v>15000</v>
          </cell>
        </row>
        <row r="1390">
          <cell r="K1390"/>
        </row>
        <row r="1407">
          <cell r="I1407">
            <v>1000000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62">
          <cell r="E362">
            <v>200000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368">
          <cell r="I368">
            <v>500000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nmei"/>
    </sheetNames>
    <sheetDataSet>
      <sheetData sheetId="0">
        <row r="383">
          <cell r="I383">
            <v>500000</v>
          </cell>
        </row>
        <row r="978">
          <cell r="E978">
            <v>500000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16">
          <cell r="C516">
            <v>100000</v>
          </cell>
          <cell r="D516">
            <v>5000</v>
          </cell>
          <cell r="E516">
            <v>100000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52">
          <cell r="E552">
            <v>300000</v>
          </cell>
        </row>
        <row r="807">
          <cell r="I807">
            <v>300000</v>
          </cell>
        </row>
        <row r="1113">
          <cell r="J1113">
            <v>0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nmei"/>
    </sheetNames>
    <sheetDataSet>
      <sheetData sheetId="0">
        <row r="572">
          <cell r="I572">
            <v>1000000</v>
          </cell>
        </row>
        <row r="895">
          <cell r="E895">
            <v>100000</v>
          </cell>
        </row>
        <row r="1014">
          <cell r="J1014">
            <v>0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63">
          <cell r="I1063">
            <v>400000</v>
          </cell>
        </row>
        <row r="1097">
          <cell r="E1097">
            <v>200000</v>
          </cell>
        </row>
        <row r="1113">
          <cell r="J1113">
            <v>0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587">
          <cell r="P587">
            <v>0</v>
          </cell>
        </row>
        <row r="910">
          <cell r="I910">
            <v>600000</v>
          </cell>
        </row>
        <row r="995">
          <cell r="I995">
            <v>1500000</v>
          </cell>
        </row>
        <row r="1233">
          <cell r="C1233">
            <v>15000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nmei"/>
      <sheetName val="tambah"/>
    </sheetNames>
    <sheetDataSet>
      <sheetData sheetId="0">
        <row r="1123">
          <cell r="B1123" t="str">
            <v>DEWI RATRI KALINGGA</v>
          </cell>
        </row>
        <row r="1129">
          <cell r="C1129">
            <v>15000</v>
          </cell>
        </row>
      </sheetData>
      <sheetData sheetId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nmei"/>
    </sheetNames>
    <sheetDataSet>
      <sheetData sheetId="0">
        <row r="656">
          <cell r="C656">
            <v>100000</v>
          </cell>
        </row>
        <row r="894">
          <cell r="C894">
            <v>100000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126">
          <cell r="D1126">
            <v>10000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183">
          <cell r="E1183">
            <v>50000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691">
          <cell r="I691">
            <v>1500000</v>
          </cell>
        </row>
        <row r="1048">
          <cell r="I1048">
            <v>500000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736">
          <cell r="I736">
            <v>250000</v>
          </cell>
        </row>
        <row r="889">
          <cell r="D889">
            <v>10000</v>
          </cell>
        </row>
        <row r="1127">
          <cell r="P1127"/>
        </row>
        <row r="1144">
          <cell r="D1144">
            <v>100000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196">
          <cell r="C1196">
            <v>15000</v>
          </cell>
          <cell r="D1196">
            <v>50000</v>
          </cell>
          <cell r="F1196">
            <v>55000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13">
          <cell r="I1013">
            <v>500000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238">
          <cell r="E1238">
            <v>50000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1096">
          <cell r="F1096">
            <v>150000</v>
          </cell>
        </row>
        <row r="1113">
          <cell r="F1113">
            <v>150000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25">
          <cell r="F225">
            <v>500000</v>
          </cell>
        </row>
        <row r="242">
          <cell r="I242">
            <v>1200000</v>
          </cell>
          <cell r="J242">
            <v>38300000</v>
          </cell>
          <cell r="K242">
            <v>592500</v>
          </cell>
        </row>
        <row r="276">
          <cell r="J276">
            <v>2000000</v>
          </cell>
          <cell r="K276">
            <v>37500</v>
          </cell>
        </row>
        <row r="327">
          <cell r="J327">
            <v>18250000</v>
          </cell>
          <cell r="K327">
            <v>247500</v>
          </cell>
          <cell r="P327">
            <v>40000</v>
          </cell>
        </row>
        <row r="361">
          <cell r="J361">
            <v>11000000</v>
          </cell>
          <cell r="K361">
            <v>172500</v>
          </cell>
        </row>
        <row r="378">
          <cell r="J378">
            <v>21920000</v>
          </cell>
          <cell r="K378">
            <v>336300</v>
          </cell>
        </row>
        <row r="395">
          <cell r="J395">
            <v>5000000</v>
          </cell>
          <cell r="K395">
            <v>90000</v>
          </cell>
        </row>
        <row r="446">
          <cell r="J446">
            <v>28500000</v>
          </cell>
          <cell r="K446">
            <v>435000</v>
          </cell>
        </row>
        <row r="497">
          <cell r="J497">
            <v>35021000</v>
          </cell>
          <cell r="K497">
            <v>527565</v>
          </cell>
        </row>
        <row r="514">
          <cell r="J514">
            <v>21400000</v>
          </cell>
          <cell r="K514">
            <v>327000</v>
          </cell>
        </row>
        <row r="548">
          <cell r="J548">
            <v>18500000</v>
          </cell>
          <cell r="K548">
            <v>285000</v>
          </cell>
        </row>
        <row r="565">
          <cell r="I565">
            <v>2000000</v>
          </cell>
          <cell r="J565">
            <v>24000000</v>
          </cell>
          <cell r="K565">
            <v>390000</v>
          </cell>
        </row>
        <row r="684">
          <cell r="J684">
            <v>11000000</v>
          </cell>
          <cell r="K684">
            <v>187500</v>
          </cell>
        </row>
        <row r="735">
          <cell r="J735">
            <v>6000000</v>
          </cell>
          <cell r="K735">
            <v>93750</v>
          </cell>
        </row>
        <row r="752">
          <cell r="J752">
            <v>6750000</v>
          </cell>
          <cell r="K752">
            <v>104250</v>
          </cell>
        </row>
        <row r="769">
          <cell r="J769">
            <v>500000</v>
          </cell>
          <cell r="K769">
            <v>15000</v>
          </cell>
        </row>
        <row r="786">
          <cell r="J786">
            <v>6250000</v>
          </cell>
          <cell r="K786">
            <v>53250</v>
          </cell>
        </row>
        <row r="803">
          <cell r="J803">
            <v>300000</v>
          </cell>
          <cell r="K803">
            <v>9000</v>
          </cell>
        </row>
        <row r="820">
          <cell r="J820">
            <v>650000</v>
          </cell>
          <cell r="K820">
            <v>10500</v>
          </cell>
        </row>
        <row r="854">
          <cell r="J854">
            <v>2200000</v>
          </cell>
          <cell r="K854">
            <v>39000</v>
          </cell>
        </row>
        <row r="905">
          <cell r="J905">
            <v>13000000</v>
          </cell>
          <cell r="K905">
            <v>204000</v>
          </cell>
        </row>
        <row r="973">
          <cell r="J973">
            <v>2000000</v>
          </cell>
          <cell r="K973">
            <v>33000</v>
          </cell>
        </row>
        <row r="990">
          <cell r="J990">
            <v>9000000</v>
          </cell>
          <cell r="K990">
            <v>82500</v>
          </cell>
        </row>
        <row r="1007">
          <cell r="J1007">
            <v>1750000</v>
          </cell>
          <cell r="K1007">
            <v>33750</v>
          </cell>
        </row>
        <row r="1041">
          <cell r="J1041">
            <v>4000000</v>
          </cell>
          <cell r="K1041">
            <v>67500</v>
          </cell>
        </row>
        <row r="1058">
          <cell r="J1058">
            <v>16600000</v>
          </cell>
          <cell r="K1058">
            <v>180000</v>
          </cell>
        </row>
        <row r="1109">
          <cell r="I1109">
            <v>3000000</v>
          </cell>
          <cell r="J1109">
            <v>17000000</v>
          </cell>
          <cell r="K1109">
            <v>300000</v>
          </cell>
        </row>
        <row r="1126">
          <cell r="J1126">
            <v>6725000</v>
          </cell>
          <cell r="K1126">
            <v>108375</v>
          </cell>
        </row>
        <row r="1143">
          <cell r="J1143">
            <v>500000</v>
          </cell>
          <cell r="K1143">
            <v>15000</v>
          </cell>
        </row>
        <row r="1228">
          <cell r="J1228">
            <v>3050000</v>
          </cell>
          <cell r="K1228">
            <v>51750</v>
          </cell>
        </row>
        <row r="1398">
          <cell r="J1398">
            <v>6000000</v>
          </cell>
          <cell r="K1398">
            <v>105000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3">
          <cell r="I23">
            <v>1000000</v>
          </cell>
          <cell r="J23">
            <v>19000000</v>
          </cell>
          <cell r="K23">
            <v>300000</v>
          </cell>
        </row>
        <row r="244">
          <cell r="J244">
            <v>35900000</v>
          </cell>
          <cell r="K244">
            <v>556500</v>
          </cell>
        </row>
        <row r="278">
          <cell r="J278">
            <v>1000000</v>
          </cell>
          <cell r="K278">
            <v>22500</v>
          </cell>
        </row>
        <row r="329">
          <cell r="J329">
            <v>17750000</v>
          </cell>
          <cell r="K329">
            <v>270000</v>
          </cell>
        </row>
        <row r="363">
          <cell r="J363">
            <v>10000000</v>
          </cell>
          <cell r="K363">
            <v>157500</v>
          </cell>
        </row>
        <row r="380">
          <cell r="J380">
            <v>20920000</v>
          </cell>
          <cell r="K380">
            <v>321300</v>
          </cell>
        </row>
        <row r="397">
          <cell r="J397">
            <v>3000000</v>
          </cell>
          <cell r="K397">
            <v>60000</v>
          </cell>
        </row>
        <row r="448">
          <cell r="J448">
            <v>27500000</v>
          </cell>
          <cell r="K448">
            <v>420000</v>
          </cell>
        </row>
        <row r="499">
          <cell r="J499">
            <v>34721000</v>
          </cell>
          <cell r="K499">
            <v>523065</v>
          </cell>
        </row>
        <row r="516">
          <cell r="J516">
            <v>20600000</v>
          </cell>
          <cell r="K516">
            <v>315000</v>
          </cell>
        </row>
        <row r="550">
          <cell r="J550">
            <v>17500000</v>
          </cell>
          <cell r="K550">
            <v>270000</v>
          </cell>
        </row>
        <row r="567">
          <cell r="J567">
            <v>20000000</v>
          </cell>
          <cell r="K567">
            <v>330000</v>
          </cell>
        </row>
        <row r="686">
          <cell r="J686">
            <v>8000000</v>
          </cell>
          <cell r="K686">
            <v>142500</v>
          </cell>
        </row>
        <row r="737">
          <cell r="J737">
            <v>5500000</v>
          </cell>
          <cell r="K737">
            <v>86250</v>
          </cell>
        </row>
        <row r="754">
          <cell r="J754">
            <v>6350000</v>
          </cell>
          <cell r="K754">
            <v>98250</v>
          </cell>
        </row>
        <row r="788">
          <cell r="J788">
            <v>5650000</v>
          </cell>
          <cell r="K788">
            <v>89250</v>
          </cell>
        </row>
        <row r="804">
          <cell r="J804">
            <v>0</v>
          </cell>
        </row>
        <row r="822">
          <cell r="J822">
            <v>550000</v>
          </cell>
          <cell r="K822">
            <v>9000</v>
          </cell>
        </row>
        <row r="856">
          <cell r="J856">
            <v>1400000</v>
          </cell>
          <cell r="K856">
            <v>27000</v>
          </cell>
        </row>
        <row r="907">
          <cell r="J907">
            <v>11800000</v>
          </cell>
          <cell r="K907">
            <v>186000</v>
          </cell>
        </row>
        <row r="975">
          <cell r="J975">
            <v>1600000</v>
          </cell>
          <cell r="K975">
            <v>27000</v>
          </cell>
        </row>
        <row r="992">
          <cell r="J992">
            <v>16000000</v>
          </cell>
          <cell r="K992">
            <v>187500</v>
          </cell>
        </row>
        <row r="1009">
          <cell r="J1009">
            <v>750000</v>
          </cell>
          <cell r="K1009">
            <v>18750</v>
          </cell>
        </row>
        <row r="1026">
          <cell r="I1026">
            <v>150000</v>
          </cell>
          <cell r="J1026">
            <v>2850000</v>
          </cell>
          <cell r="K1026">
            <v>45000</v>
          </cell>
        </row>
        <row r="1043">
          <cell r="J1043">
            <v>3000000</v>
          </cell>
          <cell r="K1043">
            <v>52500</v>
          </cell>
        </row>
        <row r="1060">
          <cell r="J1060">
            <v>15600000</v>
          </cell>
          <cell r="K1060">
            <v>241500</v>
          </cell>
        </row>
        <row r="1111">
          <cell r="J1111">
            <v>27000000</v>
          </cell>
          <cell r="K1111">
            <v>495000</v>
          </cell>
        </row>
        <row r="1128">
          <cell r="J1128">
            <v>5725000</v>
          </cell>
          <cell r="K1128">
            <v>93375</v>
          </cell>
        </row>
        <row r="1144">
          <cell r="J1144">
            <v>0</v>
          </cell>
        </row>
        <row r="1162">
          <cell r="J1162">
            <v>2400000</v>
          </cell>
          <cell r="K1162">
            <v>40500</v>
          </cell>
        </row>
        <row r="1230">
          <cell r="J1230">
            <v>2250000</v>
          </cell>
          <cell r="K1230">
            <v>39750</v>
          </cell>
        </row>
        <row r="1400">
          <cell r="J1400">
            <v>4000000</v>
          </cell>
          <cell r="K1400">
            <v>75000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770">
          <cell r="J770">
            <v>0</v>
          </cell>
        </row>
        <row r="804">
          <cell r="J804">
            <v>0</v>
          </cell>
        </row>
        <row r="1059">
          <cell r="I1059">
            <v>500000</v>
          </cell>
        </row>
        <row r="1110">
          <cell r="I1110">
            <v>1000000</v>
          </cell>
        </row>
        <row r="1144">
          <cell r="J1144">
            <v>0</v>
          </cell>
        </row>
        <row r="1161">
          <cell r="I1161">
            <v>300000</v>
          </cell>
          <cell r="P1161">
            <v>100000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24">
          <cell r="J24">
            <v>18000000</v>
          </cell>
          <cell r="K24">
            <v>285000</v>
          </cell>
        </row>
        <row r="245">
          <cell r="J245">
            <v>34700000</v>
          </cell>
          <cell r="K245">
            <v>538500</v>
          </cell>
        </row>
        <row r="279">
          <cell r="J279">
            <v>500000</v>
          </cell>
          <cell r="K279">
            <v>15000</v>
          </cell>
        </row>
        <row r="330">
          <cell r="J330">
            <v>17500000</v>
          </cell>
          <cell r="K330">
            <v>266250</v>
          </cell>
        </row>
        <row r="364">
          <cell r="J364">
            <v>9500000</v>
          </cell>
          <cell r="K364">
            <v>150000</v>
          </cell>
        </row>
        <row r="381">
          <cell r="J381">
            <v>20420000</v>
          </cell>
          <cell r="K381">
            <v>313800</v>
          </cell>
        </row>
        <row r="398">
          <cell r="J398">
            <v>2000000</v>
          </cell>
          <cell r="K398">
            <v>45000</v>
          </cell>
        </row>
        <row r="449">
          <cell r="J449">
            <v>27000000</v>
          </cell>
          <cell r="K449">
            <v>412500</v>
          </cell>
        </row>
        <row r="500">
          <cell r="J500">
            <v>34571000</v>
          </cell>
          <cell r="K500">
            <v>520815</v>
          </cell>
        </row>
        <row r="517">
          <cell r="J517">
            <v>20200000</v>
          </cell>
          <cell r="K517">
            <v>309000</v>
          </cell>
        </row>
        <row r="551">
          <cell r="J551">
            <v>17000000</v>
          </cell>
          <cell r="K551">
            <v>262500</v>
          </cell>
        </row>
        <row r="687">
          <cell r="J687">
            <v>6500000</v>
          </cell>
          <cell r="K687">
            <v>120000</v>
          </cell>
        </row>
        <row r="738">
          <cell r="J738">
            <v>5250000</v>
          </cell>
          <cell r="K738">
            <v>82500</v>
          </cell>
        </row>
        <row r="755">
          <cell r="J755">
            <v>6150000</v>
          </cell>
          <cell r="K755">
            <v>95250</v>
          </cell>
        </row>
        <row r="789">
          <cell r="J789">
            <v>5350000</v>
          </cell>
          <cell r="K789">
            <v>84750</v>
          </cell>
        </row>
        <row r="823">
          <cell r="J823">
            <v>500000</v>
          </cell>
          <cell r="K823">
            <v>8250</v>
          </cell>
        </row>
        <row r="857">
          <cell r="J857">
            <v>1000000</v>
          </cell>
          <cell r="K857">
            <v>21000</v>
          </cell>
        </row>
        <row r="908">
          <cell r="J908">
            <v>11200000</v>
          </cell>
          <cell r="K908">
            <v>177000</v>
          </cell>
        </row>
        <row r="976">
          <cell r="J976">
            <v>1400000</v>
          </cell>
          <cell r="K976">
            <v>24000</v>
          </cell>
        </row>
        <row r="993">
          <cell r="J993">
            <v>14500000</v>
          </cell>
          <cell r="K993">
            <v>240000</v>
          </cell>
        </row>
        <row r="1010">
          <cell r="J1010">
            <v>250000</v>
          </cell>
          <cell r="K1010">
            <v>11250</v>
          </cell>
        </row>
        <row r="1027">
          <cell r="J1027">
            <v>2700000</v>
          </cell>
          <cell r="K1027">
            <v>42750</v>
          </cell>
        </row>
        <row r="1044">
          <cell r="J1044">
            <v>2500000</v>
          </cell>
          <cell r="K1044">
            <v>45000</v>
          </cell>
        </row>
        <row r="1061">
          <cell r="J1061">
            <v>15100000</v>
          </cell>
          <cell r="K1061">
            <v>234000</v>
          </cell>
        </row>
        <row r="1112">
          <cell r="J1112">
            <v>25000000</v>
          </cell>
          <cell r="K1112">
            <v>405000</v>
          </cell>
        </row>
        <row r="1129">
          <cell r="J1129">
            <v>5225000</v>
          </cell>
          <cell r="K1129">
            <v>85875</v>
          </cell>
        </row>
        <row r="1163">
          <cell r="J1163">
            <v>2100000</v>
          </cell>
          <cell r="K1163">
            <v>36000</v>
          </cell>
        </row>
        <row r="1231">
          <cell r="J1231">
            <v>1850000</v>
          </cell>
          <cell r="K1231">
            <v>33750</v>
          </cell>
        </row>
        <row r="1401">
          <cell r="J1401">
            <v>3000000</v>
          </cell>
          <cell r="K1401">
            <v>60000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rnmei"/>
    </sheetNames>
    <sheetDataSet>
      <sheetData sheetId="0">
        <row r="8">
          <cell r="D8"/>
          <cell r="E8"/>
          <cell r="F8"/>
        </row>
        <row r="25">
          <cell r="J25">
            <v>17000000</v>
          </cell>
          <cell r="K25">
            <v>270000</v>
          </cell>
        </row>
        <row r="246">
          <cell r="J246">
            <v>33500000</v>
          </cell>
          <cell r="K246">
            <v>520500</v>
          </cell>
        </row>
        <row r="280">
          <cell r="J280">
            <v>0</v>
          </cell>
          <cell r="K280">
            <v>7500</v>
          </cell>
        </row>
        <row r="331">
          <cell r="J331">
            <v>17250000</v>
          </cell>
          <cell r="K331">
            <v>262500</v>
          </cell>
        </row>
        <row r="365">
          <cell r="J365">
            <v>9000000</v>
          </cell>
          <cell r="K365">
            <v>142500</v>
          </cell>
          <cell r="P365">
            <v>600000</v>
          </cell>
        </row>
        <row r="382">
          <cell r="J382">
            <v>19920000</v>
          </cell>
          <cell r="K382">
            <v>306300</v>
          </cell>
        </row>
        <row r="399">
          <cell r="I399">
            <v>2000000</v>
          </cell>
          <cell r="J399">
            <v>0</v>
          </cell>
          <cell r="K399">
            <v>30000</v>
          </cell>
        </row>
        <row r="450">
          <cell r="J450">
            <v>26500000</v>
          </cell>
          <cell r="K450">
            <v>405000</v>
          </cell>
        </row>
        <row r="501">
          <cell r="J501">
            <v>34421000</v>
          </cell>
          <cell r="K501">
            <v>518565</v>
          </cell>
        </row>
        <row r="518">
          <cell r="J518">
            <v>19800000</v>
          </cell>
          <cell r="K518">
            <v>303000</v>
          </cell>
        </row>
        <row r="552">
          <cell r="J552">
            <v>16500000</v>
          </cell>
          <cell r="K552">
            <v>255000</v>
          </cell>
        </row>
        <row r="654">
          <cell r="F654">
            <v>500000</v>
          </cell>
        </row>
        <row r="688">
          <cell r="J688">
            <v>5000000</v>
          </cell>
          <cell r="K688">
            <v>97500</v>
          </cell>
        </row>
        <row r="739">
          <cell r="J739">
            <v>5000000</v>
          </cell>
          <cell r="K739">
            <v>78750</v>
          </cell>
        </row>
        <row r="756">
          <cell r="J756">
            <v>5950000</v>
          </cell>
          <cell r="K756">
            <v>92250</v>
          </cell>
        </row>
        <row r="790">
          <cell r="J790">
            <v>5050000</v>
          </cell>
          <cell r="K790">
            <v>80250</v>
          </cell>
        </row>
        <row r="824">
          <cell r="J824">
            <v>450000</v>
          </cell>
          <cell r="K824">
            <v>7500</v>
          </cell>
        </row>
        <row r="858">
          <cell r="J858">
            <v>600000</v>
          </cell>
          <cell r="K858">
            <v>15000</v>
          </cell>
        </row>
        <row r="909">
          <cell r="J909">
            <v>10600000</v>
          </cell>
          <cell r="K909">
            <v>168000</v>
          </cell>
        </row>
        <row r="977">
          <cell r="J977">
            <v>1200000</v>
          </cell>
          <cell r="K977">
            <v>21000</v>
          </cell>
        </row>
        <row r="994">
          <cell r="J994">
            <v>13000000</v>
          </cell>
          <cell r="K994">
            <v>217500</v>
          </cell>
        </row>
        <row r="1011">
          <cell r="I1011">
            <v>250000</v>
          </cell>
          <cell r="J1011">
            <v>0</v>
          </cell>
          <cell r="K1011">
            <v>3750</v>
          </cell>
        </row>
        <row r="1028">
          <cell r="J1028">
            <v>2550000</v>
          </cell>
          <cell r="K1028">
            <v>40500</v>
          </cell>
        </row>
        <row r="1045">
          <cell r="J1045">
            <v>2000000</v>
          </cell>
          <cell r="K1045">
            <v>37500</v>
          </cell>
        </row>
        <row r="1062">
          <cell r="J1062">
            <v>14600000</v>
          </cell>
          <cell r="K1062">
            <v>226500</v>
          </cell>
        </row>
        <row r="1113">
          <cell r="J1113">
            <v>24000000</v>
          </cell>
          <cell r="K1113">
            <v>375000</v>
          </cell>
        </row>
        <row r="1130">
          <cell r="J1130">
            <v>4725000</v>
          </cell>
          <cell r="K1130">
            <v>78375</v>
          </cell>
        </row>
        <row r="1164">
          <cell r="J1164">
            <v>1800000</v>
          </cell>
          <cell r="K1164">
            <v>31500</v>
          </cell>
        </row>
        <row r="1198">
          <cell r="N1198">
            <v>2000000</v>
          </cell>
          <cell r="O1198">
            <v>6000000</v>
          </cell>
          <cell r="P1198">
            <v>160000</v>
          </cell>
        </row>
        <row r="1232">
          <cell r="J1232">
            <v>1450000</v>
          </cell>
          <cell r="K1232">
            <v>27750</v>
          </cell>
        </row>
        <row r="1402">
          <cell r="J1402">
            <v>2000000</v>
          </cell>
          <cell r="K1402">
            <v>45000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205E3-D7F4-44DE-B74A-BD557BBAC368}">
  <dimension ref="A1:O380"/>
  <sheetViews>
    <sheetView workbookViewId="0">
      <selection activeCell="F15" sqref="F15"/>
    </sheetView>
  </sheetViews>
  <sheetFormatPr defaultRowHeight="14.4" x14ac:dyDescent="0.3"/>
  <cols>
    <col min="1" max="1" width="18.33203125" customWidth="1"/>
    <col min="2" max="2" width="4" customWidth="1"/>
    <col min="3" max="3" width="2.5546875" customWidth="1"/>
    <col min="4" max="4" width="19.6640625" customWidth="1"/>
    <col min="5" max="5" width="5.6640625" customWidth="1"/>
    <col min="6" max="6" width="18.33203125" customWidth="1"/>
    <col min="7" max="7" width="4.6640625" customWidth="1"/>
    <col min="8" max="8" width="2.88671875" customWidth="1"/>
    <col min="9" max="9" width="17.88671875" customWidth="1"/>
    <col min="10" max="10" width="5.88671875" customWidth="1"/>
    <col min="11" max="11" width="18.44140625" customWidth="1"/>
    <col min="12" max="12" width="4.44140625" customWidth="1"/>
    <col min="13" max="13" width="4" customWidth="1"/>
    <col min="14" max="14" width="19.33203125" customWidth="1"/>
    <col min="15" max="15" width="6.33203125" customWidth="1"/>
  </cols>
  <sheetData>
    <row r="1" spans="1:15" ht="15" x14ac:dyDescent="0.35">
      <c r="A1" s="46" t="s">
        <v>0</v>
      </c>
      <c r="B1" s="47"/>
      <c r="C1" s="47"/>
      <c r="D1" s="47"/>
      <c r="E1" s="47"/>
      <c r="F1" s="46" t="s">
        <v>0</v>
      </c>
      <c r="G1" s="47"/>
      <c r="H1" s="47"/>
      <c r="I1" s="47"/>
      <c r="J1" s="47"/>
      <c r="K1" s="46" t="s">
        <v>0</v>
      </c>
      <c r="L1" s="47"/>
      <c r="M1" s="47"/>
      <c r="N1" s="47"/>
      <c r="O1" s="48"/>
    </row>
    <row r="2" spans="1:15" ht="15" x14ac:dyDescent="0.35">
      <c r="A2" s="1"/>
      <c r="B2" s="2"/>
      <c r="C2" s="2"/>
      <c r="D2" s="2"/>
      <c r="E2" s="2"/>
      <c r="F2" s="1"/>
      <c r="G2" s="2"/>
      <c r="H2" s="2"/>
      <c r="I2" s="2"/>
      <c r="J2" s="2"/>
      <c r="K2" s="1"/>
      <c r="L2" s="2"/>
      <c r="M2" s="2"/>
      <c r="N2" s="2"/>
      <c r="O2" s="3"/>
    </row>
    <row r="3" spans="1:15" ht="15" x14ac:dyDescent="0.35">
      <c r="A3" s="1" t="s">
        <v>1</v>
      </c>
      <c r="B3" s="2" t="s">
        <v>2</v>
      </c>
      <c r="C3" s="50" t="s">
        <v>74</v>
      </c>
      <c r="D3" s="50"/>
      <c r="E3" s="4">
        <v>53</v>
      </c>
      <c r="F3" s="1" t="s">
        <v>1</v>
      </c>
      <c r="G3" s="2" t="s">
        <v>2</v>
      </c>
      <c r="H3" s="50" t="s">
        <v>69</v>
      </c>
      <c r="I3" s="50"/>
      <c r="J3" s="4">
        <v>49</v>
      </c>
      <c r="K3" s="1" t="s">
        <v>1</v>
      </c>
      <c r="L3" s="2" t="s">
        <v>2</v>
      </c>
      <c r="M3" s="50" t="s">
        <v>3</v>
      </c>
      <c r="N3" s="50"/>
      <c r="O3" s="6">
        <v>1</v>
      </c>
    </row>
    <row r="4" spans="1:15" ht="15" x14ac:dyDescent="0.35">
      <c r="A4" s="1" t="s">
        <v>4</v>
      </c>
      <c r="B4" s="2"/>
      <c r="C4" s="2" t="s">
        <v>2</v>
      </c>
      <c r="D4" s="2"/>
      <c r="F4" s="1" t="s">
        <v>4</v>
      </c>
      <c r="G4" s="2"/>
      <c r="H4" s="2" t="s">
        <v>2</v>
      </c>
      <c r="I4" s="2"/>
      <c r="J4" s="2"/>
      <c r="K4" s="1" t="s">
        <v>4</v>
      </c>
      <c r="L4" s="2"/>
      <c r="M4" s="2" t="s">
        <v>2</v>
      </c>
      <c r="N4" s="2"/>
      <c r="O4" s="3"/>
    </row>
    <row r="5" spans="1:15" ht="15" x14ac:dyDescent="0.35">
      <c r="A5" s="1" t="s">
        <v>5</v>
      </c>
      <c r="B5" s="2"/>
      <c r="C5" s="2" t="s">
        <v>2</v>
      </c>
      <c r="D5" s="7">
        <f>[1]krnmei!$C$1314</f>
        <v>15000</v>
      </c>
      <c r="E5" s="2"/>
      <c r="F5" s="1" t="s">
        <v>5</v>
      </c>
      <c r="G5" s="2"/>
      <c r="H5" s="2" t="s">
        <v>2</v>
      </c>
      <c r="I5" s="7">
        <f>[2]krnmei!$C$1289</f>
        <v>15000</v>
      </c>
      <c r="J5" s="2"/>
      <c r="K5" s="1" t="s">
        <v>5</v>
      </c>
      <c r="L5" s="2"/>
      <c r="M5" s="2" t="s">
        <v>2</v>
      </c>
      <c r="N5" s="8">
        <f>'[3]KARNING 2021'!$C$140</f>
        <v>100000</v>
      </c>
      <c r="O5" s="3"/>
    </row>
    <row r="6" spans="1:15" ht="15" x14ac:dyDescent="0.35">
      <c r="A6" s="1" t="s">
        <v>6</v>
      </c>
      <c r="B6" s="2"/>
      <c r="C6" s="2" t="s">
        <v>2</v>
      </c>
      <c r="D6" s="7">
        <f>[1]krnmei!$D$1365</f>
        <v>10000</v>
      </c>
      <c r="E6" s="2"/>
      <c r="F6" s="1" t="s">
        <v>6</v>
      </c>
      <c r="G6" s="2"/>
      <c r="H6" s="2" t="s">
        <v>2</v>
      </c>
      <c r="I6" s="7">
        <f>[2]krnmei!$D$1290</f>
        <v>10000</v>
      </c>
      <c r="J6" s="2"/>
      <c r="K6" s="1" t="s">
        <v>6</v>
      </c>
      <c r="L6" s="2"/>
      <c r="M6" s="2" t="s">
        <v>2</v>
      </c>
      <c r="N6" s="8">
        <f>[4]krnmei!$D$140</f>
        <v>300000</v>
      </c>
      <c r="O6" s="3"/>
    </row>
    <row r="7" spans="1:15" ht="15" x14ac:dyDescent="0.35">
      <c r="A7" s="1" t="s">
        <v>7</v>
      </c>
      <c r="B7" s="2"/>
      <c r="C7" s="2" t="s">
        <v>2</v>
      </c>
      <c r="D7" s="7">
        <f>[1]krnmei!$E$1365</f>
        <v>60000</v>
      </c>
      <c r="E7" s="2"/>
      <c r="F7" s="1" t="s">
        <v>7</v>
      </c>
      <c r="G7" s="2"/>
      <c r="H7" s="2" t="s">
        <v>2</v>
      </c>
      <c r="I7" s="7">
        <v>25000</v>
      </c>
      <c r="J7" s="2"/>
      <c r="K7" s="1" t="s">
        <v>7</v>
      </c>
      <c r="L7" s="2"/>
      <c r="M7" s="2" t="s">
        <v>2</v>
      </c>
      <c r="N7" s="8">
        <f>[5]krnmei!$E$144</f>
        <v>500000</v>
      </c>
      <c r="O7" s="3"/>
    </row>
    <row r="8" spans="1:15" ht="15" x14ac:dyDescent="0.35">
      <c r="A8" s="1" t="s">
        <v>8</v>
      </c>
      <c r="B8" s="7"/>
      <c r="C8" s="2" t="s">
        <v>2</v>
      </c>
      <c r="D8" s="7"/>
      <c r="E8" s="2"/>
      <c r="F8" s="1" t="s">
        <v>8</v>
      </c>
      <c r="G8" s="2"/>
      <c r="H8" s="2" t="s">
        <v>2</v>
      </c>
      <c r="I8" s="7">
        <v>0</v>
      </c>
      <c r="J8" s="2"/>
      <c r="K8" s="1" t="s">
        <v>8</v>
      </c>
      <c r="L8" s="2"/>
      <c r="M8" s="2" t="s">
        <v>2</v>
      </c>
      <c r="N8" s="9">
        <v>0</v>
      </c>
      <c r="O8" s="3"/>
    </row>
    <row r="9" spans="1:15" ht="15" x14ac:dyDescent="0.35">
      <c r="A9" s="1" t="s">
        <v>9</v>
      </c>
      <c r="B9" s="2"/>
      <c r="C9" s="2" t="s">
        <v>2</v>
      </c>
      <c r="D9" s="10"/>
      <c r="E9" s="2"/>
      <c r="F9" s="1" t="s">
        <v>9</v>
      </c>
      <c r="G9" s="2"/>
      <c r="H9" s="2" t="s">
        <v>2</v>
      </c>
      <c r="I9" s="7">
        <v>0</v>
      </c>
      <c r="J9" s="2"/>
      <c r="K9" s="1" t="s">
        <v>9</v>
      </c>
      <c r="L9" s="2"/>
      <c r="M9" s="2" t="s">
        <v>2</v>
      </c>
      <c r="N9" s="11">
        <v>0</v>
      </c>
      <c r="O9" s="3"/>
    </row>
    <row r="10" spans="1:15" ht="15" x14ac:dyDescent="0.35">
      <c r="A10" s="1" t="s">
        <v>10</v>
      </c>
      <c r="B10" s="7"/>
      <c r="C10" s="2" t="s">
        <v>2</v>
      </c>
      <c r="D10" s="7"/>
      <c r="E10" s="2"/>
      <c r="F10" s="1" t="s">
        <v>10</v>
      </c>
      <c r="G10" s="2"/>
      <c r="H10" s="2" t="s">
        <v>2</v>
      </c>
      <c r="I10" s="7">
        <v>0</v>
      </c>
      <c r="J10" s="2"/>
      <c r="K10" s="1" t="s">
        <v>10</v>
      </c>
      <c r="L10" s="2"/>
      <c r="M10" s="2" t="s">
        <v>2</v>
      </c>
      <c r="N10" s="8">
        <v>0</v>
      </c>
      <c r="O10" s="3"/>
    </row>
    <row r="11" spans="1:15" ht="15" x14ac:dyDescent="0.35">
      <c r="A11" s="1" t="s">
        <v>11</v>
      </c>
      <c r="B11" s="2"/>
      <c r="C11" s="2" t="s">
        <v>2</v>
      </c>
      <c r="D11" s="12"/>
      <c r="E11" s="2"/>
      <c r="F11" s="1" t="s">
        <v>11</v>
      </c>
      <c r="G11" s="2"/>
      <c r="H11" s="2" t="s">
        <v>2</v>
      </c>
      <c r="I11" s="7">
        <v>0</v>
      </c>
      <c r="J11" s="2"/>
      <c r="K11" s="1" t="s">
        <v>11</v>
      </c>
      <c r="L11" s="2"/>
      <c r="M11" s="2" t="s">
        <v>2</v>
      </c>
      <c r="N11" s="8">
        <f>[6]krnmei!$P$148</f>
        <v>80000</v>
      </c>
      <c r="O11" s="3"/>
    </row>
    <row r="12" spans="1:15" ht="15" x14ac:dyDescent="0.35">
      <c r="A12" s="1" t="s">
        <v>12</v>
      </c>
      <c r="B12" s="2"/>
      <c r="C12" s="2" t="s">
        <v>2</v>
      </c>
      <c r="D12" s="8">
        <f>[1]krnmei!$F$1314</f>
        <v>15000</v>
      </c>
      <c r="E12" s="2"/>
      <c r="F12" s="1" t="s">
        <v>12</v>
      </c>
      <c r="G12" s="2"/>
      <c r="H12" s="2" t="s">
        <v>2</v>
      </c>
      <c r="I12" s="8">
        <f>[7]krnmei!$F$1289</f>
        <v>100000</v>
      </c>
      <c r="J12" s="2"/>
      <c r="K12" s="1" t="s">
        <v>12</v>
      </c>
      <c r="L12" s="2"/>
      <c r="M12" s="2" t="s">
        <v>2</v>
      </c>
      <c r="N12" s="8">
        <f>[8]krnmei!$F$148</f>
        <v>250000</v>
      </c>
      <c r="O12" s="3"/>
    </row>
    <row r="13" spans="1:15" ht="15" x14ac:dyDescent="0.35">
      <c r="A13" s="13" t="s">
        <v>13</v>
      </c>
      <c r="B13" s="5"/>
      <c r="C13" s="5" t="s">
        <v>2</v>
      </c>
      <c r="D13" s="14">
        <f>SUM(D5:D12)</f>
        <v>100000</v>
      </c>
      <c r="E13" s="2"/>
      <c r="F13" s="13" t="s">
        <v>13</v>
      </c>
      <c r="G13" s="5"/>
      <c r="H13" s="5" t="s">
        <v>2</v>
      </c>
      <c r="I13" s="14">
        <f>SUM(I5:I12)</f>
        <v>150000</v>
      </c>
      <c r="J13" s="2"/>
      <c r="K13" s="13" t="s">
        <v>13</v>
      </c>
      <c r="L13" s="5"/>
      <c r="M13" s="5" t="s">
        <v>2</v>
      </c>
      <c r="N13" s="8">
        <f>SUM(N5:N12)</f>
        <v>1230000</v>
      </c>
      <c r="O13" s="3"/>
    </row>
    <row r="14" spans="1:15" ht="15" x14ac:dyDescent="0.35">
      <c r="A14" s="1" t="s">
        <v>14</v>
      </c>
      <c r="B14" s="2"/>
      <c r="C14" s="2" t="s">
        <v>2</v>
      </c>
      <c r="D14" s="7"/>
      <c r="E14" s="2"/>
      <c r="F14" s="1" t="s">
        <v>14</v>
      </c>
      <c r="G14" s="2"/>
      <c r="H14" s="2" t="s">
        <v>2</v>
      </c>
      <c r="I14" s="7"/>
      <c r="J14" s="2"/>
      <c r="K14" s="1" t="s">
        <v>14</v>
      </c>
      <c r="L14" s="2"/>
      <c r="M14" s="2" t="s">
        <v>2</v>
      </c>
      <c r="N14" s="8">
        <f>[6]krnmei!$O$148</f>
        <v>4000000</v>
      </c>
      <c r="O14" s="3"/>
    </row>
    <row r="15" spans="1:15" ht="15" x14ac:dyDescent="0.35">
      <c r="A15" s="1"/>
      <c r="B15" s="2"/>
      <c r="C15" s="15"/>
      <c r="D15" s="2" t="s">
        <v>85</v>
      </c>
      <c r="E15" s="2"/>
      <c r="F15" s="1"/>
      <c r="G15" s="2"/>
      <c r="H15" s="2"/>
      <c r="I15" s="15" t="str">
        <f>D15</f>
        <v>Grogol, 01 Desember 2025</v>
      </c>
      <c r="J15" s="15"/>
      <c r="K15" s="1"/>
      <c r="L15" s="2"/>
      <c r="M15" s="15"/>
      <c r="N15" s="15" t="str">
        <f>I15</f>
        <v>Grogol, 01 Desember 2025</v>
      </c>
      <c r="O15" s="16"/>
    </row>
    <row r="16" spans="1:15" ht="15" x14ac:dyDescent="0.35">
      <c r="A16" s="1"/>
      <c r="B16" s="2"/>
      <c r="C16" s="2"/>
      <c r="D16" s="15" t="s">
        <v>15</v>
      </c>
      <c r="E16" s="15"/>
      <c r="F16" s="1"/>
      <c r="G16" s="2"/>
      <c r="H16" s="2"/>
      <c r="I16" s="15" t="s">
        <v>15</v>
      </c>
      <c r="J16" s="2"/>
      <c r="K16" s="1"/>
      <c r="L16" s="2"/>
      <c r="M16" s="2"/>
      <c r="N16" s="15" t="s">
        <v>15</v>
      </c>
      <c r="O16" s="3"/>
    </row>
    <row r="17" spans="1:15" ht="15" x14ac:dyDescent="0.35">
      <c r="A17" s="1"/>
      <c r="B17" s="2"/>
      <c r="C17" s="2"/>
      <c r="D17" s="15"/>
      <c r="E17" s="2"/>
      <c r="F17" s="1"/>
      <c r="G17" s="2"/>
      <c r="H17" s="2"/>
      <c r="I17" s="15"/>
      <c r="J17" s="2"/>
      <c r="K17" s="1"/>
      <c r="L17" s="2"/>
      <c r="M17" s="2"/>
      <c r="N17" s="15"/>
      <c r="O17" s="3"/>
    </row>
    <row r="18" spans="1:15" ht="15" x14ac:dyDescent="0.35">
      <c r="A18" s="1"/>
      <c r="B18" s="2"/>
      <c r="C18" s="2"/>
      <c r="D18" s="15"/>
      <c r="E18" s="2"/>
      <c r="F18" s="1"/>
      <c r="G18" s="2"/>
      <c r="H18" s="2"/>
      <c r="I18" s="15"/>
      <c r="J18" s="2"/>
      <c r="K18" s="1"/>
      <c r="L18" s="2"/>
      <c r="M18" s="2"/>
      <c r="N18" s="15"/>
      <c r="O18" s="3"/>
    </row>
    <row r="19" spans="1:15" ht="15.6" thickBot="1" x14ac:dyDescent="0.4">
      <c r="A19" s="17"/>
      <c r="B19" s="18"/>
      <c r="C19" s="18"/>
      <c r="D19" s="19" t="s">
        <v>16</v>
      </c>
      <c r="E19" s="18"/>
      <c r="F19" s="17"/>
      <c r="G19" s="18"/>
      <c r="H19" s="18"/>
      <c r="I19" s="19" t="s">
        <v>16</v>
      </c>
      <c r="J19" s="18"/>
      <c r="K19" s="17"/>
      <c r="L19" s="18"/>
      <c r="M19" s="18"/>
      <c r="N19" s="19" t="s">
        <v>16</v>
      </c>
      <c r="O19" s="20"/>
    </row>
    <row r="20" spans="1:15" ht="15" x14ac:dyDescent="0.35">
      <c r="A20" s="46" t="s">
        <v>0</v>
      </c>
      <c r="B20" s="47"/>
      <c r="C20" s="47"/>
      <c r="D20" s="47"/>
      <c r="E20" s="47"/>
      <c r="F20" s="46" t="s">
        <v>0</v>
      </c>
      <c r="G20" s="47"/>
      <c r="H20" s="47"/>
      <c r="I20" s="47"/>
      <c r="J20" s="47"/>
      <c r="K20" s="46" t="s">
        <v>0</v>
      </c>
      <c r="L20" s="47"/>
      <c r="M20" s="47"/>
      <c r="N20" s="47"/>
      <c r="O20" s="48"/>
    </row>
    <row r="21" spans="1:15" ht="15" x14ac:dyDescent="0.35">
      <c r="A21" s="1"/>
      <c r="B21" s="2"/>
      <c r="C21" s="2"/>
      <c r="D21" s="2"/>
      <c r="E21" s="2"/>
      <c r="F21" s="1"/>
      <c r="G21" s="2"/>
      <c r="H21" s="2"/>
      <c r="I21" s="2"/>
      <c r="J21" s="2"/>
      <c r="K21" s="1"/>
      <c r="L21" s="2"/>
      <c r="M21" s="2"/>
      <c r="N21" s="2"/>
      <c r="O21" s="3"/>
    </row>
    <row r="22" spans="1:15" ht="15" x14ac:dyDescent="0.35">
      <c r="A22" s="1" t="s">
        <v>1</v>
      </c>
      <c r="B22" s="2" t="s">
        <v>2</v>
      </c>
      <c r="C22" s="50" t="s">
        <v>71</v>
      </c>
      <c r="D22" s="50"/>
      <c r="E22" s="4">
        <v>50</v>
      </c>
      <c r="F22" s="1" t="s">
        <v>1</v>
      </c>
      <c r="G22" s="2" t="s">
        <v>2</v>
      </c>
      <c r="H22" s="50" t="s">
        <v>72</v>
      </c>
      <c r="I22" s="50"/>
      <c r="J22" s="4">
        <v>51</v>
      </c>
      <c r="K22" s="1" t="s">
        <v>1</v>
      </c>
      <c r="L22" s="2" t="s">
        <v>2</v>
      </c>
      <c r="M22" s="50" t="s">
        <v>73</v>
      </c>
      <c r="N22" s="50"/>
      <c r="O22" s="6">
        <v>52</v>
      </c>
    </row>
    <row r="23" spans="1:15" ht="15" x14ac:dyDescent="0.35">
      <c r="A23" s="1" t="s">
        <v>4</v>
      </c>
      <c r="B23" s="2"/>
      <c r="C23" s="2" t="s">
        <v>2</v>
      </c>
      <c r="D23" s="2"/>
      <c r="F23" s="1" t="s">
        <v>4</v>
      </c>
      <c r="G23" s="2"/>
      <c r="H23" s="2" t="s">
        <v>2</v>
      </c>
      <c r="I23" s="2"/>
      <c r="J23" s="2"/>
      <c r="K23" s="1" t="s">
        <v>4</v>
      </c>
      <c r="L23" s="2"/>
      <c r="M23" s="2" t="s">
        <v>2</v>
      </c>
      <c r="N23" s="2"/>
      <c r="O23" s="3"/>
    </row>
    <row r="24" spans="1:15" ht="15" x14ac:dyDescent="0.35">
      <c r="A24" s="1" t="s">
        <v>5</v>
      </c>
      <c r="B24" s="2"/>
      <c r="C24" s="2" t="s">
        <v>2</v>
      </c>
      <c r="D24" s="8">
        <f>[1]krnmei!$C$1314</f>
        <v>15000</v>
      </c>
      <c r="E24" s="2"/>
      <c r="F24" s="1" t="s">
        <v>5</v>
      </c>
      <c r="G24" s="2"/>
      <c r="H24" s="2" t="s">
        <v>2</v>
      </c>
      <c r="I24" s="8">
        <f>[1]krnmei!$C$1331</f>
        <v>15000</v>
      </c>
      <c r="J24" s="2"/>
      <c r="K24" s="1" t="s">
        <v>5</v>
      </c>
      <c r="L24" s="2"/>
      <c r="M24" s="2" t="s">
        <v>2</v>
      </c>
      <c r="N24" s="8">
        <f>[1]krnmei!$C$1348</f>
        <v>15000</v>
      </c>
      <c r="O24" s="3"/>
    </row>
    <row r="25" spans="1:15" ht="15" x14ac:dyDescent="0.35">
      <c r="A25" s="1" t="s">
        <v>6</v>
      </c>
      <c r="B25" s="2"/>
      <c r="C25" s="2" t="s">
        <v>2</v>
      </c>
      <c r="D25" s="8">
        <f>[1]krnmei!$D$1314</f>
        <v>20000</v>
      </c>
      <c r="E25" s="2"/>
      <c r="F25" s="1" t="s">
        <v>6</v>
      </c>
      <c r="G25" s="2"/>
      <c r="H25" s="2" t="s">
        <v>2</v>
      </c>
      <c r="I25" s="8">
        <f>[1]krnmei!$D$1331</f>
        <v>20000</v>
      </c>
      <c r="J25" s="2"/>
      <c r="K25" s="1" t="s">
        <v>6</v>
      </c>
      <c r="L25" s="2"/>
      <c r="M25" s="2" t="s">
        <v>2</v>
      </c>
      <c r="N25" s="8">
        <f>[1]krnmei!$D$1348</f>
        <v>20000</v>
      </c>
      <c r="O25" s="3"/>
    </row>
    <row r="26" spans="1:15" ht="15" x14ac:dyDescent="0.35">
      <c r="A26" s="1" t="s">
        <v>7</v>
      </c>
      <c r="B26" s="2"/>
      <c r="C26" s="2" t="s">
        <v>2</v>
      </c>
      <c r="D26" s="8">
        <f>[1]krnmei!$E$1314</f>
        <v>50000</v>
      </c>
      <c r="E26" s="2"/>
      <c r="F26" s="1" t="s">
        <v>7</v>
      </c>
      <c r="G26" s="2"/>
      <c r="H26" s="2" t="s">
        <v>2</v>
      </c>
      <c r="I26" s="8">
        <f>[1]krnmei!$E$1331</f>
        <v>50000</v>
      </c>
      <c r="J26" s="2"/>
      <c r="K26" s="1" t="s">
        <v>7</v>
      </c>
      <c r="L26" s="2"/>
      <c r="M26" s="2" t="s">
        <v>2</v>
      </c>
      <c r="N26" s="8">
        <f>[1]krnmei!$E$1348</f>
        <v>50000</v>
      </c>
      <c r="O26" s="3"/>
    </row>
    <row r="27" spans="1:15" ht="15" x14ac:dyDescent="0.35">
      <c r="A27" s="1" t="s">
        <v>8</v>
      </c>
      <c r="B27" s="21"/>
      <c r="C27" s="2" t="s">
        <v>2</v>
      </c>
      <c r="D27" s="22">
        <v>0</v>
      </c>
      <c r="E27" s="2"/>
      <c r="F27" s="1" t="s">
        <v>8</v>
      </c>
      <c r="G27" s="2"/>
      <c r="H27" s="2" t="s">
        <v>2</v>
      </c>
      <c r="I27" s="8">
        <v>0</v>
      </c>
      <c r="J27" s="2"/>
      <c r="K27" s="1" t="s">
        <v>8</v>
      </c>
      <c r="L27" s="2"/>
      <c r="M27" s="2" t="s">
        <v>2</v>
      </c>
      <c r="N27" s="8">
        <v>0</v>
      </c>
      <c r="O27" s="3"/>
    </row>
    <row r="28" spans="1:15" ht="15" x14ac:dyDescent="0.35">
      <c r="A28" s="1" t="s">
        <v>9</v>
      </c>
      <c r="B28" s="2"/>
      <c r="C28" s="2" t="s">
        <v>2</v>
      </c>
      <c r="D28" s="8">
        <v>0</v>
      </c>
      <c r="E28" s="2"/>
      <c r="F28" s="1" t="s">
        <v>9</v>
      </c>
      <c r="G28" s="2"/>
      <c r="H28" s="2" t="s">
        <v>2</v>
      </c>
      <c r="I28" s="23">
        <v>0</v>
      </c>
      <c r="J28" s="2"/>
      <c r="K28" s="1" t="s">
        <v>9</v>
      </c>
      <c r="L28" s="2"/>
      <c r="M28" s="2" t="s">
        <v>2</v>
      </c>
      <c r="N28" s="8">
        <v>0</v>
      </c>
      <c r="O28" s="3"/>
    </row>
    <row r="29" spans="1:15" ht="15" x14ac:dyDescent="0.35">
      <c r="A29" s="1" t="s">
        <v>10</v>
      </c>
      <c r="B29" s="2">
        <v>0</v>
      </c>
      <c r="C29" s="2" t="s">
        <v>2</v>
      </c>
      <c r="D29" s="8">
        <v>0</v>
      </c>
      <c r="E29" s="2"/>
      <c r="F29" s="1" t="s">
        <v>10</v>
      </c>
      <c r="G29" s="2"/>
      <c r="H29" s="2" t="s">
        <v>2</v>
      </c>
      <c r="I29" s="8">
        <v>0</v>
      </c>
      <c r="J29" s="2"/>
      <c r="K29" s="1" t="s">
        <v>10</v>
      </c>
      <c r="L29" s="2"/>
      <c r="M29" s="2" t="s">
        <v>2</v>
      </c>
      <c r="N29" s="8">
        <v>0</v>
      </c>
      <c r="O29" s="3"/>
    </row>
    <row r="30" spans="1:15" ht="15" x14ac:dyDescent="0.35">
      <c r="A30" s="1" t="s">
        <v>11</v>
      </c>
      <c r="B30" s="2"/>
      <c r="C30" s="2" t="s">
        <v>2</v>
      </c>
      <c r="D30" s="8">
        <v>0</v>
      </c>
      <c r="E30" s="2"/>
      <c r="F30" s="1" t="s">
        <v>11</v>
      </c>
      <c r="G30" s="2"/>
      <c r="H30" s="2" t="s">
        <v>2</v>
      </c>
      <c r="I30" s="8">
        <v>0</v>
      </c>
      <c r="J30" s="2"/>
      <c r="K30" s="1" t="s">
        <v>11</v>
      </c>
      <c r="L30" s="2"/>
      <c r="M30" s="2" t="s">
        <v>2</v>
      </c>
      <c r="N30" s="9">
        <v>0</v>
      </c>
      <c r="O30" s="3"/>
    </row>
    <row r="31" spans="1:15" ht="15" x14ac:dyDescent="0.35">
      <c r="A31" s="1" t="s">
        <v>12</v>
      </c>
      <c r="B31" s="2"/>
      <c r="C31" s="2" t="s">
        <v>2</v>
      </c>
      <c r="D31" s="8">
        <f>[1]krnmei!$F$1314</f>
        <v>15000</v>
      </c>
      <c r="E31" s="2"/>
      <c r="F31" s="1" t="s">
        <v>12</v>
      </c>
      <c r="G31" s="2"/>
      <c r="H31" s="2" t="s">
        <v>2</v>
      </c>
      <c r="I31" s="8">
        <f>[1]krnmei!$F$1331</f>
        <v>15000</v>
      </c>
      <c r="J31" s="2"/>
      <c r="K31" s="1" t="s">
        <v>12</v>
      </c>
      <c r="L31" s="2"/>
      <c r="M31" s="2" t="s">
        <v>2</v>
      </c>
      <c r="N31" s="8">
        <f>[1]krnmei!$F$1348</f>
        <v>15000</v>
      </c>
      <c r="O31" s="3"/>
    </row>
    <row r="32" spans="1:15" ht="15" x14ac:dyDescent="0.35">
      <c r="A32" s="13" t="s">
        <v>13</v>
      </c>
      <c r="B32" s="5"/>
      <c r="C32" s="5" t="s">
        <v>2</v>
      </c>
      <c r="D32" s="8">
        <f>SUM(D24:D31)</f>
        <v>100000</v>
      </c>
      <c r="E32" s="2"/>
      <c r="F32" s="13" t="s">
        <v>13</v>
      </c>
      <c r="G32" s="5"/>
      <c r="H32" s="5" t="s">
        <v>2</v>
      </c>
      <c r="I32" s="24">
        <f>SUM(I24:I31)</f>
        <v>100000</v>
      </c>
      <c r="J32" s="2"/>
      <c r="K32" s="13" t="s">
        <v>13</v>
      </c>
      <c r="L32" s="5"/>
      <c r="M32" s="5" t="s">
        <v>2</v>
      </c>
      <c r="N32" s="24">
        <f>SUM(N24:N31)</f>
        <v>100000</v>
      </c>
      <c r="O32" s="3"/>
    </row>
    <row r="33" spans="1:15" ht="15" x14ac:dyDescent="0.35">
      <c r="A33" s="1" t="s">
        <v>14</v>
      </c>
      <c r="B33" s="2"/>
      <c r="C33" s="2" t="s">
        <v>2</v>
      </c>
      <c r="D33" s="8">
        <v>0</v>
      </c>
      <c r="E33" s="2"/>
      <c r="F33" s="1" t="s">
        <v>14</v>
      </c>
      <c r="G33" s="2"/>
      <c r="H33" s="2" t="s">
        <v>2</v>
      </c>
      <c r="I33" s="23">
        <f>[9]krnmei!$J$184</f>
        <v>0</v>
      </c>
      <c r="J33" s="2"/>
      <c r="K33" s="1" t="s">
        <v>14</v>
      </c>
      <c r="L33" s="2"/>
      <c r="M33" s="2" t="s">
        <v>2</v>
      </c>
      <c r="N33" s="25">
        <f>0</f>
        <v>0</v>
      </c>
      <c r="O33" s="3"/>
    </row>
    <row r="34" spans="1:15" ht="15" x14ac:dyDescent="0.35">
      <c r="A34" s="1"/>
      <c r="B34" s="2"/>
      <c r="C34" s="15"/>
      <c r="D34" s="15" t="str">
        <f>D15</f>
        <v>Grogol, 01 Desember 2025</v>
      </c>
      <c r="E34" s="2"/>
      <c r="F34" s="1"/>
      <c r="G34" s="2"/>
      <c r="H34" s="15"/>
      <c r="I34" s="15" t="str">
        <f>D34</f>
        <v>Grogol, 01 Desember 2025</v>
      </c>
      <c r="J34" s="15"/>
      <c r="K34" s="1"/>
      <c r="L34" s="2"/>
      <c r="M34" s="15"/>
      <c r="N34" s="15" t="str">
        <f>I34</f>
        <v>Grogol, 01 Desember 2025</v>
      </c>
      <c r="O34" s="16"/>
    </row>
    <row r="35" spans="1:15" ht="15" x14ac:dyDescent="0.35">
      <c r="A35" s="1"/>
      <c r="B35" s="2"/>
      <c r="C35" s="2"/>
      <c r="D35" s="15" t="s">
        <v>15</v>
      </c>
      <c r="E35" s="15"/>
      <c r="F35" s="1"/>
      <c r="G35" s="2"/>
      <c r="H35" s="2"/>
      <c r="I35" s="15" t="s">
        <v>15</v>
      </c>
      <c r="J35" s="2"/>
      <c r="K35" s="1"/>
      <c r="L35" s="2"/>
      <c r="M35" s="2"/>
      <c r="N35" s="15" t="s">
        <v>15</v>
      </c>
      <c r="O35" s="3"/>
    </row>
    <row r="36" spans="1:15" ht="15" x14ac:dyDescent="0.35">
      <c r="A36" s="1"/>
      <c r="B36" s="2"/>
      <c r="C36" s="2"/>
      <c r="D36" s="15"/>
      <c r="E36" s="15"/>
      <c r="F36" s="1"/>
      <c r="G36" s="2"/>
      <c r="H36" s="2"/>
      <c r="I36" s="15"/>
      <c r="J36" s="2"/>
      <c r="K36" s="1"/>
      <c r="L36" s="2"/>
      <c r="M36" s="2"/>
      <c r="N36" s="15"/>
      <c r="O36" s="3"/>
    </row>
    <row r="37" spans="1:15" ht="15" x14ac:dyDescent="0.35">
      <c r="A37" s="1"/>
      <c r="B37" s="2"/>
      <c r="C37" s="2"/>
      <c r="D37" s="15"/>
      <c r="E37" s="2"/>
      <c r="F37" s="1"/>
      <c r="G37" s="2"/>
      <c r="H37" s="2"/>
      <c r="I37" s="15"/>
      <c r="J37" s="2"/>
      <c r="K37" s="1"/>
      <c r="L37" s="2"/>
      <c r="M37" s="2"/>
      <c r="N37" s="15"/>
      <c r="O37" s="3"/>
    </row>
    <row r="38" spans="1:15" ht="15.6" thickBot="1" x14ac:dyDescent="0.4">
      <c r="A38" s="17"/>
      <c r="B38" s="18"/>
      <c r="C38" s="18"/>
      <c r="D38" s="19" t="s">
        <v>16</v>
      </c>
      <c r="E38" s="18"/>
      <c r="F38" s="17"/>
      <c r="G38" s="18"/>
      <c r="H38" s="18"/>
      <c r="I38" s="19" t="s">
        <v>16</v>
      </c>
      <c r="J38" s="18"/>
      <c r="K38" s="17"/>
      <c r="L38" s="18"/>
      <c r="M38" s="18"/>
      <c r="N38" s="19" t="s">
        <v>16</v>
      </c>
      <c r="O38" s="20"/>
    </row>
    <row r="39" spans="1:15" ht="15" x14ac:dyDescent="0.35">
      <c r="A39" s="46" t="s">
        <v>0</v>
      </c>
      <c r="B39" s="47"/>
      <c r="C39" s="47"/>
      <c r="D39" s="47"/>
      <c r="E39" s="47"/>
      <c r="F39" s="46" t="s">
        <v>0</v>
      </c>
      <c r="G39" s="47"/>
      <c r="H39" s="47"/>
      <c r="I39" s="47"/>
      <c r="J39" s="47"/>
      <c r="K39" s="46" t="s">
        <v>0</v>
      </c>
      <c r="L39" s="47"/>
      <c r="M39" s="47"/>
      <c r="N39" s="47"/>
      <c r="O39" s="48"/>
    </row>
    <row r="40" spans="1:15" ht="15" x14ac:dyDescent="0.35">
      <c r="A40" s="1"/>
      <c r="B40" s="2"/>
      <c r="C40" s="2"/>
      <c r="D40" s="2"/>
      <c r="E40" s="2"/>
      <c r="F40" s="1"/>
      <c r="G40" s="2"/>
      <c r="H40" s="2"/>
      <c r="I40" s="2"/>
      <c r="J40" s="2"/>
      <c r="K40" s="1"/>
      <c r="L40" s="2"/>
      <c r="M40" s="2"/>
      <c r="N40" s="2"/>
      <c r="O40" s="3"/>
    </row>
    <row r="41" spans="1:15" ht="15" x14ac:dyDescent="0.35">
      <c r="A41" s="1" t="s">
        <v>1</v>
      </c>
      <c r="B41" s="2" t="s">
        <v>2</v>
      </c>
      <c r="C41" s="50" t="s">
        <v>78</v>
      </c>
      <c r="D41" s="50"/>
      <c r="E41" s="4">
        <v>25</v>
      </c>
      <c r="F41" s="1" t="s">
        <v>1</v>
      </c>
      <c r="G41" s="2" t="s">
        <v>2</v>
      </c>
      <c r="H41" s="50" t="s">
        <v>17</v>
      </c>
      <c r="I41" s="50"/>
      <c r="J41" s="4">
        <v>2</v>
      </c>
      <c r="K41" s="1" t="s">
        <v>1</v>
      </c>
      <c r="L41" s="2" t="s">
        <v>2</v>
      </c>
      <c r="M41" s="50" t="s">
        <v>18</v>
      </c>
      <c r="N41" s="50"/>
      <c r="O41" s="6">
        <v>3</v>
      </c>
    </row>
    <row r="42" spans="1:15" ht="15" x14ac:dyDescent="0.35">
      <c r="A42" s="1" t="s">
        <v>4</v>
      </c>
      <c r="B42" s="2"/>
      <c r="C42" s="2" t="s">
        <v>2</v>
      </c>
      <c r="D42" s="2"/>
      <c r="F42" s="1" t="s">
        <v>4</v>
      </c>
      <c r="G42" s="2"/>
      <c r="H42" s="2" t="s">
        <v>2</v>
      </c>
      <c r="I42" s="2"/>
      <c r="J42" s="2"/>
      <c r="K42" s="1" t="s">
        <v>4</v>
      </c>
      <c r="L42" s="2"/>
      <c r="M42" s="2" t="s">
        <v>2</v>
      </c>
      <c r="N42" s="2"/>
      <c r="O42" s="3"/>
    </row>
    <row r="43" spans="1:15" ht="15" x14ac:dyDescent="0.35">
      <c r="A43" s="1" t="s">
        <v>5</v>
      </c>
      <c r="B43" s="2"/>
      <c r="C43" s="2" t="s">
        <v>2</v>
      </c>
      <c r="D43" s="8">
        <v>100000</v>
      </c>
      <c r="E43" s="2"/>
      <c r="F43" s="1" t="s">
        <v>5</v>
      </c>
      <c r="G43" s="2"/>
      <c r="H43" s="2" t="s">
        <v>2</v>
      </c>
      <c r="I43" s="8">
        <f>'[3]KARNING 2021'!$C$225</f>
        <v>100000</v>
      </c>
      <c r="J43" s="2"/>
      <c r="K43" s="1" t="s">
        <v>5</v>
      </c>
      <c r="L43" s="2"/>
      <c r="M43" s="2" t="s">
        <v>2</v>
      </c>
      <c r="N43" s="8">
        <f>'[3]KARNING 2021'!$C$242</f>
        <v>100000</v>
      </c>
      <c r="O43" s="3"/>
    </row>
    <row r="44" spans="1:15" ht="15" x14ac:dyDescent="0.35">
      <c r="A44" s="1" t="s">
        <v>6</v>
      </c>
      <c r="B44" s="2"/>
      <c r="C44" s="2" t="s">
        <v>2</v>
      </c>
      <c r="D44" s="8">
        <v>25000</v>
      </c>
      <c r="E44" s="2"/>
      <c r="F44" s="1" t="s">
        <v>6</v>
      </c>
      <c r="G44" s="2"/>
      <c r="H44" s="2" t="s">
        <v>2</v>
      </c>
      <c r="I44" s="8">
        <f>'[3]KARNING 2021'!$D$225</f>
        <v>100000</v>
      </c>
      <c r="J44" s="2"/>
      <c r="K44" s="1" t="s">
        <v>6</v>
      </c>
      <c r="L44" s="2"/>
      <c r="M44" s="2" t="s">
        <v>2</v>
      </c>
      <c r="N44" s="8">
        <f>'[3]KARNING 2021'!$D$242</f>
        <v>25000</v>
      </c>
      <c r="O44" s="3"/>
    </row>
    <row r="45" spans="1:15" ht="15" x14ac:dyDescent="0.35">
      <c r="A45" s="1" t="s">
        <v>7</v>
      </c>
      <c r="B45" s="2"/>
      <c r="C45" s="2" t="s">
        <v>2</v>
      </c>
      <c r="D45" s="8">
        <v>50000</v>
      </c>
      <c r="E45" s="2"/>
      <c r="F45" s="1" t="s">
        <v>7</v>
      </c>
      <c r="G45" s="2"/>
      <c r="H45" s="2" t="s">
        <v>2</v>
      </c>
      <c r="I45" s="8">
        <f>[10]krnmei!$E$230</f>
        <v>500000</v>
      </c>
      <c r="J45" s="2"/>
      <c r="K45" s="1" t="s">
        <v>7</v>
      </c>
      <c r="L45" s="2"/>
      <c r="M45" s="2" t="s">
        <v>2</v>
      </c>
      <c r="N45" s="8">
        <f>'[3]KARNING 2021'!$E$242</f>
        <v>150000</v>
      </c>
      <c r="O45" s="3"/>
    </row>
    <row r="46" spans="1:15" ht="15" x14ac:dyDescent="0.35">
      <c r="A46" s="1" t="s">
        <v>8</v>
      </c>
      <c r="B46" s="2"/>
      <c r="C46" s="2" t="s">
        <v>2</v>
      </c>
      <c r="D46" s="8">
        <v>0</v>
      </c>
      <c r="E46" s="2"/>
      <c r="F46" s="1" t="s">
        <v>8</v>
      </c>
      <c r="G46" s="21">
        <v>0</v>
      </c>
      <c r="H46" s="2" t="s">
        <v>2</v>
      </c>
      <c r="I46" s="25">
        <v>0</v>
      </c>
      <c r="J46" s="2"/>
      <c r="K46" s="1" t="s">
        <v>8</v>
      </c>
      <c r="L46" s="2">
        <v>15</v>
      </c>
      <c r="M46" s="2" t="s">
        <v>2</v>
      </c>
      <c r="N46" s="25">
        <f>[11]krnmei!$I$251</f>
        <v>500000</v>
      </c>
      <c r="O46" s="3"/>
    </row>
    <row r="47" spans="1:15" ht="15" x14ac:dyDescent="0.35">
      <c r="A47" s="1" t="s">
        <v>9</v>
      </c>
      <c r="B47" s="2"/>
      <c r="C47" s="2" t="s">
        <v>2</v>
      </c>
      <c r="D47" s="8">
        <v>0</v>
      </c>
      <c r="E47" s="2"/>
      <c r="F47" s="1" t="s">
        <v>9</v>
      </c>
      <c r="G47" s="2"/>
      <c r="H47" s="2" t="s">
        <v>2</v>
      </c>
      <c r="I47" s="26">
        <v>0</v>
      </c>
      <c r="J47" s="2"/>
      <c r="K47" s="1" t="s">
        <v>9</v>
      </c>
      <c r="L47" s="2"/>
      <c r="M47" s="2" t="s">
        <v>2</v>
      </c>
      <c r="N47" s="11">
        <f>[12]krnmei!$K$253</f>
        <v>225000</v>
      </c>
      <c r="O47" s="3"/>
    </row>
    <row r="48" spans="1:15" ht="15" x14ac:dyDescent="0.35">
      <c r="A48" s="1" t="s">
        <v>10</v>
      </c>
      <c r="B48" s="2"/>
      <c r="C48" s="2" t="s">
        <v>2</v>
      </c>
      <c r="D48" s="8">
        <v>0</v>
      </c>
      <c r="E48" s="2"/>
      <c r="F48" s="1" t="s">
        <v>10</v>
      </c>
      <c r="G48" s="2"/>
      <c r="H48" s="2" t="s">
        <v>2</v>
      </c>
      <c r="I48" s="8"/>
      <c r="J48" s="2"/>
      <c r="K48" s="1" t="s">
        <v>10</v>
      </c>
      <c r="L48" s="2"/>
      <c r="M48" s="2" t="s">
        <v>2</v>
      </c>
      <c r="N48" s="8">
        <f>[2]krnmei!$L$253</f>
        <v>0</v>
      </c>
      <c r="O48" s="3"/>
    </row>
    <row r="49" spans="1:15" ht="15" x14ac:dyDescent="0.35">
      <c r="A49" s="1" t="s">
        <v>11</v>
      </c>
      <c r="B49" s="2"/>
      <c r="C49" s="2" t="s">
        <v>2</v>
      </c>
      <c r="D49" s="8">
        <v>0</v>
      </c>
      <c r="E49" s="2"/>
      <c r="F49" s="1" t="s">
        <v>11</v>
      </c>
      <c r="G49" s="2"/>
      <c r="H49" s="2" t="s">
        <v>2</v>
      </c>
      <c r="I49" s="8">
        <f>[13]krnmei!$P$231</f>
        <v>0</v>
      </c>
      <c r="J49" s="2"/>
      <c r="K49" s="1" t="s">
        <v>11</v>
      </c>
      <c r="L49" s="2"/>
      <c r="M49" s="2" t="s">
        <v>2</v>
      </c>
      <c r="N49" s="8">
        <f>[14]krnmei!$P$242</f>
        <v>0</v>
      </c>
      <c r="O49" s="3"/>
    </row>
    <row r="50" spans="1:15" ht="15" x14ac:dyDescent="0.35">
      <c r="A50" s="1" t="s">
        <v>12</v>
      </c>
      <c r="B50" s="2"/>
      <c r="C50" s="2" t="s">
        <v>2</v>
      </c>
      <c r="D50" s="8">
        <v>25000</v>
      </c>
      <c r="E50" s="2"/>
      <c r="F50" s="1" t="s">
        <v>12</v>
      </c>
      <c r="G50" s="2"/>
      <c r="H50" s="2" t="s">
        <v>2</v>
      </c>
      <c r="I50" s="8">
        <f>[15]krnmei!$F$232</f>
        <v>300000</v>
      </c>
      <c r="J50" s="2"/>
      <c r="K50" s="1" t="s">
        <v>12</v>
      </c>
      <c r="L50" s="2"/>
      <c r="M50" s="2" t="s">
        <v>2</v>
      </c>
      <c r="N50" s="8">
        <f>'[3]KARNING 2021'!$F$242</f>
        <v>100000</v>
      </c>
      <c r="O50" s="3"/>
    </row>
    <row r="51" spans="1:15" ht="15" x14ac:dyDescent="0.35">
      <c r="A51" s="13" t="s">
        <v>13</v>
      </c>
      <c r="B51" s="5"/>
      <c r="C51" s="5" t="s">
        <v>2</v>
      </c>
      <c r="D51" s="24">
        <f>SUM(D43:D50)</f>
        <v>200000</v>
      </c>
      <c r="E51" s="2"/>
      <c r="F51" s="13" t="s">
        <v>13</v>
      </c>
      <c r="G51" s="5"/>
      <c r="H51" s="5" t="s">
        <v>2</v>
      </c>
      <c r="I51" s="24">
        <f>SUM(I43:I50)</f>
        <v>1000000</v>
      </c>
      <c r="J51" s="2"/>
      <c r="K51" s="13" t="s">
        <v>13</v>
      </c>
      <c r="L51" s="5"/>
      <c r="M51" s="5" t="s">
        <v>2</v>
      </c>
      <c r="N51" s="24">
        <f>SUM(N43:N50)</f>
        <v>1100000</v>
      </c>
      <c r="O51" s="3"/>
    </row>
    <row r="52" spans="1:15" ht="15" x14ac:dyDescent="0.35">
      <c r="A52" s="1" t="s">
        <v>14</v>
      </c>
      <c r="B52" s="2"/>
      <c r="C52" s="2" t="s">
        <v>2</v>
      </c>
      <c r="D52" s="8">
        <v>0</v>
      </c>
      <c r="E52" s="2"/>
      <c r="F52" s="1" t="s">
        <v>14</v>
      </c>
      <c r="G52" s="2"/>
      <c r="H52" s="2" t="s">
        <v>2</v>
      </c>
      <c r="I52" s="27">
        <f>[13]krnmei!$O$230</f>
        <v>0</v>
      </c>
      <c r="J52" s="2"/>
      <c r="K52" s="1" t="s">
        <v>14</v>
      </c>
      <c r="L52" s="2"/>
      <c r="M52" s="2" t="s">
        <v>2</v>
      </c>
      <c r="N52" s="27">
        <f>[12]krnmei!$J$253</f>
        <v>39500000</v>
      </c>
      <c r="O52" s="3"/>
    </row>
    <row r="53" spans="1:15" ht="15" x14ac:dyDescent="0.35">
      <c r="A53" s="1"/>
      <c r="B53" s="2"/>
      <c r="C53" s="15"/>
      <c r="D53" s="15" t="str">
        <f>D34</f>
        <v>Grogol, 01 Desember 2025</v>
      </c>
      <c r="E53" s="2"/>
      <c r="F53" s="1"/>
      <c r="G53" s="2"/>
      <c r="H53" s="15"/>
      <c r="I53" s="15" t="str">
        <f>D53</f>
        <v>Grogol, 01 Desember 2025</v>
      </c>
      <c r="J53" s="15"/>
      <c r="K53" s="1"/>
      <c r="L53" s="2"/>
      <c r="M53" s="15"/>
      <c r="N53" s="15" t="str">
        <f>I53</f>
        <v>Grogol, 01 Desember 2025</v>
      </c>
      <c r="O53" s="16"/>
    </row>
    <row r="54" spans="1:15" ht="15" x14ac:dyDescent="0.35">
      <c r="A54" s="1"/>
      <c r="B54" s="2"/>
      <c r="C54" s="2"/>
      <c r="D54" s="15" t="s">
        <v>15</v>
      </c>
      <c r="E54" s="15"/>
      <c r="F54" s="1"/>
      <c r="G54" s="2"/>
      <c r="H54" s="2"/>
      <c r="I54" s="15" t="s">
        <v>15</v>
      </c>
      <c r="J54" s="2"/>
      <c r="K54" s="1"/>
      <c r="L54" s="2"/>
      <c r="M54" s="2"/>
      <c r="N54" s="15" t="s">
        <v>15</v>
      </c>
      <c r="O54" s="3"/>
    </row>
    <row r="55" spans="1:15" ht="15" x14ac:dyDescent="0.35">
      <c r="A55" s="1"/>
      <c r="B55" s="2"/>
      <c r="C55" s="2"/>
      <c r="D55" s="15"/>
      <c r="E55" s="15"/>
      <c r="F55" s="1"/>
      <c r="G55" s="2"/>
      <c r="H55" s="2"/>
      <c r="I55" s="15"/>
      <c r="J55" s="2"/>
      <c r="K55" s="1"/>
      <c r="L55" s="2"/>
      <c r="M55" s="2"/>
      <c r="N55" s="15"/>
      <c r="O55" s="3"/>
    </row>
    <row r="56" spans="1:15" ht="15" x14ac:dyDescent="0.35">
      <c r="A56" s="1"/>
      <c r="B56" s="2"/>
      <c r="C56" s="2"/>
      <c r="D56" s="15"/>
      <c r="E56" s="2"/>
      <c r="F56" s="1"/>
      <c r="G56" s="2"/>
      <c r="H56" s="2"/>
      <c r="I56" s="15"/>
      <c r="J56" s="2"/>
      <c r="K56" s="1"/>
      <c r="L56" s="2"/>
      <c r="M56" s="2"/>
      <c r="N56" s="15"/>
      <c r="O56" s="3"/>
    </row>
    <row r="57" spans="1:15" ht="15.6" thickBot="1" x14ac:dyDescent="0.4">
      <c r="A57" s="17"/>
      <c r="B57" s="18"/>
      <c r="C57" s="18"/>
      <c r="D57" s="19" t="s">
        <v>16</v>
      </c>
      <c r="E57" s="18"/>
      <c r="F57" s="17"/>
      <c r="G57" s="18"/>
      <c r="H57" s="18"/>
      <c r="I57" s="19" t="s">
        <v>16</v>
      </c>
      <c r="J57" s="18"/>
      <c r="K57" s="17"/>
      <c r="L57" s="18"/>
      <c r="M57" s="18"/>
      <c r="N57" s="19" t="s">
        <v>16</v>
      </c>
      <c r="O57" s="20"/>
    </row>
    <row r="58" spans="1:15" ht="15" x14ac:dyDescent="0.35">
      <c r="A58" s="46" t="s">
        <v>0</v>
      </c>
      <c r="B58" s="47"/>
      <c r="C58" s="47"/>
      <c r="D58" s="47"/>
      <c r="E58" s="47"/>
      <c r="F58" s="46" t="s">
        <v>0</v>
      </c>
      <c r="G58" s="47"/>
      <c r="H58" s="47"/>
      <c r="I58" s="47"/>
      <c r="J58" s="47"/>
      <c r="K58" s="46" t="s">
        <v>0</v>
      </c>
      <c r="L58" s="47"/>
      <c r="M58" s="47"/>
      <c r="N58" s="47"/>
      <c r="O58" s="48"/>
    </row>
    <row r="59" spans="1:15" ht="15" x14ac:dyDescent="0.35">
      <c r="A59" s="1"/>
      <c r="B59" s="2"/>
      <c r="C59" s="2"/>
      <c r="D59" s="2"/>
      <c r="E59" s="4"/>
      <c r="F59" s="1"/>
      <c r="G59" s="2"/>
      <c r="H59" s="2"/>
      <c r="I59" s="2"/>
      <c r="J59" s="2"/>
      <c r="K59" s="1"/>
      <c r="L59" s="2"/>
      <c r="M59" s="2"/>
      <c r="N59" s="2"/>
      <c r="O59" s="3"/>
    </row>
    <row r="60" spans="1:15" ht="15" x14ac:dyDescent="0.35">
      <c r="A60" s="1" t="s">
        <v>1</v>
      </c>
      <c r="B60" s="2" t="s">
        <v>2</v>
      </c>
      <c r="C60" s="51" t="s">
        <v>76</v>
      </c>
      <c r="D60" s="51"/>
      <c r="E60" s="4">
        <v>55</v>
      </c>
      <c r="F60" s="1" t="s">
        <v>1</v>
      </c>
      <c r="G60" s="2" t="s">
        <v>2</v>
      </c>
      <c r="H60" s="50" t="s">
        <v>19</v>
      </c>
      <c r="I60" s="50"/>
      <c r="J60" s="4">
        <v>4</v>
      </c>
      <c r="K60" s="1" t="s">
        <v>1</v>
      </c>
      <c r="L60" s="2" t="s">
        <v>2</v>
      </c>
      <c r="M60" s="50" t="s">
        <v>20</v>
      </c>
      <c r="N60" s="50"/>
      <c r="O60" s="6">
        <v>5</v>
      </c>
    </row>
    <row r="61" spans="1:15" ht="15" x14ac:dyDescent="0.35">
      <c r="A61" s="1" t="s">
        <v>4</v>
      </c>
      <c r="B61" s="2"/>
      <c r="C61" s="2" t="s">
        <v>2</v>
      </c>
      <c r="D61" s="2"/>
      <c r="F61" s="1" t="s">
        <v>4</v>
      </c>
      <c r="G61" s="2"/>
      <c r="H61" s="2" t="s">
        <v>2</v>
      </c>
      <c r="I61" s="2"/>
      <c r="J61" s="2"/>
      <c r="K61" s="1" t="s">
        <v>4</v>
      </c>
      <c r="L61" s="2"/>
      <c r="M61" s="2" t="s">
        <v>2</v>
      </c>
      <c r="N61" s="2"/>
      <c r="O61" s="3"/>
    </row>
    <row r="62" spans="1:15" ht="15" x14ac:dyDescent="0.35">
      <c r="A62" s="1" t="s">
        <v>5</v>
      </c>
      <c r="B62" s="2"/>
      <c r="C62" s="2" t="s">
        <v>2</v>
      </c>
      <c r="D62" s="8">
        <f>[16]krnmei!$C$1399</f>
        <v>15000</v>
      </c>
      <c r="E62" s="2"/>
      <c r="F62" s="1" t="s">
        <v>5</v>
      </c>
      <c r="G62" s="2"/>
      <c r="H62" s="2" t="s">
        <v>2</v>
      </c>
      <c r="I62" s="8">
        <f>'[3]KARNING 2021'!$C$276</f>
        <v>100000</v>
      </c>
      <c r="J62" s="2"/>
      <c r="K62" s="1" t="s">
        <v>5</v>
      </c>
      <c r="L62" s="2"/>
      <c r="M62" s="2" t="s">
        <v>2</v>
      </c>
      <c r="N62" s="8">
        <f>'[3]KARNING 2021'!$C$293</f>
        <v>100000</v>
      </c>
      <c r="O62" s="3"/>
    </row>
    <row r="63" spans="1:15" ht="15" x14ac:dyDescent="0.35">
      <c r="A63" s="1" t="s">
        <v>6</v>
      </c>
      <c r="B63" s="2"/>
      <c r="C63" s="2" t="s">
        <v>2</v>
      </c>
      <c r="D63" s="8">
        <f>[16]krnmei!$D$1399</f>
        <v>10000</v>
      </c>
      <c r="E63" s="2"/>
      <c r="F63" s="1" t="s">
        <v>6</v>
      </c>
      <c r="G63" s="2"/>
      <c r="H63" s="2" t="s">
        <v>2</v>
      </c>
      <c r="I63" s="8">
        <f>[17]krnmei!$D$278</f>
        <v>100000</v>
      </c>
      <c r="J63" s="2"/>
      <c r="K63" s="1" t="s">
        <v>6</v>
      </c>
      <c r="L63" s="2"/>
      <c r="M63" s="2" t="s">
        <v>2</v>
      </c>
      <c r="N63" s="8">
        <f>[17]krnmei!$D$295</f>
        <v>100000</v>
      </c>
      <c r="O63" s="3"/>
    </row>
    <row r="64" spans="1:15" ht="15" x14ac:dyDescent="0.35">
      <c r="A64" s="1" t="s">
        <v>7</v>
      </c>
      <c r="B64" s="2"/>
      <c r="C64" s="2" t="s">
        <v>2</v>
      </c>
      <c r="D64" s="8">
        <f>[16]krnmei!$E$1399</f>
        <v>100000</v>
      </c>
      <c r="E64" s="2"/>
      <c r="F64" s="1" t="s">
        <v>7</v>
      </c>
      <c r="G64" s="2"/>
      <c r="H64" s="2" t="s">
        <v>2</v>
      </c>
      <c r="I64" s="8">
        <f>[5]krnmei!$E$280</f>
        <v>500000</v>
      </c>
      <c r="J64" s="2"/>
      <c r="K64" s="1" t="s">
        <v>7</v>
      </c>
      <c r="L64" s="2"/>
      <c r="M64" s="2" t="s">
        <v>2</v>
      </c>
      <c r="N64" s="8">
        <f>[5]krnmei!$E$297</f>
        <v>600000</v>
      </c>
      <c r="O64" s="3"/>
    </row>
    <row r="65" spans="1:15" ht="15" x14ac:dyDescent="0.35">
      <c r="A65" s="1" t="s">
        <v>8</v>
      </c>
      <c r="B65" s="2">
        <v>3</v>
      </c>
      <c r="C65" s="2" t="s">
        <v>2</v>
      </c>
      <c r="D65" s="8">
        <f>[18]krnmei!$I$1407</f>
        <v>1000000</v>
      </c>
      <c r="E65" s="2"/>
      <c r="F65" s="1" t="s">
        <v>8</v>
      </c>
      <c r="G65" s="21">
        <v>41</v>
      </c>
      <c r="H65" s="2" t="s">
        <v>2</v>
      </c>
      <c r="I65" s="8">
        <f>[9]krnmei!$I$286</f>
        <v>500000</v>
      </c>
      <c r="J65" s="2"/>
      <c r="K65" s="1" t="s">
        <v>8</v>
      </c>
      <c r="L65" s="2"/>
      <c r="M65" s="2" t="s">
        <v>2</v>
      </c>
      <c r="N65" s="8">
        <v>0</v>
      </c>
      <c r="O65" s="3"/>
    </row>
    <row r="66" spans="1:15" ht="15" x14ac:dyDescent="0.35">
      <c r="A66" s="1" t="s">
        <v>9</v>
      </c>
      <c r="B66" s="2"/>
      <c r="C66" s="2" t="s">
        <v>2</v>
      </c>
      <c r="D66" s="8">
        <f>[12]krnmei!$K$1409</f>
        <v>120000</v>
      </c>
      <c r="E66" s="2"/>
      <c r="F66" s="1" t="s">
        <v>9</v>
      </c>
      <c r="G66" s="2"/>
      <c r="H66" s="2" t="s">
        <v>2</v>
      </c>
      <c r="I66" s="11">
        <f>[12]krnmei!$K$287</f>
        <v>45000</v>
      </c>
      <c r="J66" s="2"/>
      <c r="K66" s="1" t="s">
        <v>9</v>
      </c>
      <c r="L66" s="2"/>
      <c r="M66" s="2" t="s">
        <v>2</v>
      </c>
      <c r="N66" s="8">
        <f>[4]krnmei!$J$292</f>
        <v>0</v>
      </c>
      <c r="O66" s="3"/>
    </row>
    <row r="67" spans="1:15" ht="15" x14ac:dyDescent="0.35">
      <c r="A67" s="1" t="s">
        <v>10</v>
      </c>
      <c r="B67" s="2"/>
      <c r="C67" s="2" t="s">
        <v>2</v>
      </c>
      <c r="D67" s="8">
        <v>0</v>
      </c>
      <c r="E67" s="2"/>
      <c r="F67" s="1" t="s">
        <v>10</v>
      </c>
      <c r="G67" s="2"/>
      <c r="H67" s="2" t="s">
        <v>2</v>
      </c>
      <c r="I67" s="8">
        <v>0</v>
      </c>
      <c r="J67" s="2"/>
      <c r="K67" s="1" t="s">
        <v>10</v>
      </c>
      <c r="L67" s="2"/>
      <c r="M67" s="2" t="s">
        <v>2</v>
      </c>
      <c r="N67" s="8">
        <v>0</v>
      </c>
      <c r="O67" s="3"/>
    </row>
    <row r="68" spans="1:15" ht="15" x14ac:dyDescent="0.35">
      <c r="A68" s="1" t="s">
        <v>11</v>
      </c>
      <c r="B68" s="2"/>
      <c r="C68" s="2" t="s">
        <v>2</v>
      </c>
      <c r="D68" s="9">
        <v>0</v>
      </c>
      <c r="E68" s="2"/>
      <c r="F68" s="1" t="s">
        <v>11</v>
      </c>
      <c r="G68" s="2"/>
      <c r="H68" s="2" t="s">
        <v>2</v>
      </c>
      <c r="I68" s="9">
        <v>0</v>
      </c>
      <c r="J68" s="2"/>
      <c r="K68" s="1" t="s">
        <v>11</v>
      </c>
      <c r="L68" s="2"/>
      <c r="M68" s="2" t="s">
        <v>2</v>
      </c>
      <c r="N68" s="9">
        <v>0</v>
      </c>
      <c r="O68" s="3"/>
    </row>
    <row r="69" spans="1:15" ht="15" x14ac:dyDescent="0.35">
      <c r="A69" s="1" t="s">
        <v>12</v>
      </c>
      <c r="B69" s="2"/>
      <c r="C69" s="2" t="s">
        <v>2</v>
      </c>
      <c r="D69" s="8">
        <f>[16]krnmei!$F$1399</f>
        <v>50000</v>
      </c>
      <c r="E69" s="2"/>
      <c r="F69" s="1" t="s">
        <v>12</v>
      </c>
      <c r="G69" s="2"/>
      <c r="H69" s="2" t="s">
        <v>2</v>
      </c>
      <c r="I69" s="8">
        <f>'[3]KARNING 2021'!$F$276</f>
        <v>200000</v>
      </c>
      <c r="J69" s="2"/>
      <c r="K69" s="1" t="s">
        <v>12</v>
      </c>
      <c r="L69" s="2"/>
      <c r="M69" s="2" t="s">
        <v>2</v>
      </c>
      <c r="N69" s="8">
        <v>1000000</v>
      </c>
      <c r="O69" s="3"/>
    </row>
    <row r="70" spans="1:15" ht="15" x14ac:dyDescent="0.35">
      <c r="A70" s="13" t="s">
        <v>13</v>
      </c>
      <c r="B70" s="5"/>
      <c r="C70" s="5" t="s">
        <v>2</v>
      </c>
      <c r="D70" s="24">
        <f>SUM(D62:D69)</f>
        <v>1295000</v>
      </c>
      <c r="E70" s="2"/>
      <c r="F70" s="13" t="s">
        <v>13</v>
      </c>
      <c r="G70" s="5"/>
      <c r="H70" s="5" t="s">
        <v>2</v>
      </c>
      <c r="I70" s="8">
        <f>SUM(I62:I69)</f>
        <v>1445000</v>
      </c>
      <c r="J70" s="2"/>
      <c r="K70" s="13" t="s">
        <v>13</v>
      </c>
      <c r="L70" s="5"/>
      <c r="M70" s="5" t="s">
        <v>2</v>
      </c>
      <c r="N70" s="28">
        <f>SUM(N62:N69)</f>
        <v>1800000</v>
      </c>
      <c r="O70" s="3"/>
    </row>
    <row r="71" spans="1:15" ht="15" x14ac:dyDescent="0.35">
      <c r="A71" s="1" t="s">
        <v>14</v>
      </c>
      <c r="B71" s="2"/>
      <c r="C71" s="2" t="s">
        <v>2</v>
      </c>
      <c r="D71" s="8">
        <f>[12]krnmei!$J$1409</f>
        <v>7000000</v>
      </c>
      <c r="E71" s="2"/>
      <c r="F71" s="1" t="s">
        <v>14</v>
      </c>
      <c r="G71" s="2"/>
      <c r="H71" s="2" t="s">
        <v>2</v>
      </c>
      <c r="I71" s="27">
        <f>[12]krnmei!$J$287</f>
        <v>2500000</v>
      </c>
      <c r="J71" s="2"/>
      <c r="K71" s="1" t="s">
        <v>14</v>
      </c>
      <c r="L71" s="2"/>
      <c r="M71" s="2" t="s">
        <v>2</v>
      </c>
      <c r="N71" s="8">
        <v>0</v>
      </c>
      <c r="O71" s="3"/>
    </row>
    <row r="72" spans="1:15" ht="15" x14ac:dyDescent="0.35">
      <c r="A72" s="1"/>
      <c r="B72" s="2"/>
      <c r="C72" s="15"/>
      <c r="D72" s="15" t="str">
        <f>D53</f>
        <v>Grogol, 01 Desember 2025</v>
      </c>
      <c r="E72" s="2"/>
      <c r="F72" s="1"/>
      <c r="G72" s="2"/>
      <c r="H72" s="15"/>
      <c r="I72" s="15" t="str">
        <f>I53</f>
        <v>Grogol, 01 Desember 2025</v>
      </c>
      <c r="J72" s="15"/>
      <c r="K72" s="1"/>
      <c r="L72" s="2"/>
      <c r="M72" s="15"/>
      <c r="N72" s="15" t="str">
        <f>I72</f>
        <v>Grogol, 01 Desember 2025</v>
      </c>
      <c r="O72" s="16"/>
    </row>
    <row r="73" spans="1:15" ht="15" x14ac:dyDescent="0.35">
      <c r="A73" s="1"/>
      <c r="B73" s="2"/>
      <c r="C73" s="2"/>
      <c r="D73" s="15" t="s">
        <v>15</v>
      </c>
      <c r="E73" s="15"/>
      <c r="F73" s="1"/>
      <c r="G73" s="2"/>
      <c r="H73" s="2"/>
      <c r="I73" s="15" t="s">
        <v>15</v>
      </c>
      <c r="J73" s="2"/>
      <c r="K73" s="1"/>
      <c r="L73" s="2"/>
      <c r="M73" s="2"/>
      <c r="N73" s="15" t="s">
        <v>15</v>
      </c>
      <c r="O73" s="3"/>
    </row>
    <row r="74" spans="1:15" ht="15" x14ac:dyDescent="0.35">
      <c r="A74" s="1"/>
      <c r="B74" s="2"/>
      <c r="C74" s="2"/>
      <c r="D74" s="15"/>
      <c r="E74" s="2"/>
      <c r="F74" s="1"/>
      <c r="G74" s="2"/>
      <c r="H74" s="2"/>
      <c r="I74" s="2"/>
      <c r="J74" s="2"/>
      <c r="K74" s="1"/>
      <c r="L74" s="2"/>
      <c r="M74" s="2"/>
      <c r="N74" s="15"/>
      <c r="O74" s="3"/>
    </row>
    <row r="75" spans="1:15" ht="15" x14ac:dyDescent="0.35">
      <c r="A75" s="1"/>
      <c r="B75" s="2"/>
      <c r="C75" s="2"/>
      <c r="D75" s="15"/>
      <c r="E75" s="2"/>
      <c r="F75" s="1"/>
      <c r="G75" s="2"/>
      <c r="H75" s="2"/>
      <c r="I75" s="15"/>
      <c r="J75" s="2"/>
      <c r="K75" s="1"/>
      <c r="L75" s="2"/>
      <c r="M75" s="2"/>
      <c r="N75" s="15"/>
      <c r="O75" s="3"/>
    </row>
    <row r="76" spans="1:15" ht="15.6" thickBot="1" x14ac:dyDescent="0.4">
      <c r="A76" s="17"/>
      <c r="B76" s="18"/>
      <c r="C76" s="18"/>
      <c r="D76" s="19" t="s">
        <v>16</v>
      </c>
      <c r="E76" s="18"/>
      <c r="F76" s="17"/>
      <c r="G76" s="18"/>
      <c r="H76" s="18"/>
      <c r="I76" s="19" t="s">
        <v>16</v>
      </c>
      <c r="J76" s="18"/>
      <c r="K76" s="17"/>
      <c r="L76" s="18"/>
      <c r="M76" s="18"/>
      <c r="N76" s="19" t="s">
        <v>16</v>
      </c>
      <c r="O76" s="20"/>
    </row>
    <row r="77" spans="1:15" ht="15" x14ac:dyDescent="0.35">
      <c r="A77" s="46" t="s">
        <v>0</v>
      </c>
      <c r="B77" s="47"/>
      <c r="C77" s="47"/>
      <c r="D77" s="47"/>
      <c r="E77" s="47"/>
      <c r="F77" s="46" t="s">
        <v>0</v>
      </c>
      <c r="G77" s="47"/>
      <c r="H77" s="47"/>
      <c r="I77" s="47"/>
      <c r="J77" s="47"/>
      <c r="K77" s="46" t="s">
        <v>0</v>
      </c>
      <c r="L77" s="47"/>
      <c r="M77" s="47"/>
      <c r="N77" s="47"/>
      <c r="O77" s="48"/>
    </row>
    <row r="78" spans="1:15" ht="15" x14ac:dyDescent="0.35">
      <c r="A78" s="1"/>
      <c r="B78" s="2"/>
      <c r="C78" s="2"/>
      <c r="D78" s="2"/>
      <c r="E78" s="2"/>
      <c r="F78" s="1"/>
      <c r="G78" s="2"/>
      <c r="H78" s="2"/>
      <c r="I78" s="2"/>
      <c r="J78" s="2"/>
      <c r="K78" s="1"/>
      <c r="L78" s="2"/>
      <c r="M78" s="2"/>
      <c r="N78" s="2"/>
      <c r="O78" s="3"/>
    </row>
    <row r="79" spans="1:15" ht="15" x14ac:dyDescent="0.35">
      <c r="A79" s="1" t="s">
        <v>1</v>
      </c>
      <c r="B79" s="2" t="s">
        <v>2</v>
      </c>
      <c r="C79" s="51" t="s">
        <v>21</v>
      </c>
      <c r="D79" s="51"/>
      <c r="E79" s="4">
        <v>6</v>
      </c>
      <c r="F79" s="1" t="s">
        <v>1</v>
      </c>
      <c r="G79" s="2" t="s">
        <v>2</v>
      </c>
      <c r="H79" s="50" t="s">
        <v>22</v>
      </c>
      <c r="I79" s="50"/>
      <c r="J79" s="4">
        <v>7</v>
      </c>
      <c r="K79" s="1" t="s">
        <v>1</v>
      </c>
      <c r="L79" s="2" t="s">
        <v>2</v>
      </c>
      <c r="M79" s="50" t="s">
        <v>77</v>
      </c>
      <c r="N79" s="50"/>
      <c r="O79" s="6">
        <v>56</v>
      </c>
    </row>
    <row r="80" spans="1:15" ht="15" x14ac:dyDescent="0.35">
      <c r="A80" s="1" t="s">
        <v>4</v>
      </c>
      <c r="B80" s="2"/>
      <c r="C80" s="2" t="s">
        <v>2</v>
      </c>
      <c r="D80" s="2"/>
      <c r="F80" s="1" t="s">
        <v>4</v>
      </c>
      <c r="G80" s="2"/>
      <c r="H80" s="2" t="s">
        <v>2</v>
      </c>
      <c r="I80" s="2"/>
      <c r="J80" s="2"/>
      <c r="K80" s="1" t="s">
        <v>4</v>
      </c>
      <c r="L80" s="2"/>
      <c r="M80" s="2" t="s">
        <v>2</v>
      </c>
      <c r="N80" s="2"/>
      <c r="O80" s="3"/>
    </row>
    <row r="81" spans="1:15" ht="15" x14ac:dyDescent="0.35">
      <c r="A81" s="1" t="s">
        <v>5</v>
      </c>
      <c r="B81" s="2"/>
      <c r="C81" s="2" t="s">
        <v>2</v>
      </c>
      <c r="D81" s="8">
        <f>'[3]KARNING 2021'!$C$310</f>
        <v>100000</v>
      </c>
      <c r="E81" s="2"/>
      <c r="F81" s="1" t="s">
        <v>5</v>
      </c>
      <c r="G81" s="2"/>
      <c r="H81" s="2" t="s">
        <v>2</v>
      </c>
      <c r="I81" s="8">
        <f>'[3]KARNING 2021'!$C$327</f>
        <v>100000</v>
      </c>
      <c r="J81" s="2"/>
      <c r="K81" s="1" t="s">
        <v>5</v>
      </c>
      <c r="L81" s="2"/>
      <c r="M81" s="2" t="s">
        <v>2</v>
      </c>
      <c r="N81" s="8">
        <f>[16]krnmei!$C$1416</f>
        <v>15000</v>
      </c>
      <c r="O81" s="3"/>
    </row>
    <row r="82" spans="1:15" ht="15" x14ac:dyDescent="0.35">
      <c r="A82" s="1" t="s">
        <v>6</v>
      </c>
      <c r="B82" s="2"/>
      <c r="C82" s="2" t="s">
        <v>2</v>
      </c>
      <c r="D82" s="8">
        <f>'[3]KARNING 2021'!$D$310</f>
        <v>10000</v>
      </c>
      <c r="E82" s="2"/>
      <c r="F82" s="1" t="s">
        <v>6</v>
      </c>
      <c r="G82" s="2"/>
      <c r="H82" s="2" t="s">
        <v>2</v>
      </c>
      <c r="I82" s="8">
        <f>'[3]KARNING 2021'!$D$327</f>
        <v>25000</v>
      </c>
      <c r="J82" s="2"/>
      <c r="K82" s="1" t="s">
        <v>6</v>
      </c>
      <c r="L82" s="2"/>
      <c r="M82" s="2" t="s">
        <v>2</v>
      </c>
      <c r="N82" s="8">
        <f>[16]krnmei!$D$1416</f>
        <v>10000</v>
      </c>
      <c r="O82" s="3"/>
    </row>
    <row r="83" spans="1:15" ht="15" x14ac:dyDescent="0.35">
      <c r="A83" s="1" t="s">
        <v>7</v>
      </c>
      <c r="B83" s="2"/>
      <c r="C83" s="2" t="s">
        <v>2</v>
      </c>
      <c r="D83" s="8">
        <f>'[3]KARNING 2021'!$E$310</f>
        <v>150000</v>
      </c>
      <c r="E83" s="2"/>
      <c r="F83" s="1" t="s">
        <v>23</v>
      </c>
      <c r="G83" s="2"/>
      <c r="H83" s="2" t="s">
        <v>2</v>
      </c>
      <c r="I83" s="8">
        <f>'[3]KARNING 2021'!$E$327</f>
        <v>200000</v>
      </c>
      <c r="J83" s="2"/>
      <c r="K83" s="1" t="s">
        <v>7</v>
      </c>
      <c r="L83" s="2"/>
      <c r="M83" s="2" t="s">
        <v>2</v>
      </c>
      <c r="N83" s="8">
        <f>[16]krnmei!$E$1416</f>
        <v>15000</v>
      </c>
      <c r="O83" s="3"/>
    </row>
    <row r="84" spans="1:15" ht="15" x14ac:dyDescent="0.35">
      <c r="A84" s="1" t="s">
        <v>8</v>
      </c>
      <c r="B84" s="2"/>
      <c r="C84" s="2" t="s">
        <v>2</v>
      </c>
      <c r="D84" s="8">
        <v>0</v>
      </c>
      <c r="E84" s="2"/>
      <c r="F84" s="1" t="s">
        <v>8</v>
      </c>
      <c r="G84" s="21">
        <v>22</v>
      </c>
      <c r="H84" s="2" t="s">
        <v>2</v>
      </c>
      <c r="I84" s="8">
        <f>'[3]KARNING 2021'!$I$327</f>
        <v>250000</v>
      </c>
      <c r="J84" s="2"/>
      <c r="K84" s="1" t="s">
        <v>8</v>
      </c>
      <c r="L84" s="21"/>
      <c r="M84" s="2" t="s">
        <v>2</v>
      </c>
      <c r="N84" s="8">
        <v>0</v>
      </c>
      <c r="O84" s="3"/>
    </row>
    <row r="85" spans="1:15" ht="15" x14ac:dyDescent="0.35">
      <c r="A85" s="1" t="s">
        <v>9</v>
      </c>
      <c r="B85" s="2"/>
      <c r="C85" s="2" t="s">
        <v>2</v>
      </c>
      <c r="D85" s="8">
        <v>0</v>
      </c>
      <c r="E85" s="2"/>
      <c r="F85" s="1" t="s">
        <v>9</v>
      </c>
      <c r="G85" s="2"/>
      <c r="H85" s="2" t="s">
        <v>2</v>
      </c>
      <c r="I85" s="11">
        <f>[12]krnmei!$K$338</f>
        <v>251250</v>
      </c>
      <c r="J85" s="2"/>
      <c r="K85" s="1" t="s">
        <v>9</v>
      </c>
      <c r="L85" s="2"/>
      <c r="M85" s="2" t="s">
        <v>2</v>
      </c>
      <c r="N85" s="11">
        <v>0</v>
      </c>
      <c r="O85" s="3"/>
    </row>
    <row r="86" spans="1:15" ht="15" x14ac:dyDescent="0.35">
      <c r="A86" s="1" t="s">
        <v>10</v>
      </c>
      <c r="B86" s="2"/>
      <c r="C86" s="2" t="s">
        <v>2</v>
      </c>
      <c r="D86" s="8">
        <v>0</v>
      </c>
      <c r="E86" s="2"/>
      <c r="F86" s="1" t="s">
        <v>10</v>
      </c>
      <c r="G86" s="2"/>
      <c r="H86" s="2" t="s">
        <v>2</v>
      </c>
      <c r="I86" s="8">
        <v>0</v>
      </c>
      <c r="J86" s="2"/>
      <c r="K86" s="1" t="s">
        <v>10</v>
      </c>
      <c r="L86" s="2"/>
      <c r="M86" s="2"/>
      <c r="N86" s="8">
        <v>0</v>
      </c>
      <c r="O86" s="3"/>
    </row>
    <row r="87" spans="1:15" ht="15" x14ac:dyDescent="0.35">
      <c r="A87" s="1" t="s">
        <v>11</v>
      </c>
      <c r="B87" s="2"/>
      <c r="C87" s="2" t="s">
        <v>2</v>
      </c>
      <c r="D87" s="41">
        <f>[12]krnmei!$P$321</f>
        <v>240000</v>
      </c>
      <c r="E87" s="2"/>
      <c r="F87" s="1" t="s">
        <v>11</v>
      </c>
      <c r="G87" s="2"/>
      <c r="H87" s="2" t="s">
        <v>2</v>
      </c>
      <c r="I87" s="9">
        <f>[18]krnmei!$P$336</f>
        <v>40000</v>
      </c>
      <c r="J87" s="2"/>
      <c r="K87" s="1" t="s">
        <v>11</v>
      </c>
      <c r="L87" s="2"/>
      <c r="M87" s="2" t="s">
        <v>2</v>
      </c>
      <c r="N87" s="8">
        <v>0</v>
      </c>
      <c r="O87" s="3"/>
    </row>
    <row r="88" spans="1:15" ht="15.6" thickBot="1" x14ac:dyDescent="0.4">
      <c r="A88" s="1" t="s">
        <v>12</v>
      </c>
      <c r="B88" s="2"/>
      <c r="C88" s="2" t="s">
        <v>2</v>
      </c>
      <c r="D88" s="29">
        <f>'[3]KARNING 2021'!$F$310</f>
        <v>100000</v>
      </c>
      <c r="E88" s="2"/>
      <c r="F88" s="1" t="s">
        <v>12</v>
      </c>
      <c r="G88" s="2"/>
      <c r="H88" s="2" t="s">
        <v>2</v>
      </c>
      <c r="I88" s="8">
        <v>0</v>
      </c>
      <c r="J88" s="2"/>
      <c r="K88" s="1" t="s">
        <v>12</v>
      </c>
      <c r="L88" s="2"/>
      <c r="M88" s="2" t="s">
        <v>2</v>
      </c>
      <c r="N88" s="8">
        <f>[16]krnmei!$F$1416</f>
        <v>10000</v>
      </c>
      <c r="O88" s="3"/>
    </row>
    <row r="89" spans="1:15" ht="15.6" thickTop="1" x14ac:dyDescent="0.35">
      <c r="A89" s="13" t="s">
        <v>13</v>
      </c>
      <c r="B89" s="5"/>
      <c r="C89" s="5" t="s">
        <v>2</v>
      </c>
      <c r="D89" s="8">
        <f>SUM(D81:D88)</f>
        <v>600000</v>
      </c>
      <c r="E89" s="2"/>
      <c r="F89" s="13" t="s">
        <v>13</v>
      </c>
      <c r="G89" s="5"/>
      <c r="H89" s="5" t="s">
        <v>2</v>
      </c>
      <c r="I89" s="8">
        <f>SUM(I81:I88)</f>
        <v>866250</v>
      </c>
      <c r="J89" s="2"/>
      <c r="K89" s="13" t="s">
        <v>13</v>
      </c>
      <c r="L89" s="5"/>
      <c r="M89" s="5" t="s">
        <v>2</v>
      </c>
      <c r="N89" s="24">
        <f>SUM(N81:N88)</f>
        <v>50000</v>
      </c>
      <c r="O89" s="3"/>
    </row>
    <row r="90" spans="1:15" ht="15" x14ac:dyDescent="0.35">
      <c r="A90" s="1" t="s">
        <v>14</v>
      </c>
      <c r="B90" s="2"/>
      <c r="C90" s="2" t="s">
        <v>2</v>
      </c>
      <c r="D90" s="30">
        <f>[12]krnmei!$O$321</f>
        <v>12000000</v>
      </c>
      <c r="E90" s="2"/>
      <c r="F90" s="1" t="s">
        <v>14</v>
      </c>
      <c r="G90" s="2"/>
      <c r="H90" s="2" t="s">
        <v>2</v>
      </c>
      <c r="I90" s="27">
        <f>[12]krnmei!$J$338+2000000</f>
        <v>18500000</v>
      </c>
      <c r="J90" s="2"/>
      <c r="K90" s="1" t="s">
        <v>14</v>
      </c>
      <c r="L90" s="2"/>
      <c r="M90" s="2" t="s">
        <v>2</v>
      </c>
      <c r="N90" s="27">
        <v>0</v>
      </c>
      <c r="O90" s="3"/>
    </row>
    <row r="91" spans="1:15" ht="15" x14ac:dyDescent="0.35">
      <c r="A91" s="1"/>
      <c r="B91" s="2"/>
      <c r="C91" s="15"/>
      <c r="D91" s="15" t="str">
        <f>D72</f>
        <v>Grogol, 01 Desember 2025</v>
      </c>
      <c r="E91" s="2"/>
      <c r="F91" s="1"/>
      <c r="G91" s="2"/>
      <c r="H91" s="49" t="str">
        <f>D91</f>
        <v>Grogol, 01 Desember 2025</v>
      </c>
      <c r="I91" s="49"/>
      <c r="J91" s="49"/>
      <c r="K91" s="1"/>
      <c r="L91" s="2"/>
      <c r="M91" s="15"/>
      <c r="N91" s="15" t="str">
        <f>H91</f>
        <v>Grogol, 01 Desember 2025</v>
      </c>
      <c r="O91" s="16"/>
    </row>
    <row r="92" spans="1:15" ht="15" x14ac:dyDescent="0.35">
      <c r="A92" s="1"/>
      <c r="B92" s="2"/>
      <c r="C92" s="2"/>
      <c r="D92" s="15" t="s">
        <v>15</v>
      </c>
      <c r="E92" s="15"/>
      <c r="F92" s="1"/>
      <c r="G92" s="2"/>
      <c r="H92" s="2"/>
      <c r="I92" s="15" t="s">
        <v>15</v>
      </c>
      <c r="J92" s="2"/>
      <c r="K92" s="1"/>
      <c r="L92" s="2"/>
      <c r="M92" s="2"/>
      <c r="N92" s="15" t="s">
        <v>15</v>
      </c>
      <c r="O92" s="3"/>
    </row>
    <row r="93" spans="1:15" ht="15" x14ac:dyDescent="0.35">
      <c r="A93" s="1"/>
      <c r="B93" s="2"/>
      <c r="C93" s="2"/>
      <c r="D93" s="15"/>
      <c r="E93" s="2"/>
      <c r="F93" s="1"/>
      <c r="G93" s="2"/>
      <c r="H93" s="2"/>
      <c r="I93" s="2"/>
      <c r="J93" s="2"/>
      <c r="K93" s="1"/>
      <c r="L93" s="2"/>
      <c r="M93" s="2"/>
      <c r="N93" s="15"/>
      <c r="O93" s="3"/>
    </row>
    <row r="94" spans="1:15" ht="15" x14ac:dyDescent="0.35">
      <c r="A94" s="1"/>
      <c r="B94" s="2"/>
      <c r="C94" s="2"/>
      <c r="D94" s="15"/>
      <c r="E94" s="2"/>
      <c r="F94" s="1"/>
      <c r="G94" s="2"/>
      <c r="H94" s="2"/>
      <c r="I94" s="2"/>
      <c r="J94" s="2"/>
      <c r="K94" s="1"/>
      <c r="L94" s="2"/>
      <c r="M94" s="2"/>
      <c r="N94" s="15"/>
      <c r="O94" s="3"/>
    </row>
    <row r="95" spans="1:15" ht="15.6" thickBot="1" x14ac:dyDescent="0.4">
      <c r="A95" s="17"/>
      <c r="B95" s="18"/>
      <c r="C95" s="18"/>
      <c r="D95" s="19" t="s">
        <v>16</v>
      </c>
      <c r="E95" s="18"/>
      <c r="F95" s="17"/>
      <c r="G95" s="18"/>
      <c r="H95" s="18"/>
      <c r="I95" s="19" t="s">
        <v>16</v>
      </c>
      <c r="J95" s="18"/>
      <c r="K95" s="17"/>
      <c r="L95" s="18"/>
      <c r="M95" s="18"/>
      <c r="N95" s="19" t="s">
        <v>16</v>
      </c>
      <c r="O95" s="20"/>
    </row>
    <row r="96" spans="1:15" ht="15" x14ac:dyDescent="0.35">
      <c r="A96" s="46" t="s">
        <v>0</v>
      </c>
      <c r="B96" s="47"/>
      <c r="C96" s="47"/>
      <c r="D96" s="47"/>
      <c r="E96" s="47"/>
      <c r="F96" s="46" t="s">
        <v>0</v>
      </c>
      <c r="G96" s="47"/>
      <c r="H96" s="47"/>
      <c r="I96" s="47"/>
      <c r="J96" s="47"/>
      <c r="K96" s="46" t="s">
        <v>0</v>
      </c>
      <c r="L96" s="47"/>
      <c r="M96" s="47"/>
      <c r="N96" s="47"/>
      <c r="O96" s="48"/>
    </row>
    <row r="97" spans="1:15" ht="15" x14ac:dyDescent="0.35">
      <c r="A97" s="1"/>
      <c r="B97" s="2"/>
      <c r="C97" s="2"/>
      <c r="D97" s="2"/>
      <c r="E97" s="2"/>
      <c r="F97" s="1"/>
      <c r="G97" s="2"/>
      <c r="H97" s="2"/>
      <c r="I97" s="2"/>
      <c r="J97" s="2"/>
      <c r="K97" s="1"/>
      <c r="L97" s="2"/>
      <c r="M97" s="2"/>
      <c r="N97" s="2"/>
      <c r="O97" s="3"/>
    </row>
    <row r="98" spans="1:15" ht="15" x14ac:dyDescent="0.35">
      <c r="A98" s="1" t="s">
        <v>1</v>
      </c>
      <c r="B98" s="2" t="s">
        <v>2</v>
      </c>
      <c r="C98" s="51" t="s">
        <v>24</v>
      </c>
      <c r="D98" s="51"/>
      <c r="E98" s="4">
        <v>8</v>
      </c>
      <c r="F98" s="1" t="s">
        <v>1</v>
      </c>
      <c r="G98" s="2" t="s">
        <v>2</v>
      </c>
      <c r="H98" s="50" t="s">
        <v>25</v>
      </c>
      <c r="I98" s="50"/>
      <c r="J98" s="4">
        <v>9</v>
      </c>
      <c r="K98" s="1" t="s">
        <v>1</v>
      </c>
      <c r="L98" s="2" t="s">
        <v>2</v>
      </c>
      <c r="M98" s="50" t="s">
        <v>26</v>
      </c>
      <c r="N98" s="50"/>
      <c r="O98" s="6">
        <v>10</v>
      </c>
    </row>
    <row r="99" spans="1:15" ht="15" x14ac:dyDescent="0.35">
      <c r="A99" s="1" t="s">
        <v>4</v>
      </c>
      <c r="B99" s="2"/>
      <c r="C99" s="2" t="s">
        <v>2</v>
      </c>
      <c r="D99" s="2"/>
      <c r="F99" s="1" t="s">
        <v>4</v>
      </c>
      <c r="G99" s="2"/>
      <c r="H99" s="2" t="s">
        <v>2</v>
      </c>
      <c r="I99" s="2"/>
      <c r="J99" s="2"/>
      <c r="K99" s="1" t="s">
        <v>4</v>
      </c>
      <c r="L99" s="2"/>
      <c r="M99" s="2" t="s">
        <v>2</v>
      </c>
      <c r="N99" s="2"/>
      <c r="O99" s="3"/>
    </row>
    <row r="100" spans="1:15" ht="15" x14ac:dyDescent="0.35">
      <c r="A100" s="1" t="s">
        <v>5</v>
      </c>
      <c r="B100" s="2"/>
      <c r="C100" s="2" t="s">
        <v>2</v>
      </c>
      <c r="D100" s="8">
        <f>'[3]KARNING 2021'!$C$361</f>
        <v>100000</v>
      </c>
      <c r="E100" s="2"/>
      <c r="F100" s="1" t="s">
        <v>5</v>
      </c>
      <c r="G100" s="2"/>
      <c r="H100" s="2" t="s">
        <v>2</v>
      </c>
      <c r="I100" s="8">
        <f>'[3]KARNING 2021'!$C$378</f>
        <v>100000</v>
      </c>
      <c r="J100" s="2"/>
      <c r="K100" s="1" t="s">
        <v>5</v>
      </c>
      <c r="L100" s="2"/>
      <c r="M100" s="2" t="s">
        <v>2</v>
      </c>
      <c r="N100" s="8">
        <f>'[3]KARNING 2021'!$C$395</f>
        <v>100000</v>
      </c>
      <c r="O100" s="3"/>
    </row>
    <row r="101" spans="1:15" ht="15" x14ac:dyDescent="0.35">
      <c r="A101" s="1" t="s">
        <v>6</v>
      </c>
      <c r="B101" s="2"/>
      <c r="C101" s="2" t="s">
        <v>2</v>
      </c>
      <c r="D101" s="8">
        <v>400000</v>
      </c>
      <c r="E101" s="2"/>
      <c r="F101" s="1" t="s">
        <v>6</v>
      </c>
      <c r="G101" s="2"/>
      <c r="H101" s="2" t="s">
        <v>2</v>
      </c>
      <c r="I101" s="8">
        <f>'[3]KARNING 2021'!$D$378</f>
        <v>5000</v>
      </c>
      <c r="J101" s="2"/>
      <c r="K101" s="1" t="s">
        <v>6</v>
      </c>
      <c r="L101" s="2"/>
      <c r="M101" s="2" t="s">
        <v>2</v>
      </c>
      <c r="N101" s="8">
        <f>'[3]KARNING 2021'!$D$395</f>
        <v>5000</v>
      </c>
      <c r="O101" s="3"/>
    </row>
    <row r="102" spans="1:15" ht="15" x14ac:dyDescent="0.35">
      <c r="A102" s="1" t="s">
        <v>7</v>
      </c>
      <c r="B102" s="2"/>
      <c r="C102" s="2" t="s">
        <v>2</v>
      </c>
      <c r="D102" s="8">
        <f>[19]krnmei!$E$362</f>
        <v>200000</v>
      </c>
      <c r="E102" s="2"/>
      <c r="F102" s="1" t="s">
        <v>7</v>
      </c>
      <c r="G102" s="2"/>
      <c r="H102" s="2" t="s">
        <v>2</v>
      </c>
      <c r="I102" s="8">
        <v>150000</v>
      </c>
      <c r="J102" s="2"/>
      <c r="K102" s="1" t="s">
        <v>7</v>
      </c>
      <c r="L102" s="2"/>
      <c r="M102" s="2" t="s">
        <v>2</v>
      </c>
      <c r="N102" s="8">
        <f>[5]krnmei!$E$399</f>
        <v>200000</v>
      </c>
      <c r="O102" s="3"/>
    </row>
    <row r="103" spans="1:15" ht="15" x14ac:dyDescent="0.35">
      <c r="A103" s="1" t="s">
        <v>8</v>
      </c>
      <c r="B103" s="21">
        <v>17</v>
      </c>
      <c r="C103" s="2" t="s">
        <v>2</v>
      </c>
      <c r="D103" s="25">
        <f>[20]krnmei!$I$368</f>
        <v>500000</v>
      </c>
      <c r="E103" s="2"/>
      <c r="F103" s="1" t="s">
        <v>8</v>
      </c>
      <c r="G103" s="21">
        <v>67</v>
      </c>
      <c r="H103" s="2" t="s">
        <v>2</v>
      </c>
      <c r="I103" s="8">
        <f>[21]krnmei!$I$383</f>
        <v>500000</v>
      </c>
      <c r="J103" s="2"/>
      <c r="K103" s="1" t="s">
        <v>8</v>
      </c>
      <c r="L103" s="21">
        <v>4</v>
      </c>
      <c r="M103" s="2" t="s">
        <v>2</v>
      </c>
      <c r="N103" s="8">
        <f>[18]krnmei!$I$404</f>
        <v>1000000</v>
      </c>
      <c r="O103" s="3"/>
    </row>
    <row r="104" spans="1:15" ht="15" x14ac:dyDescent="0.35">
      <c r="A104" s="1" t="s">
        <v>9</v>
      </c>
      <c r="B104" s="2"/>
      <c r="C104" s="2" t="s">
        <v>2</v>
      </c>
      <c r="D104" s="30">
        <f>[12]krnmei!$K$372</f>
        <v>180000</v>
      </c>
      <c r="E104" s="2"/>
      <c r="F104" s="1" t="s">
        <v>9</v>
      </c>
      <c r="G104" s="2"/>
      <c r="H104" s="2" t="s">
        <v>2</v>
      </c>
      <c r="I104" s="11">
        <f>[12]krnmei!$K$389</f>
        <v>343800</v>
      </c>
      <c r="J104" s="2"/>
      <c r="K104" s="1" t="s">
        <v>9</v>
      </c>
      <c r="L104" s="2"/>
      <c r="M104" s="2" t="s">
        <v>2</v>
      </c>
      <c r="N104" s="11">
        <f>[12]krnmei!$K$406</f>
        <v>105000</v>
      </c>
      <c r="O104" s="3"/>
    </row>
    <row r="105" spans="1:15" ht="15" x14ac:dyDescent="0.35">
      <c r="A105" s="1" t="s">
        <v>10</v>
      </c>
      <c r="B105" s="2"/>
      <c r="C105" s="2" t="s">
        <v>2</v>
      </c>
      <c r="D105" s="8">
        <v>0</v>
      </c>
      <c r="E105" s="2"/>
      <c r="F105" s="1" t="s">
        <v>10</v>
      </c>
      <c r="G105" s="2"/>
      <c r="H105" s="2" t="s">
        <v>2</v>
      </c>
      <c r="I105" s="8"/>
      <c r="J105" s="2"/>
      <c r="K105" s="1" t="s">
        <v>10</v>
      </c>
      <c r="L105" s="2"/>
      <c r="M105" s="2" t="s">
        <v>2</v>
      </c>
      <c r="N105" s="8">
        <v>0</v>
      </c>
      <c r="O105" s="3"/>
    </row>
    <row r="106" spans="1:15" ht="15" x14ac:dyDescent="0.35">
      <c r="A106" s="1" t="s">
        <v>11</v>
      </c>
      <c r="B106" s="2"/>
      <c r="C106" s="2" t="s">
        <v>2</v>
      </c>
      <c r="D106" s="8">
        <v>0</v>
      </c>
      <c r="E106" s="2"/>
      <c r="F106" s="1" t="s">
        <v>11</v>
      </c>
      <c r="G106" s="2"/>
      <c r="H106" s="2" t="s">
        <v>2</v>
      </c>
      <c r="I106" s="8">
        <v>0</v>
      </c>
      <c r="J106" s="2"/>
      <c r="K106" s="1" t="s">
        <v>11</v>
      </c>
      <c r="L106" s="2"/>
      <c r="M106" s="2" t="s">
        <v>2</v>
      </c>
      <c r="N106" s="8">
        <f>[14]krnmei!$P$395</f>
        <v>0</v>
      </c>
      <c r="O106" s="3"/>
    </row>
    <row r="107" spans="1:15" ht="15" x14ac:dyDescent="0.35">
      <c r="A107" s="1" t="s">
        <v>12</v>
      </c>
      <c r="B107" s="2"/>
      <c r="C107" s="2" t="s">
        <v>2</v>
      </c>
      <c r="D107" s="8">
        <v>500000</v>
      </c>
      <c r="E107" s="2"/>
      <c r="F107" s="1" t="s">
        <v>12</v>
      </c>
      <c r="G107" s="2"/>
      <c r="H107" s="2" t="s">
        <v>2</v>
      </c>
      <c r="I107" s="8">
        <f>'[3]KARNING 2021'!$F$378</f>
        <v>100000</v>
      </c>
      <c r="J107" s="2"/>
      <c r="K107" s="1" t="s">
        <v>12</v>
      </c>
      <c r="L107" s="2"/>
      <c r="M107" s="2" t="s">
        <v>2</v>
      </c>
      <c r="N107" s="8">
        <f>[14]krnmei!$F$395</f>
        <v>200000</v>
      </c>
      <c r="O107" s="3"/>
    </row>
    <row r="108" spans="1:15" ht="15" x14ac:dyDescent="0.35">
      <c r="A108" s="13" t="s">
        <v>13</v>
      </c>
      <c r="B108" s="5"/>
      <c r="C108" s="5" t="s">
        <v>2</v>
      </c>
      <c r="D108" s="8">
        <f>SUM(D100:D107)</f>
        <v>1880000</v>
      </c>
      <c r="E108" s="2"/>
      <c r="F108" s="13" t="s">
        <v>13</v>
      </c>
      <c r="G108" s="5"/>
      <c r="H108" s="5" t="s">
        <v>2</v>
      </c>
      <c r="I108" s="24">
        <f>SUM(I100:I107)</f>
        <v>1198800</v>
      </c>
      <c r="J108" s="2"/>
      <c r="K108" s="13" t="s">
        <v>13</v>
      </c>
      <c r="L108" s="5"/>
      <c r="M108" s="5" t="s">
        <v>2</v>
      </c>
      <c r="N108" s="8">
        <f>SUM(N100:N107)</f>
        <v>1610000</v>
      </c>
      <c r="O108" s="3"/>
    </row>
    <row r="109" spans="1:15" ht="15" x14ac:dyDescent="0.35">
      <c r="A109" s="1" t="s">
        <v>14</v>
      </c>
      <c r="B109" s="2"/>
      <c r="C109" s="2" t="s">
        <v>2</v>
      </c>
      <c r="D109" s="30">
        <f>[12]krnmei!$J$372</f>
        <v>11500000</v>
      </c>
      <c r="E109" s="2"/>
      <c r="F109" s="1" t="s">
        <v>14</v>
      </c>
      <c r="G109" s="2"/>
      <c r="H109" s="2" t="s">
        <v>2</v>
      </c>
      <c r="I109" s="27">
        <f>[12]krnmei!$J$389</f>
        <v>22420000</v>
      </c>
      <c r="J109" s="2"/>
      <c r="K109" s="1" t="s">
        <v>14</v>
      </c>
      <c r="L109" s="2"/>
      <c r="M109" s="2" t="s">
        <v>2</v>
      </c>
      <c r="N109" s="27">
        <f>[12]krnmei!$J$406</f>
        <v>6000000</v>
      </c>
      <c r="O109" s="3"/>
    </row>
    <row r="110" spans="1:15" ht="15" x14ac:dyDescent="0.35">
      <c r="A110" s="1"/>
      <c r="B110" s="2"/>
      <c r="C110" s="15"/>
      <c r="D110" s="15" t="str">
        <f>D91</f>
        <v>Grogol, 01 Desember 2025</v>
      </c>
      <c r="E110" s="2"/>
      <c r="F110" s="1"/>
      <c r="G110" s="2"/>
      <c r="H110" s="15"/>
      <c r="I110" s="15" t="str">
        <f>D110</f>
        <v>Grogol, 01 Desember 2025</v>
      </c>
      <c r="J110" s="15"/>
      <c r="K110" s="1"/>
      <c r="L110" s="2"/>
      <c r="M110" s="15"/>
      <c r="N110" s="15" t="str">
        <f>I110</f>
        <v>Grogol, 01 Desember 2025</v>
      </c>
      <c r="O110" s="16"/>
    </row>
    <row r="111" spans="1:15" ht="15" x14ac:dyDescent="0.35">
      <c r="A111" s="1"/>
      <c r="B111" s="2"/>
      <c r="C111" s="2"/>
      <c r="D111" s="15" t="s">
        <v>15</v>
      </c>
      <c r="E111" s="15"/>
      <c r="F111" s="1"/>
      <c r="G111" s="2"/>
      <c r="H111" s="2"/>
      <c r="I111" s="15" t="s">
        <v>15</v>
      </c>
      <c r="J111" s="2"/>
      <c r="K111" s="1"/>
      <c r="L111" s="2"/>
      <c r="M111" s="2"/>
      <c r="N111" s="15" t="s">
        <v>15</v>
      </c>
      <c r="O111" s="3"/>
    </row>
    <row r="112" spans="1:15" ht="15" x14ac:dyDescent="0.35">
      <c r="A112" s="1"/>
      <c r="B112" s="2"/>
      <c r="C112" s="2"/>
      <c r="D112" s="15"/>
      <c r="E112" s="2"/>
      <c r="F112" s="1"/>
      <c r="G112" s="2"/>
      <c r="H112" s="2"/>
      <c r="I112" s="15"/>
      <c r="J112" s="2"/>
      <c r="K112" s="1"/>
      <c r="L112" s="2"/>
      <c r="M112" s="2"/>
      <c r="N112" s="15"/>
      <c r="O112" s="3"/>
    </row>
    <row r="113" spans="1:15" ht="15" x14ac:dyDescent="0.35">
      <c r="A113" s="1"/>
      <c r="B113" s="2"/>
      <c r="C113" s="2"/>
      <c r="D113" s="15"/>
      <c r="E113" s="2"/>
      <c r="F113" s="1"/>
      <c r="G113" s="2"/>
      <c r="H113" s="2"/>
      <c r="I113" s="15"/>
      <c r="J113" s="2"/>
      <c r="K113" s="1"/>
      <c r="L113" s="2"/>
      <c r="M113" s="2"/>
      <c r="N113" s="15"/>
      <c r="O113" s="3"/>
    </row>
    <row r="114" spans="1:15" ht="15.6" thickBot="1" x14ac:dyDescent="0.4">
      <c r="A114" s="17"/>
      <c r="B114" s="18"/>
      <c r="C114" s="18"/>
      <c r="D114" s="19" t="s">
        <v>16</v>
      </c>
      <c r="E114" s="18"/>
      <c r="F114" s="17"/>
      <c r="G114" s="18"/>
      <c r="H114" s="18"/>
      <c r="I114" s="19" t="s">
        <v>16</v>
      </c>
      <c r="J114" s="18"/>
      <c r="K114" s="17"/>
      <c r="L114" s="18"/>
      <c r="M114" s="18"/>
      <c r="N114" s="19" t="s">
        <v>16</v>
      </c>
      <c r="O114" s="20"/>
    </row>
    <row r="115" spans="1:15" ht="15" x14ac:dyDescent="0.35">
      <c r="A115" s="46" t="s">
        <v>0</v>
      </c>
      <c r="B115" s="47"/>
      <c r="C115" s="47"/>
      <c r="D115" s="47"/>
      <c r="E115" s="47"/>
      <c r="F115" s="46" t="s">
        <v>0</v>
      </c>
      <c r="G115" s="47"/>
      <c r="H115" s="47"/>
      <c r="I115" s="47"/>
      <c r="J115" s="47"/>
      <c r="K115" s="46" t="s">
        <v>0</v>
      </c>
      <c r="L115" s="47"/>
      <c r="M115" s="47"/>
      <c r="N115" s="47"/>
      <c r="O115" s="48"/>
    </row>
    <row r="116" spans="1:15" ht="15" x14ac:dyDescent="0.35">
      <c r="A116" s="1"/>
      <c r="B116" s="2"/>
      <c r="C116" s="2"/>
      <c r="D116" s="2"/>
      <c r="E116" s="2"/>
      <c r="F116" s="1"/>
      <c r="G116" s="2"/>
      <c r="H116" s="2"/>
      <c r="I116" s="2"/>
      <c r="J116" s="2"/>
      <c r="K116" s="1"/>
      <c r="L116" s="2"/>
      <c r="M116" s="2"/>
      <c r="N116" s="2"/>
      <c r="O116" s="3"/>
    </row>
    <row r="117" spans="1:15" ht="15" x14ac:dyDescent="0.35">
      <c r="A117" s="1" t="s">
        <v>1</v>
      </c>
      <c r="B117" s="2" t="s">
        <v>2</v>
      </c>
      <c r="C117" s="50" t="s">
        <v>81</v>
      </c>
      <c r="D117" s="50"/>
      <c r="E117" s="4">
        <v>57</v>
      </c>
      <c r="F117" s="1" t="s">
        <v>1</v>
      </c>
      <c r="G117" s="2" t="s">
        <v>2</v>
      </c>
      <c r="H117" s="51"/>
      <c r="I117" s="51"/>
      <c r="J117" s="4"/>
      <c r="K117" s="1" t="s">
        <v>1</v>
      </c>
      <c r="L117" s="2" t="s">
        <v>2</v>
      </c>
      <c r="M117" s="50" t="s">
        <v>27</v>
      </c>
      <c r="N117" s="50"/>
      <c r="O117" s="6">
        <v>11</v>
      </c>
    </row>
    <row r="118" spans="1:15" ht="15" x14ac:dyDescent="0.35">
      <c r="A118" s="1" t="s">
        <v>4</v>
      </c>
      <c r="B118" s="2"/>
      <c r="C118" s="2" t="s">
        <v>2</v>
      </c>
      <c r="D118" s="2"/>
      <c r="F118" s="1" t="s">
        <v>4</v>
      </c>
      <c r="G118" s="2"/>
      <c r="H118" s="2" t="s">
        <v>2</v>
      </c>
      <c r="I118" s="2"/>
      <c r="J118" s="2"/>
      <c r="K118" s="1" t="s">
        <v>4</v>
      </c>
      <c r="L118" s="2"/>
      <c r="M118" s="2" t="s">
        <v>2</v>
      </c>
      <c r="N118" s="2"/>
      <c r="O118" s="3"/>
    </row>
    <row r="119" spans="1:15" ht="15" x14ac:dyDescent="0.35">
      <c r="A119" s="1" t="s">
        <v>5</v>
      </c>
      <c r="B119" s="2"/>
      <c r="C119" s="2" t="s">
        <v>2</v>
      </c>
      <c r="D119" s="8">
        <v>15000</v>
      </c>
      <c r="E119" s="2"/>
      <c r="F119" s="1" t="s">
        <v>5</v>
      </c>
      <c r="G119" s="2"/>
      <c r="H119" s="2" t="s">
        <v>2</v>
      </c>
      <c r="I119" s="8">
        <v>0</v>
      </c>
      <c r="J119" s="2"/>
      <c r="K119" s="1" t="s">
        <v>5</v>
      </c>
      <c r="L119" s="2"/>
      <c r="M119" s="2" t="s">
        <v>2</v>
      </c>
      <c r="N119" s="8">
        <f>'[3]KARNING 2021'!$C$446</f>
        <v>100000</v>
      </c>
      <c r="O119" s="3"/>
    </row>
    <row r="120" spans="1:15" ht="15" x14ac:dyDescent="0.35">
      <c r="A120" s="1" t="s">
        <v>6</v>
      </c>
      <c r="B120" s="2"/>
      <c r="C120" s="2" t="s">
        <v>2</v>
      </c>
      <c r="D120" s="8">
        <v>10000</v>
      </c>
      <c r="E120" s="2"/>
      <c r="F120" s="1" t="s">
        <v>6</v>
      </c>
      <c r="G120" s="2"/>
      <c r="H120" s="2" t="s">
        <v>2</v>
      </c>
      <c r="I120" s="8">
        <v>0</v>
      </c>
      <c r="J120" s="2"/>
      <c r="K120" s="1" t="s">
        <v>6</v>
      </c>
      <c r="L120" s="2"/>
      <c r="M120" s="2" t="s">
        <v>2</v>
      </c>
      <c r="N120" s="8">
        <f>'[3]KARNING 2021'!$D$446</f>
        <v>50000</v>
      </c>
      <c r="O120" s="3"/>
    </row>
    <row r="121" spans="1:15" ht="15" x14ac:dyDescent="0.35">
      <c r="A121" s="1" t="s">
        <v>7</v>
      </c>
      <c r="B121" s="2"/>
      <c r="C121" s="2" t="s">
        <v>2</v>
      </c>
      <c r="D121" s="8">
        <v>25000</v>
      </c>
      <c r="E121" s="2"/>
      <c r="F121" s="1" t="s">
        <v>7</v>
      </c>
      <c r="G121" s="2"/>
      <c r="H121" s="2" t="s">
        <v>2</v>
      </c>
      <c r="I121" s="8">
        <v>0</v>
      </c>
      <c r="J121" s="2"/>
      <c r="K121" s="1" t="s">
        <v>7</v>
      </c>
      <c r="L121" s="2"/>
      <c r="M121" s="2" t="s">
        <v>2</v>
      </c>
      <c r="N121" s="8">
        <f>'[3]KARNING 2021'!$E$446</f>
        <v>200000</v>
      </c>
      <c r="O121" s="3"/>
    </row>
    <row r="122" spans="1:15" ht="15" x14ac:dyDescent="0.35">
      <c r="A122" s="1" t="s">
        <v>8</v>
      </c>
      <c r="B122" s="2"/>
      <c r="C122" s="2" t="s">
        <v>2</v>
      </c>
      <c r="D122" s="8"/>
      <c r="E122" s="2"/>
      <c r="F122" s="1" t="s">
        <v>8</v>
      </c>
      <c r="G122" s="2">
        <v>0</v>
      </c>
      <c r="H122" s="2" t="s">
        <v>2</v>
      </c>
      <c r="I122" s="8">
        <v>0</v>
      </c>
      <c r="J122" s="2"/>
      <c r="K122" s="1" t="s">
        <v>8</v>
      </c>
      <c r="L122" s="21">
        <v>32</v>
      </c>
      <c r="M122" s="2" t="s">
        <v>2</v>
      </c>
      <c r="N122" s="8">
        <f>'[3]KARNING 2021'!$I$446</f>
        <v>500000</v>
      </c>
      <c r="O122" s="3"/>
    </row>
    <row r="123" spans="1:15" ht="15" x14ac:dyDescent="0.35">
      <c r="A123" s="1" t="s">
        <v>9</v>
      </c>
      <c r="B123" s="2"/>
      <c r="C123" s="2" t="s">
        <v>2</v>
      </c>
      <c r="D123" s="30"/>
      <c r="E123" s="2"/>
      <c r="F123" s="1" t="s">
        <v>9</v>
      </c>
      <c r="G123" s="2"/>
      <c r="H123" s="2" t="s">
        <v>2</v>
      </c>
      <c r="I123" s="8">
        <v>0</v>
      </c>
      <c r="J123" s="2"/>
      <c r="K123" s="1" t="s">
        <v>9</v>
      </c>
      <c r="L123" s="2"/>
      <c r="M123" s="2" t="s">
        <v>2</v>
      </c>
      <c r="N123" s="11">
        <f>[12]krnmei!$K$457</f>
        <v>442500</v>
      </c>
      <c r="O123" s="3"/>
    </row>
    <row r="124" spans="1:15" ht="15" x14ac:dyDescent="0.35">
      <c r="A124" s="1" t="s">
        <v>10</v>
      </c>
      <c r="B124" s="2"/>
      <c r="C124" s="2" t="s">
        <v>2</v>
      </c>
      <c r="D124" s="8"/>
      <c r="E124" s="2"/>
      <c r="F124" s="1" t="s">
        <v>10</v>
      </c>
      <c r="G124" s="2"/>
      <c r="H124" s="2" t="s">
        <v>2</v>
      </c>
      <c r="I124" s="8"/>
      <c r="J124" s="2"/>
      <c r="K124" s="1" t="s">
        <v>10</v>
      </c>
      <c r="L124" s="2"/>
      <c r="M124" s="2" t="s">
        <v>2</v>
      </c>
      <c r="N124" s="8"/>
      <c r="O124" s="3"/>
    </row>
    <row r="125" spans="1:15" ht="15" x14ac:dyDescent="0.35">
      <c r="A125" s="1" t="s">
        <v>11</v>
      </c>
      <c r="B125" s="2"/>
      <c r="C125" s="2" t="s">
        <v>2</v>
      </c>
      <c r="D125" s="8"/>
      <c r="E125" s="2"/>
      <c r="F125" s="1" t="s">
        <v>11</v>
      </c>
      <c r="G125" s="2"/>
      <c r="H125" s="2" t="s">
        <v>2</v>
      </c>
      <c r="I125" s="9"/>
      <c r="J125" s="2"/>
      <c r="K125" s="1" t="s">
        <v>11</v>
      </c>
      <c r="L125" s="2"/>
      <c r="M125" s="2" t="s">
        <v>2</v>
      </c>
      <c r="N125" s="9">
        <v>0</v>
      </c>
      <c r="O125" s="3"/>
    </row>
    <row r="126" spans="1:15" ht="15" x14ac:dyDescent="0.35">
      <c r="A126" s="1" t="s">
        <v>12</v>
      </c>
      <c r="B126" s="2"/>
      <c r="C126" s="2" t="s">
        <v>2</v>
      </c>
      <c r="D126" s="8">
        <v>50000</v>
      </c>
      <c r="E126" s="2"/>
      <c r="F126" s="1" t="s">
        <v>12</v>
      </c>
      <c r="G126" s="2"/>
      <c r="H126" s="2" t="s">
        <v>2</v>
      </c>
      <c r="I126" s="8">
        <v>0</v>
      </c>
      <c r="J126" s="2"/>
      <c r="K126" s="1" t="s">
        <v>12</v>
      </c>
      <c r="L126" s="2"/>
      <c r="M126" s="2" t="s">
        <v>2</v>
      </c>
      <c r="N126" s="8">
        <f>'[3]KARNING 2021'!$F$446</f>
        <v>100000</v>
      </c>
      <c r="O126" s="3"/>
    </row>
    <row r="127" spans="1:15" ht="15" x14ac:dyDescent="0.35">
      <c r="A127" s="13" t="s">
        <v>13</v>
      </c>
      <c r="B127" s="5"/>
      <c r="C127" s="5" t="s">
        <v>2</v>
      </c>
      <c r="D127" s="24">
        <f>SUM(D119:D126)</f>
        <v>100000</v>
      </c>
      <c r="E127" s="2"/>
      <c r="F127" s="13" t="s">
        <v>13</v>
      </c>
      <c r="G127" s="5"/>
      <c r="H127" s="5" t="s">
        <v>2</v>
      </c>
      <c r="I127" s="8">
        <f>SUM(I119:I126)</f>
        <v>0</v>
      </c>
      <c r="J127" s="2"/>
      <c r="K127" s="13" t="s">
        <v>13</v>
      </c>
      <c r="L127" s="5"/>
      <c r="M127" s="5" t="s">
        <v>2</v>
      </c>
      <c r="N127" s="24">
        <f>SUM(N119:N126)</f>
        <v>1392500</v>
      </c>
      <c r="O127" s="3"/>
    </row>
    <row r="128" spans="1:15" ht="15" x14ac:dyDescent="0.35">
      <c r="A128" s="1" t="s">
        <v>14</v>
      </c>
      <c r="B128" s="2"/>
      <c r="C128" s="2" t="s">
        <v>2</v>
      </c>
      <c r="D128" s="31"/>
      <c r="E128" s="2"/>
      <c r="F128" s="1" t="s">
        <v>14</v>
      </c>
      <c r="G128" s="2"/>
      <c r="H128" s="2" t="s">
        <v>2</v>
      </c>
      <c r="I128" s="25">
        <v>0</v>
      </c>
      <c r="J128" s="2"/>
      <c r="K128" s="1" t="s">
        <v>14</v>
      </c>
      <c r="L128" s="2"/>
      <c r="M128" s="2" t="s">
        <v>2</v>
      </c>
      <c r="N128" s="27">
        <f>[12]krnmei!$J$457</f>
        <v>29000000</v>
      </c>
      <c r="O128" s="3"/>
    </row>
    <row r="129" spans="1:15" ht="15" x14ac:dyDescent="0.35">
      <c r="A129" s="1"/>
      <c r="B129" s="2"/>
      <c r="C129" s="15"/>
      <c r="D129" s="15" t="str">
        <f>D110</f>
        <v>Grogol, 01 Desember 2025</v>
      </c>
      <c r="E129" s="2"/>
      <c r="F129" s="1"/>
      <c r="G129" s="2"/>
      <c r="H129" s="15"/>
      <c r="I129" s="15" t="str">
        <f>D110</f>
        <v>Grogol, 01 Desember 2025</v>
      </c>
      <c r="J129" s="15"/>
      <c r="K129" s="1"/>
      <c r="L129" s="2"/>
      <c r="M129" s="15"/>
      <c r="N129" s="15" t="str">
        <f>D110</f>
        <v>Grogol, 01 Desember 2025</v>
      </c>
      <c r="O129" s="16"/>
    </row>
    <row r="130" spans="1:15" ht="15" x14ac:dyDescent="0.35">
      <c r="A130" s="1"/>
      <c r="B130" s="2"/>
      <c r="C130" s="2"/>
      <c r="D130" s="15" t="s">
        <v>15</v>
      </c>
      <c r="E130" s="15"/>
      <c r="F130" s="1"/>
      <c r="G130" s="2"/>
      <c r="H130" s="2"/>
      <c r="I130" s="15" t="s">
        <v>15</v>
      </c>
      <c r="J130" s="2"/>
      <c r="K130" s="1"/>
      <c r="L130" s="2"/>
      <c r="M130" s="2"/>
      <c r="N130" s="15" t="s">
        <v>15</v>
      </c>
      <c r="O130" s="3"/>
    </row>
    <row r="131" spans="1:15" ht="15" x14ac:dyDescent="0.35">
      <c r="A131" s="1"/>
      <c r="B131" s="2"/>
      <c r="C131" s="2"/>
      <c r="D131" s="15"/>
      <c r="E131" s="2"/>
      <c r="F131" s="1"/>
      <c r="G131" s="2"/>
      <c r="H131" s="2"/>
      <c r="I131" s="15"/>
      <c r="J131" s="2"/>
      <c r="K131" s="1"/>
      <c r="L131" s="2"/>
      <c r="M131" s="2"/>
      <c r="N131" s="15"/>
      <c r="O131" s="3"/>
    </row>
    <row r="132" spans="1:15" ht="15" x14ac:dyDescent="0.35">
      <c r="A132" s="1"/>
      <c r="B132" s="2"/>
      <c r="C132" s="2"/>
      <c r="D132" s="15"/>
      <c r="E132" s="2"/>
      <c r="F132" s="1"/>
      <c r="G132" s="2"/>
      <c r="H132" s="2"/>
      <c r="I132" s="15"/>
      <c r="J132" s="2"/>
      <c r="K132" s="1"/>
      <c r="L132" s="2"/>
      <c r="M132" s="2"/>
      <c r="N132" s="15"/>
      <c r="O132" s="3"/>
    </row>
    <row r="133" spans="1:15" ht="15.6" thickBot="1" x14ac:dyDescent="0.4">
      <c r="A133" s="17"/>
      <c r="B133" s="18"/>
      <c r="C133" s="18"/>
      <c r="D133" s="19" t="s">
        <v>16</v>
      </c>
      <c r="E133" s="18"/>
      <c r="F133" s="17"/>
      <c r="G133" s="18"/>
      <c r="H133" s="18"/>
      <c r="I133" s="19" t="s">
        <v>16</v>
      </c>
      <c r="J133" s="18"/>
      <c r="K133" s="17"/>
      <c r="L133" s="18"/>
      <c r="M133" s="18"/>
      <c r="N133" s="19" t="s">
        <v>16</v>
      </c>
      <c r="O133" s="20"/>
    </row>
    <row r="134" spans="1:15" ht="15" x14ac:dyDescent="0.35">
      <c r="A134" s="46" t="s">
        <v>0</v>
      </c>
      <c r="B134" s="47"/>
      <c r="C134" s="47"/>
      <c r="D134" s="47"/>
      <c r="E134" s="47"/>
      <c r="F134" s="46" t="s">
        <v>0</v>
      </c>
      <c r="G134" s="47"/>
      <c r="H134" s="47"/>
      <c r="I134" s="47"/>
      <c r="J134" s="47"/>
      <c r="K134" s="46" t="s">
        <v>0</v>
      </c>
      <c r="L134" s="47"/>
      <c r="M134" s="47"/>
      <c r="N134" s="47"/>
      <c r="O134" s="48"/>
    </row>
    <row r="135" spans="1:15" ht="15" x14ac:dyDescent="0.35">
      <c r="A135" s="1"/>
      <c r="B135" s="2"/>
      <c r="C135" s="2"/>
      <c r="D135" s="2"/>
      <c r="E135" s="2"/>
      <c r="F135" s="1"/>
      <c r="G135" s="2"/>
      <c r="H135" s="2"/>
      <c r="I135" s="2"/>
      <c r="J135" s="2"/>
      <c r="K135" s="1"/>
      <c r="L135" s="2"/>
      <c r="M135" s="2"/>
      <c r="N135" s="2"/>
      <c r="O135" s="3"/>
    </row>
    <row r="136" spans="1:15" ht="15" x14ac:dyDescent="0.35">
      <c r="A136" s="1" t="s">
        <v>1</v>
      </c>
      <c r="B136" s="2" t="s">
        <v>2</v>
      </c>
      <c r="C136" s="2"/>
      <c r="D136" s="5"/>
      <c r="E136" s="4"/>
      <c r="F136" s="1" t="s">
        <v>1</v>
      </c>
      <c r="G136" s="2" t="s">
        <v>2</v>
      </c>
      <c r="H136" s="51" t="s">
        <v>28</v>
      </c>
      <c r="I136" s="51"/>
      <c r="J136" s="4">
        <v>12</v>
      </c>
      <c r="K136" s="1" t="s">
        <v>1</v>
      </c>
      <c r="L136" s="2" t="s">
        <v>2</v>
      </c>
      <c r="M136" s="50" t="s">
        <v>79</v>
      </c>
      <c r="N136" s="50"/>
      <c r="O136" s="6">
        <v>43</v>
      </c>
    </row>
    <row r="137" spans="1:15" ht="15" x14ac:dyDescent="0.35">
      <c r="A137" s="1" t="s">
        <v>4</v>
      </c>
      <c r="B137" s="2"/>
      <c r="C137" s="2" t="s">
        <v>2</v>
      </c>
      <c r="D137" s="9"/>
      <c r="E137" s="2"/>
      <c r="F137" s="1" t="s">
        <v>4</v>
      </c>
      <c r="G137" s="2"/>
      <c r="H137" s="2" t="s">
        <v>2</v>
      </c>
      <c r="I137" s="2"/>
      <c r="J137" s="2"/>
      <c r="K137" s="1" t="s">
        <v>4</v>
      </c>
      <c r="L137" s="2"/>
      <c r="M137" s="2" t="s">
        <v>2</v>
      </c>
      <c r="N137" s="2"/>
      <c r="O137" s="3"/>
    </row>
    <row r="138" spans="1:15" ht="15" x14ac:dyDescent="0.35">
      <c r="A138" s="1" t="s">
        <v>5</v>
      </c>
      <c r="B138" s="2"/>
      <c r="C138" s="2" t="s">
        <v>2</v>
      </c>
      <c r="D138" s="8">
        <v>0</v>
      </c>
      <c r="E138" s="2"/>
      <c r="F138" s="1" t="s">
        <v>5</v>
      </c>
      <c r="G138" s="2"/>
      <c r="H138" s="2" t="s">
        <v>2</v>
      </c>
      <c r="I138" s="8">
        <v>0</v>
      </c>
      <c r="J138" s="2"/>
      <c r="K138" s="1" t="s">
        <v>5</v>
      </c>
      <c r="L138" s="2"/>
      <c r="M138" s="2" t="s">
        <v>2</v>
      </c>
      <c r="N138" s="25">
        <f>'[3]KARNING 2021'!$C$497</f>
        <v>100000</v>
      </c>
      <c r="O138" s="3"/>
    </row>
    <row r="139" spans="1:15" ht="15" x14ac:dyDescent="0.35">
      <c r="A139" s="1" t="s">
        <v>6</v>
      </c>
      <c r="B139" s="2"/>
      <c r="C139" s="2" t="s">
        <v>2</v>
      </c>
      <c r="D139" s="8">
        <v>0</v>
      </c>
      <c r="E139" s="2"/>
      <c r="F139" s="1" t="s">
        <v>6</v>
      </c>
      <c r="G139" s="2"/>
      <c r="H139" s="2" t="s">
        <v>2</v>
      </c>
      <c r="I139" s="8">
        <v>0</v>
      </c>
      <c r="J139" s="2"/>
      <c r="K139" s="1" t="s">
        <v>6</v>
      </c>
      <c r="L139" s="2"/>
      <c r="M139" s="2" t="s">
        <v>2</v>
      </c>
      <c r="N139" s="25">
        <f>'[3]KARNING 2021'!$D$497</f>
        <v>10000</v>
      </c>
      <c r="O139" s="3"/>
    </row>
    <row r="140" spans="1:15" ht="15" x14ac:dyDescent="0.35">
      <c r="A140" s="1" t="s">
        <v>7</v>
      </c>
      <c r="B140" s="2"/>
      <c r="C140" s="2" t="s">
        <v>2</v>
      </c>
      <c r="D140" s="8">
        <v>0</v>
      </c>
      <c r="E140" s="2"/>
      <c r="F140" s="1" t="s">
        <v>7</v>
      </c>
      <c r="G140" s="2"/>
      <c r="H140" s="2" t="s">
        <v>2</v>
      </c>
      <c r="I140" s="8">
        <v>0</v>
      </c>
      <c r="J140" s="2"/>
      <c r="K140" s="1" t="s">
        <v>7</v>
      </c>
      <c r="L140" s="2"/>
      <c r="M140" s="2" t="s">
        <v>2</v>
      </c>
      <c r="N140" s="25">
        <f>'[3]KARNING 2021'!$E$497</f>
        <v>50000</v>
      </c>
      <c r="O140" s="3"/>
    </row>
    <row r="141" spans="1:15" ht="15" x14ac:dyDescent="0.35">
      <c r="A141" s="1" t="s">
        <v>8</v>
      </c>
      <c r="B141" s="21">
        <v>0</v>
      </c>
      <c r="C141" s="2" t="s">
        <v>2</v>
      </c>
      <c r="D141" s="22">
        <v>0</v>
      </c>
      <c r="E141" s="2"/>
      <c r="F141" s="1" t="s">
        <v>8</v>
      </c>
      <c r="G141" s="2">
        <v>0</v>
      </c>
      <c r="H141" s="2" t="s">
        <v>2</v>
      </c>
      <c r="I141" s="8">
        <v>0</v>
      </c>
      <c r="J141" s="2"/>
      <c r="K141" s="1" t="s">
        <v>8</v>
      </c>
      <c r="L141" s="21">
        <v>24</v>
      </c>
      <c r="M141" s="2" t="s">
        <v>2</v>
      </c>
      <c r="N141" s="40">
        <f>[17]krnmei!$I$499</f>
        <v>150000</v>
      </c>
      <c r="O141" s="3"/>
    </row>
    <row r="142" spans="1:15" ht="15" x14ac:dyDescent="0.35">
      <c r="A142" s="1" t="s">
        <v>9</v>
      </c>
      <c r="B142" s="2"/>
      <c r="C142" s="2" t="s">
        <v>2</v>
      </c>
      <c r="D142" s="11">
        <v>0</v>
      </c>
      <c r="E142" s="2"/>
      <c r="F142" s="1" t="s">
        <v>9</v>
      </c>
      <c r="G142" s="2"/>
      <c r="H142" s="2" t="s">
        <v>2</v>
      </c>
      <c r="I142" s="8">
        <v>0</v>
      </c>
      <c r="J142" s="2"/>
      <c r="K142" s="1" t="s">
        <v>9</v>
      </c>
      <c r="L142" s="2"/>
      <c r="M142" s="2" t="s">
        <v>2</v>
      </c>
      <c r="N142" s="11">
        <f>[12]krnmei!$K$508</f>
        <v>529815</v>
      </c>
      <c r="O142" s="3"/>
    </row>
    <row r="143" spans="1:15" ht="15" x14ac:dyDescent="0.35">
      <c r="A143" s="1" t="s">
        <v>10</v>
      </c>
      <c r="B143" s="2">
        <v>0</v>
      </c>
      <c r="C143" s="2" t="s">
        <v>2</v>
      </c>
      <c r="D143" s="9">
        <v>0</v>
      </c>
      <c r="E143" s="2"/>
      <c r="F143" s="1" t="s">
        <v>10</v>
      </c>
      <c r="G143" s="2">
        <v>0</v>
      </c>
      <c r="H143" s="2" t="s">
        <v>2</v>
      </c>
      <c r="I143" s="8">
        <v>0</v>
      </c>
      <c r="J143" s="2"/>
      <c r="K143" s="1" t="s">
        <v>10</v>
      </c>
      <c r="L143" s="2"/>
      <c r="M143" s="2" t="s">
        <v>2</v>
      </c>
      <c r="N143" s="8">
        <v>0</v>
      </c>
      <c r="O143" s="3"/>
    </row>
    <row r="144" spans="1:15" ht="15" x14ac:dyDescent="0.35">
      <c r="A144" s="1" t="s">
        <v>11</v>
      </c>
      <c r="B144" s="2"/>
      <c r="C144" s="2" t="s">
        <v>2</v>
      </c>
      <c r="D144" s="22">
        <v>0</v>
      </c>
      <c r="E144" s="2"/>
      <c r="F144" s="1" t="s">
        <v>11</v>
      </c>
      <c r="G144" s="2"/>
      <c r="H144" s="2" t="s">
        <v>2</v>
      </c>
      <c r="I144" s="8">
        <v>0</v>
      </c>
      <c r="J144" s="2"/>
      <c r="K144" s="1" t="s">
        <v>11</v>
      </c>
      <c r="L144" s="2"/>
      <c r="M144" s="2" t="s">
        <v>2</v>
      </c>
      <c r="N144" s="22">
        <v>0</v>
      </c>
      <c r="O144" s="3"/>
    </row>
    <row r="145" spans="1:15" ht="15" x14ac:dyDescent="0.35">
      <c r="A145" s="1" t="s">
        <v>12</v>
      </c>
      <c r="B145" s="2"/>
      <c r="C145" s="2" t="s">
        <v>2</v>
      </c>
      <c r="D145" s="9">
        <v>0</v>
      </c>
      <c r="E145" s="2"/>
      <c r="F145" s="1" t="s">
        <v>12</v>
      </c>
      <c r="G145" s="2"/>
      <c r="H145" s="2" t="s">
        <v>2</v>
      </c>
      <c r="I145" s="8">
        <v>0</v>
      </c>
      <c r="J145" s="2"/>
      <c r="K145" s="1" t="s">
        <v>12</v>
      </c>
      <c r="L145" s="2"/>
      <c r="M145" s="2" t="s">
        <v>2</v>
      </c>
      <c r="N145" s="25">
        <v>0</v>
      </c>
      <c r="O145" s="3"/>
    </row>
    <row r="146" spans="1:15" ht="15" x14ac:dyDescent="0.35">
      <c r="A146" s="13" t="s">
        <v>13</v>
      </c>
      <c r="B146" s="5"/>
      <c r="C146" s="5" t="s">
        <v>2</v>
      </c>
      <c r="D146" s="14">
        <f>SUM(D138:D145)</f>
        <v>0</v>
      </c>
      <c r="E146" s="2"/>
      <c r="F146" s="13" t="s">
        <v>13</v>
      </c>
      <c r="G146" s="5"/>
      <c r="H146" s="5" t="s">
        <v>2</v>
      </c>
      <c r="I146" s="8">
        <f>SUM(I138:I145)</f>
        <v>0</v>
      </c>
      <c r="J146" s="2"/>
      <c r="K146" s="13" t="s">
        <v>13</v>
      </c>
      <c r="L146" s="5"/>
      <c r="M146" s="5" t="s">
        <v>2</v>
      </c>
      <c r="N146" s="24">
        <f>SUM(N138:N145)</f>
        <v>839815</v>
      </c>
      <c r="O146" s="3"/>
    </row>
    <row r="147" spans="1:15" ht="15" x14ac:dyDescent="0.35">
      <c r="A147" s="1" t="s">
        <v>14</v>
      </c>
      <c r="B147" s="2"/>
      <c r="C147" s="2" t="s">
        <v>2</v>
      </c>
      <c r="D147" s="27">
        <v>0</v>
      </c>
      <c r="E147" s="2"/>
      <c r="F147" s="1" t="s">
        <v>14</v>
      </c>
      <c r="G147" s="2"/>
      <c r="H147" s="2" t="s">
        <v>2</v>
      </c>
      <c r="I147" s="8">
        <v>0</v>
      </c>
      <c r="J147" s="2"/>
      <c r="K147" s="1" t="s">
        <v>14</v>
      </c>
      <c r="L147" s="2"/>
      <c r="M147" s="2" t="s">
        <v>2</v>
      </c>
      <c r="N147" s="27">
        <f>[12]krnmei!$J$508</f>
        <v>35171000</v>
      </c>
      <c r="O147" s="3"/>
    </row>
    <row r="148" spans="1:15" ht="15" x14ac:dyDescent="0.35">
      <c r="A148" s="1"/>
      <c r="B148" s="2"/>
      <c r="C148" s="15"/>
      <c r="D148" s="15" t="str">
        <f>D129</f>
        <v>Grogol, 01 Desember 2025</v>
      </c>
      <c r="E148" s="2"/>
      <c r="F148" s="1"/>
      <c r="G148" s="15"/>
      <c r="H148" s="15"/>
      <c r="I148" s="15" t="str">
        <f>I129</f>
        <v>Grogol, 01 Desember 2025</v>
      </c>
      <c r="J148" s="2"/>
      <c r="K148" s="1"/>
      <c r="L148" s="15"/>
      <c r="M148" s="15"/>
      <c r="N148" s="15" t="str">
        <f>N129</f>
        <v>Grogol, 01 Desember 2025</v>
      </c>
      <c r="O148" s="3"/>
    </row>
    <row r="149" spans="1:15" ht="15" x14ac:dyDescent="0.35">
      <c r="A149" s="1"/>
      <c r="B149" s="2"/>
      <c r="C149" s="2"/>
      <c r="D149" s="15" t="s">
        <v>15</v>
      </c>
      <c r="E149" s="15"/>
      <c r="F149" s="1"/>
      <c r="G149" s="2"/>
      <c r="H149" s="2"/>
      <c r="I149" s="15" t="s">
        <v>15</v>
      </c>
      <c r="J149" s="15"/>
      <c r="K149" s="1"/>
      <c r="L149" s="2"/>
      <c r="M149" s="2"/>
      <c r="N149" s="15" t="s">
        <v>15</v>
      </c>
      <c r="O149" s="16"/>
    </row>
    <row r="150" spans="1:15" ht="15" x14ac:dyDescent="0.35">
      <c r="A150" s="1"/>
      <c r="B150" s="2"/>
      <c r="C150" s="2"/>
      <c r="D150" s="15"/>
      <c r="E150" s="2"/>
      <c r="F150" s="1"/>
      <c r="G150" s="2"/>
      <c r="H150" s="2"/>
      <c r="I150" s="15"/>
      <c r="J150" s="2"/>
      <c r="K150" s="1"/>
      <c r="L150" s="2"/>
      <c r="M150" s="2"/>
      <c r="N150" s="15"/>
      <c r="O150" s="3"/>
    </row>
    <row r="151" spans="1:15" ht="15" x14ac:dyDescent="0.35">
      <c r="A151" s="1"/>
      <c r="B151" s="2"/>
      <c r="C151" s="2"/>
      <c r="D151" s="15"/>
      <c r="E151" s="2"/>
      <c r="F151" s="1"/>
      <c r="G151" s="2"/>
      <c r="H151" s="2"/>
      <c r="I151" s="15"/>
      <c r="J151" s="2"/>
      <c r="K151" s="1"/>
      <c r="L151" s="2"/>
      <c r="M151" s="2"/>
      <c r="N151" s="15"/>
      <c r="O151" s="3"/>
    </row>
    <row r="152" spans="1:15" ht="15.6" thickBot="1" x14ac:dyDescent="0.4">
      <c r="A152" s="17"/>
      <c r="B152" s="18"/>
      <c r="C152" s="18"/>
      <c r="D152" s="19" t="s">
        <v>16</v>
      </c>
      <c r="E152" s="18"/>
      <c r="F152" s="17"/>
      <c r="G152" s="18"/>
      <c r="H152" s="18"/>
      <c r="I152" s="19" t="s">
        <v>16</v>
      </c>
      <c r="J152" s="18"/>
      <c r="K152" s="17"/>
      <c r="L152" s="18"/>
      <c r="M152" s="18"/>
      <c r="N152" s="19" t="s">
        <v>16</v>
      </c>
      <c r="O152" s="20"/>
    </row>
    <row r="153" spans="1:15" ht="15" x14ac:dyDescent="0.35">
      <c r="A153" s="46" t="s">
        <v>0</v>
      </c>
      <c r="B153" s="47"/>
      <c r="C153" s="47"/>
      <c r="D153" s="47"/>
      <c r="E153" s="47"/>
      <c r="F153" s="46" t="s">
        <v>0</v>
      </c>
      <c r="G153" s="47"/>
      <c r="H153" s="47"/>
      <c r="I153" s="47"/>
      <c r="J153" s="47"/>
      <c r="K153" s="46" t="s">
        <v>0</v>
      </c>
      <c r="L153" s="47"/>
      <c r="M153" s="47"/>
      <c r="N153" s="47"/>
      <c r="O153" s="48"/>
    </row>
    <row r="154" spans="1:15" ht="15" x14ac:dyDescent="0.35">
      <c r="F154" s="1"/>
      <c r="G154" s="2"/>
      <c r="H154" s="2"/>
      <c r="I154" s="2"/>
      <c r="J154" s="2"/>
      <c r="K154" s="1"/>
      <c r="L154" s="2"/>
      <c r="M154" s="2"/>
      <c r="N154" s="2"/>
      <c r="O154" s="3"/>
    </row>
    <row r="155" spans="1:15" ht="15" x14ac:dyDescent="0.35">
      <c r="A155" s="1" t="s">
        <v>1</v>
      </c>
      <c r="B155" s="2" t="s">
        <v>2</v>
      </c>
      <c r="C155" s="51" t="s">
        <v>29</v>
      </c>
      <c r="D155" s="51"/>
      <c r="E155" s="4">
        <v>13</v>
      </c>
      <c r="F155" s="1" t="s">
        <v>1</v>
      </c>
      <c r="G155" s="2" t="s">
        <v>2</v>
      </c>
      <c r="H155" s="51"/>
      <c r="I155" s="51"/>
      <c r="J155" s="4"/>
      <c r="K155" s="1" t="s">
        <v>1</v>
      </c>
      <c r="L155" s="2" t="s">
        <v>2</v>
      </c>
      <c r="M155" s="51" t="s">
        <v>30</v>
      </c>
      <c r="N155" s="51"/>
      <c r="O155" s="6">
        <v>14</v>
      </c>
    </row>
    <row r="156" spans="1:15" ht="15" x14ac:dyDescent="0.35">
      <c r="A156" s="1" t="s">
        <v>4</v>
      </c>
      <c r="B156" s="2"/>
      <c r="C156" s="2" t="s">
        <v>2</v>
      </c>
      <c r="D156" s="2"/>
      <c r="F156" s="1" t="s">
        <v>4</v>
      </c>
      <c r="G156" s="2"/>
      <c r="H156" s="2" t="s">
        <v>2</v>
      </c>
      <c r="I156" s="2"/>
      <c r="J156" s="2"/>
      <c r="K156" s="1" t="s">
        <v>4</v>
      </c>
      <c r="L156" s="2"/>
      <c r="M156" s="2" t="s">
        <v>2</v>
      </c>
      <c r="N156" s="2"/>
      <c r="O156" s="3"/>
    </row>
    <row r="157" spans="1:15" ht="15" x14ac:dyDescent="0.35">
      <c r="A157" s="1" t="s">
        <v>5</v>
      </c>
      <c r="B157" s="2"/>
      <c r="C157" s="2" t="s">
        <v>2</v>
      </c>
      <c r="D157" s="25">
        <f>[22]krnmei!$C$516</f>
        <v>100000</v>
      </c>
      <c r="E157" s="2"/>
      <c r="F157" s="1" t="s">
        <v>66</v>
      </c>
      <c r="G157" s="2"/>
      <c r="H157" s="2" t="s">
        <v>2</v>
      </c>
      <c r="I157" s="25"/>
      <c r="J157" s="2"/>
      <c r="K157" s="1" t="s">
        <v>5</v>
      </c>
      <c r="L157" s="2"/>
      <c r="M157" s="2" t="s">
        <v>2</v>
      </c>
      <c r="N157" s="8">
        <f>'[3]KARNING 2021'!$C$548</f>
        <v>100000</v>
      </c>
      <c r="O157" s="3"/>
    </row>
    <row r="158" spans="1:15" ht="15" x14ac:dyDescent="0.35">
      <c r="A158" s="1" t="s">
        <v>6</v>
      </c>
      <c r="B158" s="2"/>
      <c r="C158" s="2" t="s">
        <v>2</v>
      </c>
      <c r="D158" s="25">
        <f>[22]krnmei!$D$516</f>
        <v>5000</v>
      </c>
      <c r="E158" s="2"/>
      <c r="F158" s="1" t="s">
        <v>6</v>
      </c>
      <c r="G158" s="2"/>
      <c r="H158" s="2" t="s">
        <v>2</v>
      </c>
      <c r="I158" s="25"/>
      <c r="J158" s="2"/>
      <c r="K158" s="1" t="s">
        <v>6</v>
      </c>
      <c r="L158" s="2"/>
      <c r="M158" s="2" t="s">
        <v>2</v>
      </c>
      <c r="N158" s="8">
        <f>'[3]KARNING 2021'!$D$548</f>
        <v>25000</v>
      </c>
      <c r="O158" s="3"/>
    </row>
    <row r="159" spans="1:15" ht="15" x14ac:dyDescent="0.35">
      <c r="A159" s="1" t="s">
        <v>7</v>
      </c>
      <c r="B159" s="2"/>
      <c r="C159" s="2" t="s">
        <v>2</v>
      </c>
      <c r="D159" s="8">
        <f>[22]krnmei!$E$516</f>
        <v>100000</v>
      </c>
      <c r="E159" s="2"/>
      <c r="F159" s="1" t="s">
        <v>7</v>
      </c>
      <c r="G159" s="2"/>
      <c r="H159" s="2" t="s">
        <v>2</v>
      </c>
      <c r="I159" s="25">
        <v>0</v>
      </c>
      <c r="J159" s="2"/>
      <c r="K159" s="1" t="s">
        <v>7</v>
      </c>
      <c r="L159" s="2"/>
      <c r="M159" s="2" t="s">
        <v>2</v>
      </c>
      <c r="N159" s="8">
        <f>[23]krnmei!$E$552</f>
        <v>300000</v>
      </c>
      <c r="O159" s="3"/>
    </row>
    <row r="160" spans="1:15" ht="15" x14ac:dyDescent="0.35">
      <c r="A160" s="1" t="s">
        <v>8</v>
      </c>
      <c r="B160" s="21">
        <v>25</v>
      </c>
      <c r="C160" s="2" t="s">
        <v>2</v>
      </c>
      <c r="D160" s="25">
        <v>400000</v>
      </c>
      <c r="E160" s="2"/>
      <c r="F160" s="1" t="s">
        <v>8</v>
      </c>
      <c r="G160" s="2">
        <v>0</v>
      </c>
      <c r="H160" s="2" t="s">
        <v>2</v>
      </c>
      <c r="I160" s="8">
        <v>0</v>
      </c>
      <c r="J160" s="2"/>
      <c r="K160" s="1" t="s">
        <v>8</v>
      </c>
      <c r="L160" s="2">
        <v>45</v>
      </c>
      <c r="M160" s="2" t="s">
        <v>2</v>
      </c>
      <c r="N160" s="8">
        <v>500000</v>
      </c>
      <c r="O160" s="3"/>
    </row>
    <row r="161" spans="1:15" ht="15" x14ac:dyDescent="0.35">
      <c r="A161" s="1" t="s">
        <v>9</v>
      </c>
      <c r="B161" s="2"/>
      <c r="C161" s="2" t="s">
        <v>2</v>
      </c>
      <c r="D161" s="11">
        <f>[12]krnmei!$K$525</f>
        <v>333000</v>
      </c>
      <c r="E161" s="2"/>
      <c r="F161" s="1" t="s">
        <v>9</v>
      </c>
      <c r="G161" s="2"/>
      <c r="H161" s="2" t="s">
        <v>2</v>
      </c>
      <c r="I161" s="11">
        <v>0</v>
      </c>
      <c r="J161" s="2"/>
      <c r="K161" s="1" t="s">
        <v>9</v>
      </c>
      <c r="L161" s="2"/>
      <c r="M161" s="2" t="s">
        <v>2</v>
      </c>
      <c r="N161" s="11">
        <f>[12]krnmei!$K$559</f>
        <v>292500</v>
      </c>
      <c r="O161" s="3"/>
    </row>
    <row r="162" spans="1:15" ht="15" x14ac:dyDescent="0.35">
      <c r="A162" s="1" t="s">
        <v>10</v>
      </c>
      <c r="B162" s="2"/>
      <c r="C162" s="2" t="s">
        <v>2</v>
      </c>
      <c r="D162" s="9">
        <v>0</v>
      </c>
      <c r="E162" s="2"/>
      <c r="F162" s="1" t="s">
        <v>10</v>
      </c>
      <c r="G162" s="2">
        <v>0</v>
      </c>
      <c r="H162" s="2" t="s">
        <v>2</v>
      </c>
      <c r="I162" s="8">
        <v>0</v>
      </c>
      <c r="J162" s="2"/>
      <c r="K162" s="1" t="s">
        <v>10</v>
      </c>
      <c r="L162" s="21"/>
      <c r="M162" s="2" t="s">
        <v>2</v>
      </c>
      <c r="N162" s="8"/>
      <c r="O162" s="3"/>
    </row>
    <row r="163" spans="1:15" ht="15" x14ac:dyDescent="0.35">
      <c r="A163" s="1" t="s">
        <v>11</v>
      </c>
      <c r="B163" s="2"/>
      <c r="C163" s="2" t="s">
        <v>2</v>
      </c>
      <c r="D163" s="8">
        <v>0</v>
      </c>
      <c r="E163" s="2"/>
      <c r="F163" s="1" t="s">
        <v>11</v>
      </c>
      <c r="G163" s="2"/>
      <c r="H163" s="2" t="s">
        <v>2</v>
      </c>
      <c r="I163" s="9">
        <v>0</v>
      </c>
      <c r="J163" s="2"/>
      <c r="K163" s="1" t="s">
        <v>11</v>
      </c>
      <c r="L163" s="2"/>
      <c r="M163" s="2" t="s">
        <v>2</v>
      </c>
      <c r="N163" s="27">
        <v>0</v>
      </c>
      <c r="O163" s="3"/>
    </row>
    <row r="164" spans="1:15" ht="15" x14ac:dyDescent="0.35">
      <c r="A164" s="1" t="s">
        <v>12</v>
      </c>
      <c r="B164" s="2"/>
      <c r="C164" s="2" t="s">
        <v>2</v>
      </c>
      <c r="D164" s="7">
        <v>0</v>
      </c>
      <c r="E164" s="2"/>
      <c r="F164" s="1" t="s">
        <v>12</v>
      </c>
      <c r="G164" s="2"/>
      <c r="H164" s="2" t="s">
        <v>2</v>
      </c>
      <c r="I164" s="7">
        <v>0</v>
      </c>
      <c r="J164" s="2"/>
      <c r="K164" s="1" t="s">
        <v>12</v>
      </c>
      <c r="L164" s="2"/>
      <c r="M164" s="2" t="s">
        <v>2</v>
      </c>
      <c r="N164" s="8">
        <f>'[3]KARNING 2021'!$F$548</f>
        <v>50000</v>
      </c>
      <c r="O164" s="3"/>
    </row>
    <row r="165" spans="1:15" ht="15" x14ac:dyDescent="0.35">
      <c r="A165" s="13" t="s">
        <v>13</v>
      </c>
      <c r="B165" s="5"/>
      <c r="C165" s="5" t="s">
        <v>2</v>
      </c>
      <c r="D165" s="24">
        <f>SUM(D157:D164)</f>
        <v>938000</v>
      </c>
      <c r="E165" s="2"/>
      <c r="F165" s="13" t="s">
        <v>13</v>
      </c>
      <c r="G165" s="5"/>
      <c r="H165" s="5" t="s">
        <v>2</v>
      </c>
      <c r="I165" s="24">
        <v>0</v>
      </c>
      <c r="J165" s="2"/>
      <c r="K165" s="13" t="s">
        <v>13</v>
      </c>
      <c r="L165" s="5"/>
      <c r="M165" s="5" t="s">
        <v>2</v>
      </c>
      <c r="N165" s="24">
        <f>SUM(N157:N164)</f>
        <v>1267500</v>
      </c>
      <c r="O165" s="3"/>
    </row>
    <row r="166" spans="1:15" ht="15" x14ac:dyDescent="0.35">
      <c r="A166" s="1" t="s">
        <v>14</v>
      </c>
      <c r="B166" s="2"/>
      <c r="C166" s="2" t="s">
        <v>2</v>
      </c>
      <c r="D166" s="25">
        <f>[12]krnmei!$J$525</f>
        <v>21800000</v>
      </c>
      <c r="E166" s="2"/>
      <c r="F166" s="1" t="s">
        <v>14</v>
      </c>
      <c r="G166" s="2"/>
      <c r="H166" s="2" t="s">
        <v>2</v>
      </c>
      <c r="I166" s="27">
        <v>0</v>
      </c>
      <c r="J166" s="2"/>
      <c r="K166" s="1" t="s">
        <v>14</v>
      </c>
      <c r="L166" s="2"/>
      <c r="M166" s="2" t="s">
        <v>2</v>
      </c>
      <c r="N166" s="25">
        <f>[12]krnmei!$J$559+4500000</f>
        <v>23500000</v>
      </c>
      <c r="O166" s="3"/>
    </row>
    <row r="167" spans="1:15" ht="15" x14ac:dyDescent="0.35">
      <c r="A167" s="1"/>
      <c r="B167" s="2"/>
      <c r="C167" s="15"/>
      <c r="D167" s="15" t="str">
        <f>D148</f>
        <v>Grogol, 01 Desember 2025</v>
      </c>
      <c r="E167" s="2"/>
      <c r="F167" s="1"/>
      <c r="G167" s="2"/>
      <c r="H167" s="15"/>
      <c r="I167" s="15" t="str">
        <f>D167</f>
        <v>Grogol, 01 Desember 2025</v>
      </c>
      <c r="J167" s="15"/>
      <c r="K167" s="1"/>
      <c r="L167" s="2"/>
      <c r="M167" s="15"/>
      <c r="N167" s="15" t="str">
        <f>I167</f>
        <v>Grogol, 01 Desember 2025</v>
      </c>
      <c r="O167" s="16"/>
    </row>
    <row r="168" spans="1:15" ht="15" x14ac:dyDescent="0.35">
      <c r="A168" s="1"/>
      <c r="B168" s="2"/>
      <c r="C168" s="2"/>
      <c r="D168" s="15" t="s">
        <v>15</v>
      </c>
      <c r="E168" s="15"/>
      <c r="F168" s="1"/>
      <c r="G168" s="2"/>
      <c r="H168" s="2"/>
      <c r="I168" s="15" t="s">
        <v>15</v>
      </c>
      <c r="J168" s="2"/>
      <c r="K168" s="1"/>
      <c r="L168" s="2"/>
      <c r="M168" s="2"/>
      <c r="N168" s="15" t="s">
        <v>15</v>
      </c>
      <c r="O168" s="3"/>
    </row>
    <row r="169" spans="1:15" ht="15" x14ac:dyDescent="0.35">
      <c r="A169" s="1"/>
      <c r="B169" s="2"/>
      <c r="C169" s="2"/>
      <c r="D169" s="15"/>
      <c r="E169" s="2"/>
      <c r="F169" s="1"/>
      <c r="G169" s="2"/>
      <c r="H169" s="2"/>
      <c r="I169" s="15"/>
      <c r="J169" s="2"/>
      <c r="K169" s="1"/>
      <c r="L169" s="2"/>
      <c r="M169" s="2"/>
      <c r="N169" s="15"/>
      <c r="O169" s="3"/>
    </row>
    <row r="170" spans="1:15" ht="15" x14ac:dyDescent="0.35">
      <c r="A170" s="1"/>
      <c r="B170" s="2"/>
      <c r="C170" s="2"/>
      <c r="D170" s="15"/>
      <c r="E170" s="2"/>
      <c r="F170" s="1"/>
      <c r="G170" s="2"/>
      <c r="H170" s="2"/>
      <c r="I170" s="15"/>
      <c r="J170" s="2"/>
      <c r="K170" s="1"/>
      <c r="L170" s="2"/>
      <c r="M170" s="2"/>
      <c r="N170" s="15"/>
      <c r="O170" s="3"/>
    </row>
    <row r="171" spans="1:15" ht="15.6" thickBot="1" x14ac:dyDescent="0.4">
      <c r="A171" s="17"/>
      <c r="B171" s="18"/>
      <c r="C171" s="18"/>
      <c r="D171" s="19" t="s">
        <v>16</v>
      </c>
      <c r="E171" s="18"/>
      <c r="F171" s="17"/>
      <c r="G171" s="18"/>
      <c r="H171" s="18"/>
      <c r="I171" s="19" t="s">
        <v>16</v>
      </c>
      <c r="J171" s="18"/>
      <c r="K171" s="17"/>
      <c r="L171" s="18"/>
      <c r="M171" s="18"/>
      <c r="N171" s="19" t="s">
        <v>16</v>
      </c>
      <c r="O171" s="20"/>
    </row>
    <row r="172" spans="1:15" ht="15" x14ac:dyDescent="0.35">
      <c r="A172" s="46" t="s">
        <v>0</v>
      </c>
      <c r="B172" s="47"/>
      <c r="C172" s="47"/>
      <c r="D172" s="47"/>
      <c r="E172" s="47"/>
      <c r="F172" s="46" t="s">
        <v>0</v>
      </c>
      <c r="G172" s="47"/>
      <c r="H172" s="47"/>
      <c r="I172" s="47"/>
      <c r="J172" s="47"/>
      <c r="K172" s="46" t="s">
        <v>0</v>
      </c>
      <c r="L172" s="47"/>
      <c r="M172" s="47"/>
      <c r="N172" s="47"/>
      <c r="O172" s="48"/>
    </row>
    <row r="173" spans="1:15" ht="15" x14ac:dyDescent="0.35">
      <c r="A173" s="1"/>
      <c r="B173" s="2"/>
      <c r="C173" s="2"/>
      <c r="D173" s="2"/>
      <c r="E173" s="2"/>
      <c r="F173" s="1"/>
      <c r="G173" s="2"/>
      <c r="H173" s="2"/>
      <c r="I173" s="2"/>
      <c r="J173" s="2"/>
      <c r="K173" s="1"/>
      <c r="L173" s="2"/>
      <c r="M173" s="2"/>
      <c r="N173" s="2"/>
      <c r="O173" s="3"/>
    </row>
    <row r="174" spans="1:15" ht="15" x14ac:dyDescent="0.35">
      <c r="A174" s="1" t="s">
        <v>1</v>
      </c>
      <c r="B174" s="2" t="s">
        <v>2</v>
      </c>
      <c r="C174" s="50" t="s">
        <v>31</v>
      </c>
      <c r="D174" s="50"/>
      <c r="E174" s="4">
        <v>15</v>
      </c>
      <c r="F174" s="1" t="s">
        <v>1</v>
      </c>
      <c r="G174" s="2" t="s">
        <v>2</v>
      </c>
      <c r="H174" s="50" t="s">
        <v>32</v>
      </c>
      <c r="I174" s="50"/>
      <c r="J174" s="4">
        <v>16</v>
      </c>
      <c r="K174" s="1" t="s">
        <v>1</v>
      </c>
      <c r="L174" s="2" t="s">
        <v>2</v>
      </c>
      <c r="M174" s="50" t="s">
        <v>33</v>
      </c>
      <c r="N174" s="50"/>
      <c r="O174" s="6">
        <v>17</v>
      </c>
    </row>
    <row r="175" spans="1:15" ht="15" x14ac:dyDescent="0.35">
      <c r="A175" s="1" t="s">
        <v>4</v>
      </c>
      <c r="B175" s="2"/>
      <c r="C175" s="2" t="s">
        <v>2</v>
      </c>
      <c r="D175" s="2"/>
      <c r="F175" s="1" t="s">
        <v>4</v>
      </c>
      <c r="G175" s="2"/>
      <c r="H175" s="2" t="s">
        <v>2</v>
      </c>
      <c r="I175" s="2"/>
      <c r="J175" s="2"/>
      <c r="K175" s="1" t="s">
        <v>4</v>
      </c>
      <c r="L175" s="2"/>
      <c r="M175" s="2" t="s">
        <v>2</v>
      </c>
      <c r="N175" s="2"/>
      <c r="O175" s="3"/>
    </row>
    <row r="176" spans="1:15" ht="15" x14ac:dyDescent="0.35">
      <c r="A176" s="1" t="s">
        <v>5</v>
      </c>
      <c r="B176" s="2"/>
      <c r="C176" s="2" t="s">
        <v>2</v>
      </c>
      <c r="D176" s="8">
        <f>'[3]KARNING 2021'!$C$565</f>
        <v>100000</v>
      </c>
      <c r="E176" s="2"/>
      <c r="F176" s="1" t="s">
        <v>5</v>
      </c>
      <c r="G176" s="2"/>
      <c r="H176" s="2" t="s">
        <v>2</v>
      </c>
      <c r="I176" s="8">
        <f>'[3]KARNING 2021'!$C$582</f>
        <v>100000</v>
      </c>
      <c r="J176" s="2"/>
      <c r="K176" s="1" t="s">
        <v>5</v>
      </c>
      <c r="L176" s="2"/>
      <c r="M176" s="2" t="s">
        <v>2</v>
      </c>
      <c r="N176" s="8">
        <v>100000</v>
      </c>
      <c r="O176" s="3"/>
    </row>
    <row r="177" spans="1:15" ht="15" x14ac:dyDescent="0.35">
      <c r="A177" s="1" t="s">
        <v>6</v>
      </c>
      <c r="B177" s="2"/>
      <c r="C177" s="2" t="s">
        <v>2</v>
      </c>
      <c r="D177" s="8">
        <f>[17]krnmei!$D$567</f>
        <v>100000</v>
      </c>
      <c r="E177" s="2"/>
      <c r="F177" s="1" t="s">
        <v>6</v>
      </c>
      <c r="G177" s="2"/>
      <c r="H177" s="2" t="s">
        <v>2</v>
      </c>
      <c r="I177" s="8">
        <f>'[3]KARNING 2021'!$D$582</f>
        <v>25000</v>
      </c>
      <c r="J177" s="2"/>
      <c r="K177" s="1" t="s">
        <v>6</v>
      </c>
      <c r="L177" s="2"/>
      <c r="M177" s="2" t="s">
        <v>2</v>
      </c>
      <c r="N177" s="8">
        <v>25000</v>
      </c>
      <c r="O177" s="3"/>
    </row>
    <row r="178" spans="1:15" ht="15" x14ac:dyDescent="0.35">
      <c r="A178" s="1" t="s">
        <v>7</v>
      </c>
      <c r="B178" s="2"/>
      <c r="C178" s="2" t="s">
        <v>2</v>
      </c>
      <c r="D178" s="8">
        <f>'[3]KARNING 2021'!$E$565</f>
        <v>300000</v>
      </c>
      <c r="E178" s="2"/>
      <c r="F178" s="1" t="s">
        <v>7</v>
      </c>
      <c r="G178" s="2"/>
      <c r="H178" s="2" t="s">
        <v>2</v>
      </c>
      <c r="I178" s="8">
        <f>[4]krnmei!$F$581</f>
        <v>0</v>
      </c>
      <c r="J178" s="2"/>
      <c r="K178" s="1" t="s">
        <v>7</v>
      </c>
      <c r="L178" s="2"/>
      <c r="M178" s="2" t="s">
        <v>2</v>
      </c>
      <c r="N178" s="8">
        <v>100000</v>
      </c>
      <c r="O178" s="3"/>
    </row>
    <row r="179" spans="1:15" ht="15" x14ac:dyDescent="0.35">
      <c r="A179" s="1" t="s">
        <v>8</v>
      </c>
      <c r="B179" s="21">
        <v>40</v>
      </c>
      <c r="C179" s="2" t="s">
        <v>2</v>
      </c>
      <c r="D179" s="8">
        <f>[24]krnmei!$I$572</f>
        <v>1000000</v>
      </c>
      <c r="E179" s="2"/>
      <c r="F179" s="1" t="s">
        <v>8</v>
      </c>
      <c r="G179" s="21">
        <v>0</v>
      </c>
      <c r="H179" s="2" t="s">
        <v>2</v>
      </c>
      <c r="I179" s="8">
        <v>0</v>
      </c>
      <c r="J179" s="2"/>
      <c r="K179" s="1" t="s">
        <v>8</v>
      </c>
      <c r="L179" s="2">
        <v>6</v>
      </c>
      <c r="M179" s="2" t="s">
        <v>2</v>
      </c>
      <c r="N179" s="8">
        <f>[25]krnmei!$I$1063</f>
        <v>400000</v>
      </c>
      <c r="O179" s="3"/>
    </row>
    <row r="180" spans="1:15" ht="15" x14ac:dyDescent="0.35">
      <c r="A180" s="1" t="s">
        <v>9</v>
      </c>
      <c r="B180" s="2"/>
      <c r="C180" s="2" t="s">
        <v>2</v>
      </c>
      <c r="D180" s="11">
        <f>[12]krnmei!$K$576</f>
        <v>405000</v>
      </c>
      <c r="E180" s="2"/>
      <c r="F180" s="1" t="s">
        <v>9</v>
      </c>
      <c r="G180" s="2"/>
      <c r="H180" s="2" t="s">
        <v>2</v>
      </c>
      <c r="I180" s="11">
        <v>0</v>
      </c>
      <c r="J180" s="2"/>
      <c r="K180" s="1" t="s">
        <v>9</v>
      </c>
      <c r="L180" s="2"/>
      <c r="M180" s="2" t="s">
        <v>2</v>
      </c>
      <c r="N180" s="30">
        <f>[12]krnmei!$K$1069</f>
        <v>186000</v>
      </c>
      <c r="O180" s="3"/>
    </row>
    <row r="181" spans="1:15" ht="15" x14ac:dyDescent="0.35">
      <c r="A181" s="1" t="s">
        <v>10</v>
      </c>
      <c r="B181" s="2">
        <v>0</v>
      </c>
      <c r="C181" s="2" t="s">
        <v>2</v>
      </c>
      <c r="D181" s="8">
        <v>0</v>
      </c>
      <c r="E181" s="2"/>
      <c r="F181" s="1" t="s">
        <v>10</v>
      </c>
      <c r="G181" s="2">
        <v>0</v>
      </c>
      <c r="H181" s="2" t="s">
        <v>2</v>
      </c>
      <c r="I181" s="8">
        <v>0</v>
      </c>
      <c r="J181" s="2"/>
      <c r="K181" s="1" t="s">
        <v>10</v>
      </c>
      <c r="L181" s="2"/>
      <c r="M181" s="2" t="s">
        <v>2</v>
      </c>
      <c r="N181" s="8"/>
      <c r="O181" s="3"/>
    </row>
    <row r="182" spans="1:15" ht="15" x14ac:dyDescent="0.35">
      <c r="A182" s="1" t="s">
        <v>11</v>
      </c>
      <c r="B182" s="2"/>
      <c r="C182" s="2" t="s">
        <v>2</v>
      </c>
      <c r="D182" s="9">
        <v>0</v>
      </c>
      <c r="E182" s="2"/>
      <c r="F182" s="1" t="s">
        <v>11</v>
      </c>
      <c r="G182" s="2"/>
      <c r="H182" s="2" t="s">
        <v>2</v>
      </c>
      <c r="I182" s="9">
        <f>[26]krnmei!$P$587</f>
        <v>0</v>
      </c>
      <c r="J182" s="2"/>
      <c r="K182" s="1" t="s">
        <v>11</v>
      </c>
      <c r="L182" s="2"/>
      <c r="M182" s="2" t="s">
        <v>2</v>
      </c>
      <c r="N182" s="8">
        <v>0</v>
      </c>
      <c r="O182" s="3"/>
    </row>
    <row r="183" spans="1:15" ht="15" x14ac:dyDescent="0.35">
      <c r="A183" s="1" t="s">
        <v>12</v>
      </c>
      <c r="B183" s="2"/>
      <c r="C183" s="2" t="s">
        <v>2</v>
      </c>
      <c r="D183" s="8">
        <f>[1]krnmei!$F$566</f>
        <v>1000000</v>
      </c>
      <c r="E183" s="2"/>
      <c r="F183" s="1" t="s">
        <v>12</v>
      </c>
      <c r="G183" s="2"/>
      <c r="H183" s="2" t="s">
        <v>2</v>
      </c>
      <c r="I183" s="8">
        <f>[4]krnmei!$F$581</f>
        <v>0</v>
      </c>
      <c r="J183" s="2"/>
      <c r="K183" s="1" t="s">
        <v>12</v>
      </c>
      <c r="L183" s="2"/>
      <c r="M183" s="2" t="s">
        <v>2</v>
      </c>
      <c r="N183" s="8">
        <v>0</v>
      </c>
      <c r="O183" s="3"/>
    </row>
    <row r="184" spans="1:15" ht="15" x14ac:dyDescent="0.35">
      <c r="A184" s="13" t="s">
        <v>13</v>
      </c>
      <c r="B184" s="5"/>
      <c r="C184" s="5" t="s">
        <v>2</v>
      </c>
      <c r="D184" s="24">
        <f>SUM(D176:D183)</f>
        <v>2905000</v>
      </c>
      <c r="E184" s="2"/>
      <c r="F184" s="13" t="s">
        <v>13</v>
      </c>
      <c r="G184" s="5"/>
      <c r="H184" s="5" t="s">
        <v>2</v>
      </c>
      <c r="I184" s="8">
        <f>SUM(I176:I183)</f>
        <v>125000</v>
      </c>
      <c r="J184" s="2"/>
      <c r="K184" s="13" t="s">
        <v>13</v>
      </c>
      <c r="L184" s="5"/>
      <c r="M184" s="5" t="s">
        <v>2</v>
      </c>
      <c r="N184" s="8">
        <f>SUM(N176:N183)</f>
        <v>811000</v>
      </c>
      <c r="O184" s="3"/>
    </row>
    <row r="185" spans="1:15" ht="15" x14ac:dyDescent="0.35">
      <c r="A185" s="1" t="s">
        <v>14</v>
      </c>
      <c r="B185" s="2"/>
      <c r="C185" s="2" t="s">
        <v>2</v>
      </c>
      <c r="D185" s="25">
        <f>[12]krnmei!$J$576</f>
        <v>26000000</v>
      </c>
      <c r="E185" s="2"/>
      <c r="F185" s="1" t="s">
        <v>14</v>
      </c>
      <c r="G185" s="2"/>
      <c r="H185" s="2" t="s">
        <v>2</v>
      </c>
      <c r="I185" s="8">
        <f>[7]krnmei!$J$592</f>
        <v>0</v>
      </c>
      <c r="J185" s="2"/>
      <c r="K185" s="1" t="s">
        <v>14</v>
      </c>
      <c r="L185" s="2"/>
      <c r="M185" s="2" t="s">
        <v>2</v>
      </c>
      <c r="N185" s="8">
        <f>[12]krnmei!$J$1069</f>
        <v>12000000</v>
      </c>
      <c r="O185" s="3"/>
    </row>
    <row r="186" spans="1:15" ht="15" x14ac:dyDescent="0.35">
      <c r="A186" s="1"/>
      <c r="B186" s="2"/>
      <c r="C186" s="15"/>
      <c r="D186" s="15" t="str">
        <f>D167</f>
        <v>Grogol, 01 Desember 2025</v>
      </c>
      <c r="E186" s="2"/>
      <c r="F186" s="1"/>
      <c r="G186" s="2"/>
      <c r="H186" s="15"/>
      <c r="I186" s="15" t="str">
        <f>D167</f>
        <v>Grogol, 01 Desember 2025</v>
      </c>
      <c r="J186" s="15"/>
      <c r="K186" s="1"/>
      <c r="L186" s="2"/>
      <c r="M186" s="15"/>
      <c r="N186" s="15" t="str">
        <f>D167</f>
        <v>Grogol, 01 Desember 2025</v>
      </c>
      <c r="O186" s="16"/>
    </row>
    <row r="187" spans="1:15" ht="15" x14ac:dyDescent="0.35">
      <c r="A187" s="1"/>
      <c r="B187" s="2"/>
      <c r="C187" s="2"/>
      <c r="D187" s="15" t="s">
        <v>15</v>
      </c>
      <c r="E187" s="15"/>
      <c r="F187" s="1"/>
      <c r="G187" s="2"/>
      <c r="H187" s="2"/>
      <c r="I187" s="15" t="s">
        <v>15</v>
      </c>
      <c r="J187" s="2"/>
      <c r="K187" s="1"/>
      <c r="L187" s="2"/>
      <c r="M187" s="2"/>
      <c r="N187" s="15" t="s">
        <v>15</v>
      </c>
      <c r="O187" s="3"/>
    </row>
    <row r="188" spans="1:15" ht="15" x14ac:dyDescent="0.35">
      <c r="A188" s="1"/>
      <c r="B188" s="2"/>
      <c r="C188" s="2"/>
      <c r="D188" s="15"/>
      <c r="E188" s="2"/>
      <c r="F188" s="1"/>
      <c r="G188" s="2"/>
      <c r="H188" s="2"/>
      <c r="I188" s="15"/>
      <c r="J188" s="2"/>
      <c r="K188" s="1"/>
      <c r="L188" s="2"/>
      <c r="M188" s="2"/>
      <c r="N188" s="15"/>
      <c r="O188" s="3"/>
    </row>
    <row r="189" spans="1:15" ht="15" x14ac:dyDescent="0.35">
      <c r="A189" s="1"/>
      <c r="B189" s="2"/>
      <c r="C189" s="2"/>
      <c r="D189" s="15"/>
      <c r="E189" s="2"/>
      <c r="F189" s="1"/>
      <c r="G189" s="2"/>
      <c r="H189" s="2"/>
      <c r="I189" s="15"/>
      <c r="J189" s="2"/>
      <c r="K189" s="1"/>
      <c r="L189" s="2"/>
      <c r="M189" s="2"/>
      <c r="N189" s="15"/>
      <c r="O189" s="3"/>
    </row>
    <row r="190" spans="1:15" ht="15.6" thickBot="1" x14ac:dyDescent="0.4">
      <c r="A190" s="17"/>
      <c r="B190" s="18"/>
      <c r="C190" s="18"/>
      <c r="D190" s="19" t="s">
        <v>16</v>
      </c>
      <c r="E190" s="20"/>
      <c r="F190" s="17"/>
      <c r="G190" s="18"/>
      <c r="H190" s="18"/>
      <c r="I190" s="19" t="s">
        <v>16</v>
      </c>
      <c r="J190" s="18"/>
      <c r="K190" s="17"/>
      <c r="L190" s="18"/>
      <c r="M190" s="18"/>
      <c r="N190" s="19" t="s">
        <v>16</v>
      </c>
      <c r="O190" s="20"/>
    </row>
    <row r="191" spans="1:15" ht="15" x14ac:dyDescent="0.35">
      <c r="A191" s="46" t="s">
        <v>0</v>
      </c>
      <c r="B191" s="47"/>
      <c r="C191" s="47"/>
      <c r="D191" s="47"/>
      <c r="E191" s="47"/>
      <c r="F191" s="46" t="s">
        <v>0</v>
      </c>
      <c r="G191" s="47"/>
      <c r="H191" s="47"/>
      <c r="I191" s="47"/>
      <c r="J191" s="47"/>
      <c r="K191" s="46" t="s">
        <v>0</v>
      </c>
      <c r="L191" s="47"/>
      <c r="M191" s="47"/>
      <c r="N191" s="47"/>
      <c r="O191" s="48"/>
    </row>
    <row r="192" spans="1:15" ht="15" x14ac:dyDescent="0.35">
      <c r="A192" s="1"/>
      <c r="B192" s="2"/>
      <c r="C192" s="2"/>
      <c r="D192" s="2"/>
      <c r="E192" s="2"/>
      <c r="F192" s="1"/>
      <c r="G192" s="2"/>
      <c r="H192" s="2"/>
      <c r="I192" s="2"/>
      <c r="J192" s="2"/>
      <c r="K192" s="1"/>
      <c r="L192" s="2"/>
      <c r="M192" s="2"/>
      <c r="N192" s="2"/>
      <c r="O192" s="3"/>
    </row>
    <row r="193" spans="1:15" ht="15" x14ac:dyDescent="0.35">
      <c r="A193" s="1" t="s">
        <v>1</v>
      </c>
      <c r="B193" s="2" t="s">
        <v>2</v>
      </c>
      <c r="C193" s="5" t="str">
        <f>[27]krnmei!$B$1123</f>
        <v>DEWI RATRI KALINGGA</v>
      </c>
      <c r="D193" s="5"/>
      <c r="E193" s="4">
        <v>42</v>
      </c>
      <c r="F193" s="1" t="s">
        <v>1</v>
      </c>
      <c r="G193" s="2" t="s">
        <v>2</v>
      </c>
      <c r="H193" s="50" t="s">
        <v>75</v>
      </c>
      <c r="I193" s="50"/>
      <c r="J193" s="4">
        <v>54</v>
      </c>
      <c r="K193" s="1" t="s">
        <v>1</v>
      </c>
      <c r="L193" s="2" t="s">
        <v>2</v>
      </c>
      <c r="M193" s="5" t="s">
        <v>34</v>
      </c>
      <c r="N193" s="5"/>
      <c r="O193" s="6">
        <v>22</v>
      </c>
    </row>
    <row r="194" spans="1:15" ht="15" x14ac:dyDescent="0.35">
      <c r="A194" s="1" t="s">
        <v>4</v>
      </c>
      <c r="B194" s="2"/>
      <c r="C194" s="2" t="s">
        <v>2</v>
      </c>
      <c r="D194" s="2"/>
      <c r="F194" s="1" t="s">
        <v>4</v>
      </c>
      <c r="G194" s="2"/>
      <c r="H194" s="2" t="s">
        <v>2</v>
      </c>
      <c r="I194" s="2"/>
      <c r="J194" s="2"/>
      <c r="K194" s="1" t="s">
        <v>4</v>
      </c>
      <c r="L194" s="2"/>
      <c r="M194" s="2" t="s">
        <v>2</v>
      </c>
      <c r="N194" s="2"/>
      <c r="O194" s="3"/>
    </row>
    <row r="195" spans="1:15" ht="15" x14ac:dyDescent="0.35">
      <c r="A195" s="1" t="s">
        <v>5</v>
      </c>
      <c r="B195" s="2"/>
      <c r="C195" s="2" t="s">
        <v>2</v>
      </c>
      <c r="D195" s="8">
        <f>[27]krnmei!$C$1129</f>
        <v>15000</v>
      </c>
      <c r="E195" s="2"/>
      <c r="F195" s="1" t="s">
        <v>5</v>
      </c>
      <c r="G195" s="2"/>
      <c r="H195" s="2" t="s">
        <v>2</v>
      </c>
      <c r="I195" s="8">
        <f>[1]krnmei!$C$1381</f>
        <v>10000</v>
      </c>
      <c r="J195" s="2"/>
      <c r="K195" s="1" t="s">
        <v>5</v>
      </c>
      <c r="L195" s="2"/>
      <c r="M195" s="2" t="s">
        <v>2</v>
      </c>
      <c r="N195" s="7">
        <f>[28]krnmei!$C$656</f>
        <v>100000</v>
      </c>
      <c r="O195" s="3"/>
    </row>
    <row r="196" spans="1:15" ht="15" x14ac:dyDescent="0.35">
      <c r="A196" s="1" t="s">
        <v>6</v>
      </c>
      <c r="B196" s="2"/>
      <c r="C196" s="2" t="s">
        <v>2</v>
      </c>
      <c r="D196" s="8">
        <f>[29]krnmei!$D$1126</f>
        <v>10000</v>
      </c>
      <c r="E196" s="2"/>
      <c r="F196" s="1" t="s">
        <v>6</v>
      </c>
      <c r="G196" s="2"/>
      <c r="H196" s="2" t="s">
        <v>2</v>
      </c>
      <c r="I196" s="8">
        <f>[1]krnmei!$D$1381</f>
        <v>30000</v>
      </c>
      <c r="J196" s="2"/>
      <c r="K196" s="1" t="s">
        <v>6</v>
      </c>
      <c r="L196" s="2"/>
      <c r="M196" s="2" t="s">
        <v>2</v>
      </c>
      <c r="N196" s="7">
        <f>[5]krnmei!$D$654</f>
        <v>100000</v>
      </c>
      <c r="O196" s="3"/>
    </row>
    <row r="197" spans="1:15" ht="15" x14ac:dyDescent="0.35">
      <c r="A197" s="1" t="s">
        <v>7</v>
      </c>
      <c r="B197" s="2"/>
      <c r="C197" s="2" t="s">
        <v>2</v>
      </c>
      <c r="D197" s="8">
        <f>[5]krnmei!$E$1130</f>
        <v>100000</v>
      </c>
      <c r="E197" s="2"/>
      <c r="F197" s="1" t="s">
        <v>7</v>
      </c>
      <c r="G197" s="2"/>
      <c r="H197" s="2" t="s">
        <v>2</v>
      </c>
      <c r="I197" s="8">
        <f>[1]krnmei!$E$1382</f>
        <v>50000</v>
      </c>
      <c r="J197" s="2"/>
      <c r="K197" s="1" t="s">
        <v>7</v>
      </c>
      <c r="L197" s="2"/>
      <c r="M197" s="2" t="s">
        <v>2</v>
      </c>
      <c r="N197" s="7">
        <f>[5]krnmei!$E$654</f>
        <v>200000</v>
      </c>
      <c r="O197" s="3"/>
    </row>
    <row r="198" spans="1:15" ht="15" x14ac:dyDescent="0.35">
      <c r="A198" s="1" t="s">
        <v>8</v>
      </c>
      <c r="B198" s="2">
        <v>23</v>
      </c>
      <c r="C198" s="2" t="s">
        <v>2</v>
      </c>
      <c r="D198" s="8">
        <v>500000</v>
      </c>
      <c r="E198" s="2"/>
      <c r="F198" s="1" t="s">
        <v>8</v>
      </c>
      <c r="G198" s="2"/>
      <c r="H198" s="2" t="s">
        <v>2</v>
      </c>
      <c r="I198" s="8"/>
      <c r="J198" s="2"/>
      <c r="K198" s="1" t="s">
        <v>8</v>
      </c>
      <c r="L198" s="2"/>
      <c r="M198" s="2" t="s">
        <v>2</v>
      </c>
      <c r="N198" s="2">
        <v>0</v>
      </c>
      <c r="O198" s="3"/>
    </row>
    <row r="199" spans="1:15" ht="15" x14ac:dyDescent="0.35">
      <c r="A199" s="1" t="s">
        <v>9</v>
      </c>
      <c r="B199" s="2"/>
      <c r="C199" s="2" t="s">
        <v>2</v>
      </c>
      <c r="D199" s="30">
        <f>[12]krnmei!$K$1137</f>
        <v>115875</v>
      </c>
      <c r="E199" s="2"/>
      <c r="F199" s="1" t="s">
        <v>9</v>
      </c>
      <c r="G199" s="2"/>
      <c r="H199" s="2" t="s">
        <v>2</v>
      </c>
      <c r="I199" s="30">
        <f>[18]krnmei!$K$1390</f>
        <v>0</v>
      </c>
      <c r="J199" s="2"/>
      <c r="K199" s="1" t="s">
        <v>9</v>
      </c>
      <c r="L199" s="2"/>
      <c r="M199" s="2" t="s">
        <v>2</v>
      </c>
      <c r="N199" s="2">
        <v>0</v>
      </c>
      <c r="O199" s="3"/>
    </row>
    <row r="200" spans="1:15" ht="15" x14ac:dyDescent="0.35">
      <c r="A200" s="1" t="s">
        <v>10</v>
      </c>
      <c r="B200" s="2"/>
      <c r="C200" s="2" t="s">
        <v>2</v>
      </c>
      <c r="D200" s="8"/>
      <c r="E200" s="2"/>
      <c r="F200" s="1" t="s">
        <v>10</v>
      </c>
      <c r="G200" s="2"/>
      <c r="H200" s="2" t="s">
        <v>2</v>
      </c>
      <c r="I200" s="8"/>
      <c r="J200" s="2"/>
      <c r="K200" s="1" t="s">
        <v>10</v>
      </c>
      <c r="L200" s="2"/>
      <c r="M200" s="2" t="s">
        <v>2</v>
      </c>
      <c r="N200" s="2">
        <v>0</v>
      </c>
      <c r="O200" s="3"/>
    </row>
    <row r="201" spans="1:15" ht="15" x14ac:dyDescent="0.35">
      <c r="A201" s="1" t="s">
        <v>11</v>
      </c>
      <c r="B201" s="2"/>
      <c r="C201" s="2" t="s">
        <v>2</v>
      </c>
      <c r="D201" s="8">
        <v>0</v>
      </c>
      <c r="E201" s="2"/>
      <c r="F201" s="1" t="s">
        <v>11</v>
      </c>
      <c r="G201" s="2"/>
      <c r="H201" s="2" t="s">
        <v>2</v>
      </c>
      <c r="I201" s="9">
        <f>[7]krnmei!$P$1391</f>
        <v>120000</v>
      </c>
      <c r="J201" s="2"/>
      <c r="K201" s="1" t="s">
        <v>11</v>
      </c>
      <c r="L201" s="2"/>
      <c r="M201" s="2" t="s">
        <v>2</v>
      </c>
      <c r="N201" s="2">
        <v>0</v>
      </c>
      <c r="O201" s="3"/>
    </row>
    <row r="202" spans="1:15" ht="15" x14ac:dyDescent="0.35">
      <c r="A202" s="1" t="s">
        <v>12</v>
      </c>
      <c r="B202" s="2"/>
      <c r="C202" s="2" t="s">
        <v>2</v>
      </c>
      <c r="D202" s="8">
        <v>225000</v>
      </c>
      <c r="E202" s="2"/>
      <c r="F202" s="1" t="s">
        <v>12</v>
      </c>
      <c r="G202" s="2"/>
      <c r="H202" s="2" t="s">
        <v>2</v>
      </c>
      <c r="I202" s="8">
        <f>[1]krnmei!$F$1382</f>
        <v>10000</v>
      </c>
      <c r="J202" s="2"/>
      <c r="K202" s="1" t="s">
        <v>12</v>
      </c>
      <c r="L202" s="2"/>
      <c r="M202" s="2" t="s">
        <v>2</v>
      </c>
      <c r="N202" s="7">
        <f>[5]krnmei!$F$654</f>
        <v>400000</v>
      </c>
      <c r="O202" s="3"/>
    </row>
    <row r="203" spans="1:15" ht="15" x14ac:dyDescent="0.35">
      <c r="A203" s="13" t="s">
        <v>13</v>
      </c>
      <c r="B203" s="5"/>
      <c r="C203" s="5" t="s">
        <v>2</v>
      </c>
      <c r="D203" s="8">
        <f>SUM(D195:D202)</f>
        <v>965875</v>
      </c>
      <c r="E203" s="2"/>
      <c r="F203" s="13" t="s">
        <v>13</v>
      </c>
      <c r="G203" s="5"/>
      <c r="H203" s="5" t="s">
        <v>2</v>
      </c>
      <c r="I203" s="14">
        <f>SUM(I195:I202)</f>
        <v>220000</v>
      </c>
      <c r="J203" s="2"/>
      <c r="K203" s="13" t="s">
        <v>13</v>
      </c>
      <c r="L203" s="5"/>
      <c r="M203" s="5" t="s">
        <v>2</v>
      </c>
      <c r="N203" s="14">
        <f>SUM(N195:N202)</f>
        <v>800000</v>
      </c>
      <c r="O203" s="3"/>
    </row>
    <row r="204" spans="1:15" ht="15" x14ac:dyDescent="0.35">
      <c r="A204" s="1" t="s">
        <v>14</v>
      </c>
      <c r="B204" s="2"/>
      <c r="C204" s="2" t="s">
        <v>2</v>
      </c>
      <c r="D204" s="8">
        <f>[12]krnmei!$J$1137</f>
        <v>7225000</v>
      </c>
      <c r="E204" s="2"/>
      <c r="F204" s="1" t="s">
        <v>14</v>
      </c>
      <c r="G204" s="2"/>
      <c r="H204" s="2" t="s">
        <v>2</v>
      </c>
      <c r="I204" s="7">
        <f>[7]krnmei!$O$1391</f>
        <v>6000000</v>
      </c>
      <c r="J204" s="2"/>
      <c r="K204" s="1" t="s">
        <v>14</v>
      </c>
      <c r="L204" s="2"/>
      <c r="M204" s="2" t="s">
        <v>2</v>
      </c>
      <c r="N204" s="7">
        <v>0</v>
      </c>
      <c r="O204" s="3"/>
    </row>
    <row r="205" spans="1:15" ht="15" x14ac:dyDescent="0.35">
      <c r="A205" s="1"/>
      <c r="B205" s="2"/>
      <c r="C205" s="15"/>
      <c r="D205" s="15" t="str">
        <f>D186</f>
        <v>Grogol, 01 Desember 2025</v>
      </c>
      <c r="E205" s="2"/>
      <c r="F205" s="1"/>
      <c r="G205" s="2"/>
      <c r="H205" s="15"/>
      <c r="I205" s="15" t="str">
        <f>D205</f>
        <v>Grogol, 01 Desember 2025</v>
      </c>
      <c r="J205" s="15"/>
      <c r="K205" s="1"/>
      <c r="L205" s="2"/>
      <c r="M205" s="15"/>
      <c r="N205" s="15" t="str">
        <f>I205</f>
        <v>Grogol, 01 Desember 2025</v>
      </c>
      <c r="O205" s="16"/>
    </row>
    <row r="206" spans="1:15" ht="15" x14ac:dyDescent="0.35">
      <c r="A206" s="1"/>
      <c r="B206" s="2"/>
      <c r="C206" s="2"/>
      <c r="D206" s="15" t="s">
        <v>15</v>
      </c>
      <c r="E206" s="15"/>
      <c r="F206" s="1"/>
      <c r="G206" s="2"/>
      <c r="H206" s="2"/>
      <c r="I206" s="15" t="s">
        <v>15</v>
      </c>
      <c r="J206" s="2"/>
      <c r="K206" s="1"/>
      <c r="L206" s="2"/>
      <c r="M206" s="2"/>
      <c r="N206" s="15" t="s">
        <v>15</v>
      </c>
      <c r="O206" s="3"/>
    </row>
    <row r="207" spans="1:15" ht="15" x14ac:dyDescent="0.35">
      <c r="A207" s="1"/>
      <c r="B207" s="2"/>
      <c r="C207" s="2"/>
      <c r="D207" s="15"/>
      <c r="E207" s="2"/>
      <c r="F207" s="1"/>
      <c r="G207" s="2"/>
      <c r="H207" s="2"/>
      <c r="I207" s="15"/>
      <c r="J207" s="2"/>
      <c r="K207" s="1"/>
      <c r="L207" s="2"/>
      <c r="M207" s="2"/>
      <c r="N207" s="15"/>
      <c r="O207" s="3"/>
    </row>
    <row r="208" spans="1:15" ht="15" x14ac:dyDescent="0.35">
      <c r="A208" s="1"/>
      <c r="B208" s="2"/>
      <c r="C208" s="2"/>
      <c r="D208" s="15"/>
      <c r="E208" s="2"/>
      <c r="F208" s="1"/>
      <c r="G208" s="2"/>
      <c r="H208" s="2"/>
      <c r="I208" s="15"/>
      <c r="J208" s="2"/>
      <c r="K208" s="1"/>
      <c r="L208" s="2"/>
      <c r="M208" s="2"/>
      <c r="N208" s="15"/>
      <c r="O208" s="3"/>
    </row>
    <row r="209" spans="1:15" ht="15.6" thickBot="1" x14ac:dyDescent="0.4">
      <c r="A209" s="17"/>
      <c r="B209" s="18"/>
      <c r="C209" s="18"/>
      <c r="D209" s="19" t="s">
        <v>16</v>
      </c>
      <c r="E209" s="18"/>
      <c r="F209" s="17"/>
      <c r="G209" s="18"/>
      <c r="H209" s="18"/>
      <c r="I209" s="19" t="s">
        <v>16</v>
      </c>
      <c r="J209" s="18"/>
      <c r="K209" s="17"/>
      <c r="L209" s="18"/>
      <c r="M209" s="18"/>
      <c r="N209" s="19" t="s">
        <v>16</v>
      </c>
      <c r="O209" s="20"/>
    </row>
    <row r="210" spans="1:15" ht="15" x14ac:dyDescent="0.35">
      <c r="A210" s="46" t="s">
        <v>0</v>
      </c>
      <c r="B210" s="47"/>
      <c r="C210" s="47"/>
      <c r="D210" s="47"/>
      <c r="E210" s="47"/>
      <c r="F210" s="46" t="s">
        <v>0</v>
      </c>
      <c r="G210" s="47"/>
      <c r="H210" s="47"/>
      <c r="I210" s="47"/>
      <c r="J210" s="47"/>
      <c r="K210" s="46" t="s">
        <v>0</v>
      </c>
      <c r="L210" s="47"/>
      <c r="M210" s="47"/>
      <c r="N210" s="47"/>
      <c r="O210" s="48"/>
    </row>
    <row r="211" spans="1:15" ht="15" x14ac:dyDescent="0.35">
      <c r="A211" s="1"/>
      <c r="B211" s="2"/>
      <c r="C211" s="2"/>
      <c r="D211" s="2"/>
      <c r="E211" s="2"/>
      <c r="F211" s="1"/>
      <c r="G211" s="2"/>
      <c r="H211" s="2"/>
      <c r="I211" s="2"/>
      <c r="J211" s="2"/>
      <c r="K211" s="1"/>
      <c r="L211" s="2"/>
      <c r="M211" s="2"/>
      <c r="N211" s="2"/>
      <c r="O211" s="3"/>
    </row>
    <row r="212" spans="1:15" ht="15" x14ac:dyDescent="0.35">
      <c r="A212" s="1" t="s">
        <v>1</v>
      </c>
      <c r="B212" s="2" t="s">
        <v>2</v>
      </c>
      <c r="C212" s="50" t="str">
        <f>[17]krnmei!$B$1174</f>
        <v>SRI WAHYUNINGSIH</v>
      </c>
      <c r="D212" s="50"/>
      <c r="E212" s="4">
        <v>45</v>
      </c>
      <c r="F212" s="1" t="s">
        <v>1</v>
      </c>
      <c r="G212" s="2" t="s">
        <v>2</v>
      </c>
      <c r="H212" s="50" t="s">
        <v>35</v>
      </c>
      <c r="I212" s="50"/>
      <c r="J212" s="4">
        <v>30</v>
      </c>
      <c r="K212" s="1" t="s">
        <v>1</v>
      </c>
      <c r="L212" s="2" t="s">
        <v>2</v>
      </c>
      <c r="M212" s="52" t="s">
        <v>70</v>
      </c>
      <c r="N212" s="52"/>
      <c r="O212" s="6">
        <v>29</v>
      </c>
    </row>
    <row r="213" spans="1:15" ht="15" x14ac:dyDescent="0.35">
      <c r="A213" s="1" t="s">
        <v>4</v>
      </c>
      <c r="B213" s="2"/>
      <c r="C213" s="2" t="s">
        <v>2</v>
      </c>
      <c r="D213" s="2"/>
      <c r="F213" s="1" t="s">
        <v>4</v>
      </c>
      <c r="G213" s="2"/>
      <c r="H213" s="2" t="s">
        <v>2</v>
      </c>
      <c r="I213" s="2"/>
      <c r="J213" s="2"/>
      <c r="K213" s="1" t="s">
        <v>4</v>
      </c>
      <c r="L213" s="2"/>
      <c r="M213" s="2" t="s">
        <v>2</v>
      </c>
      <c r="N213" s="2"/>
      <c r="O213" s="3"/>
    </row>
    <row r="214" spans="1:15" ht="15" x14ac:dyDescent="0.35">
      <c r="A214" s="1" t="s">
        <v>5</v>
      </c>
      <c r="B214" s="2"/>
      <c r="C214" s="2" t="s">
        <v>2</v>
      </c>
      <c r="D214" s="8">
        <f>'[3]KARNING 2021'!$C$667</f>
        <v>100000</v>
      </c>
      <c r="E214" s="2"/>
      <c r="F214" s="1" t="s">
        <v>83</v>
      </c>
      <c r="G214" s="2"/>
      <c r="H214" s="2" t="s">
        <v>2</v>
      </c>
      <c r="I214" s="8">
        <f>[18]krnmei!$C$693</f>
        <v>15000</v>
      </c>
      <c r="J214" s="2"/>
      <c r="K214" s="1" t="s">
        <v>82</v>
      </c>
      <c r="L214" s="2"/>
      <c r="M214" s="2" t="s">
        <v>2</v>
      </c>
      <c r="N214" s="8">
        <v>100000</v>
      </c>
      <c r="O214" s="3"/>
    </row>
    <row r="215" spans="1:15" ht="15" x14ac:dyDescent="0.35">
      <c r="A215" s="1" t="s">
        <v>6</v>
      </c>
      <c r="B215" s="2"/>
      <c r="C215" s="2" t="s">
        <v>2</v>
      </c>
      <c r="D215" s="8">
        <f>'[3]KARNING 2021'!$D$667</f>
        <v>25000</v>
      </c>
      <c r="E215" s="2"/>
      <c r="F215" s="1" t="s">
        <v>6</v>
      </c>
      <c r="G215" s="2"/>
      <c r="H215" s="2" t="s">
        <v>2</v>
      </c>
      <c r="I215" s="8">
        <f>'[3]KARNING 2021'!$D$684</f>
        <v>10000</v>
      </c>
      <c r="J215" s="2"/>
      <c r="K215" s="1" t="s">
        <v>6</v>
      </c>
      <c r="L215" s="2"/>
      <c r="M215" s="2" t="s">
        <v>2</v>
      </c>
      <c r="N215" s="8">
        <v>50000</v>
      </c>
      <c r="O215" s="3"/>
    </row>
    <row r="216" spans="1:15" ht="15" x14ac:dyDescent="0.35">
      <c r="A216" s="1" t="s">
        <v>7</v>
      </c>
      <c r="B216" s="2"/>
      <c r="C216" s="2" t="s">
        <v>2</v>
      </c>
      <c r="D216" s="8">
        <f>[30]krnmei!$E$1183+50000</f>
        <v>100000</v>
      </c>
      <c r="E216" s="2"/>
      <c r="F216" s="1" t="s">
        <v>7</v>
      </c>
      <c r="G216" s="2"/>
      <c r="H216" s="2" t="s">
        <v>2</v>
      </c>
      <c r="I216" s="8">
        <f>[10]krnmei!$E$689</f>
        <v>200000</v>
      </c>
      <c r="J216" s="2"/>
      <c r="K216" s="1" t="s">
        <v>7</v>
      </c>
      <c r="L216" s="2"/>
      <c r="M216" s="2" t="s">
        <v>2</v>
      </c>
      <c r="N216" s="8">
        <v>100000</v>
      </c>
      <c r="O216" s="3"/>
    </row>
    <row r="217" spans="1:15" ht="15" x14ac:dyDescent="0.35">
      <c r="A217" s="1" t="s">
        <v>8</v>
      </c>
      <c r="B217" s="21"/>
      <c r="C217" s="2" t="s">
        <v>2</v>
      </c>
      <c r="D217" s="25"/>
      <c r="E217" s="2"/>
      <c r="F217" s="1" t="s">
        <v>8</v>
      </c>
      <c r="G217" s="21">
        <v>5</v>
      </c>
      <c r="H217" s="2" t="s">
        <v>2</v>
      </c>
      <c r="I217" s="8">
        <f>[31]krnmei!$I$691</f>
        <v>1500000</v>
      </c>
      <c r="J217" s="2"/>
      <c r="K217" s="1" t="s">
        <v>8</v>
      </c>
      <c r="L217" s="21">
        <v>0</v>
      </c>
      <c r="M217" s="2"/>
      <c r="N217" s="25">
        <v>0</v>
      </c>
      <c r="O217" s="3"/>
    </row>
    <row r="218" spans="1:15" ht="15" x14ac:dyDescent="0.35">
      <c r="A218" s="1" t="s">
        <v>9</v>
      </c>
      <c r="B218" s="2"/>
      <c r="C218" s="2" t="s">
        <v>2</v>
      </c>
      <c r="D218" s="25">
        <v>0</v>
      </c>
      <c r="E218" s="2"/>
      <c r="F218" s="1" t="s">
        <v>9</v>
      </c>
      <c r="G218" s="2"/>
      <c r="H218" s="2" t="s">
        <v>2</v>
      </c>
      <c r="I218" s="11">
        <f>[12]krnmei!$K$695</f>
        <v>210000</v>
      </c>
      <c r="J218" s="2"/>
      <c r="K218" s="1" t="s">
        <v>9</v>
      </c>
      <c r="L218" s="2"/>
      <c r="M218" s="2" t="s">
        <v>2</v>
      </c>
      <c r="N218" s="11">
        <v>0</v>
      </c>
      <c r="O218" s="3"/>
    </row>
    <row r="219" spans="1:15" ht="15" x14ac:dyDescent="0.35">
      <c r="A219" s="1" t="s">
        <v>10</v>
      </c>
      <c r="B219" s="2"/>
      <c r="C219" s="2" t="s">
        <v>2</v>
      </c>
      <c r="D219" s="8">
        <v>0</v>
      </c>
      <c r="E219" s="2"/>
      <c r="F219" s="1" t="s">
        <v>10</v>
      </c>
      <c r="G219" s="2"/>
      <c r="H219" s="2" t="s">
        <v>2</v>
      </c>
      <c r="I219" s="8">
        <v>0</v>
      </c>
      <c r="J219" s="2"/>
      <c r="K219" s="1" t="s">
        <v>10</v>
      </c>
      <c r="L219" s="2">
        <v>0</v>
      </c>
      <c r="M219" s="2" t="s">
        <v>2</v>
      </c>
      <c r="N219" s="8">
        <v>0</v>
      </c>
      <c r="O219" s="3"/>
    </row>
    <row r="220" spans="1:15" ht="15" x14ac:dyDescent="0.35">
      <c r="A220" s="1" t="s">
        <v>11</v>
      </c>
      <c r="B220" s="2"/>
      <c r="C220" s="2" t="s">
        <v>2</v>
      </c>
      <c r="D220" s="25">
        <v>0</v>
      </c>
      <c r="E220" s="2"/>
      <c r="F220" s="1" t="s">
        <v>11</v>
      </c>
      <c r="G220" s="2"/>
      <c r="H220" s="2" t="s">
        <v>2</v>
      </c>
      <c r="I220" s="9">
        <f>-I2190</f>
        <v>0</v>
      </c>
      <c r="J220" s="2"/>
      <c r="K220" s="1" t="s">
        <v>11</v>
      </c>
      <c r="L220" s="2"/>
      <c r="M220" s="2" t="s">
        <v>2</v>
      </c>
      <c r="N220" s="8">
        <v>0</v>
      </c>
      <c r="O220" s="3"/>
    </row>
    <row r="221" spans="1:15" ht="15" x14ac:dyDescent="0.35">
      <c r="A221" s="1" t="s">
        <v>12</v>
      </c>
      <c r="B221" s="2"/>
      <c r="C221" s="2" t="s">
        <v>2</v>
      </c>
      <c r="D221" s="7">
        <f>[17]krnmei!$F$1179</f>
        <v>25000</v>
      </c>
      <c r="E221" s="2"/>
      <c r="F221" s="1" t="s">
        <v>12</v>
      </c>
      <c r="G221" s="2"/>
      <c r="H221" s="2" t="s">
        <v>2</v>
      </c>
      <c r="I221" s="8">
        <f>[4]krnmei!$F$684</f>
        <v>0</v>
      </c>
      <c r="J221" s="2"/>
      <c r="K221" s="1" t="s">
        <v>12</v>
      </c>
      <c r="L221" s="2"/>
      <c r="M221" s="2" t="s">
        <v>2</v>
      </c>
      <c r="N221" s="8">
        <v>50000</v>
      </c>
      <c r="O221" s="3"/>
    </row>
    <row r="222" spans="1:15" ht="15" x14ac:dyDescent="0.35">
      <c r="A222" s="13" t="s">
        <v>13</v>
      </c>
      <c r="B222" s="5"/>
      <c r="C222" s="5" t="s">
        <v>2</v>
      </c>
      <c r="D222" s="24">
        <f>SUM(D214:D221)</f>
        <v>250000</v>
      </c>
      <c r="E222" s="2"/>
      <c r="F222" s="13" t="s">
        <v>13</v>
      </c>
      <c r="G222" s="5"/>
      <c r="H222" s="5" t="s">
        <v>2</v>
      </c>
      <c r="I222" s="24">
        <f>SUM(I214:I221)</f>
        <v>1935000</v>
      </c>
      <c r="J222" s="2"/>
      <c r="K222" s="13" t="s">
        <v>13</v>
      </c>
      <c r="L222" s="5"/>
      <c r="M222" s="5" t="s">
        <v>2</v>
      </c>
      <c r="N222" s="24">
        <f>SUM(N214:N221)</f>
        <v>300000</v>
      </c>
      <c r="O222" s="3"/>
    </row>
    <row r="223" spans="1:15" ht="15" x14ac:dyDescent="0.35">
      <c r="A223" s="1" t="s">
        <v>14</v>
      </c>
      <c r="B223" s="2"/>
      <c r="C223" s="2" t="s">
        <v>2</v>
      </c>
      <c r="D223" s="25">
        <v>0</v>
      </c>
      <c r="E223" s="2"/>
      <c r="F223" s="1" t="s">
        <v>14</v>
      </c>
      <c r="G223" s="2"/>
      <c r="H223" s="2" t="s">
        <v>2</v>
      </c>
      <c r="I223" s="25">
        <f>[12]krnmei!$J$695</f>
        <v>12500000</v>
      </c>
      <c r="J223" s="2"/>
      <c r="K223" s="1" t="s">
        <v>14</v>
      </c>
      <c r="L223" s="2"/>
      <c r="M223" s="2" t="s">
        <v>2</v>
      </c>
      <c r="N223" s="25">
        <v>0</v>
      </c>
      <c r="O223" s="3"/>
    </row>
    <row r="224" spans="1:15" ht="15" x14ac:dyDescent="0.35">
      <c r="A224" s="1"/>
      <c r="B224" s="2"/>
      <c r="C224" s="15"/>
      <c r="D224" s="15" t="str">
        <f>D205</f>
        <v>Grogol, 01 Desember 2025</v>
      </c>
      <c r="E224" s="2"/>
      <c r="F224" s="1"/>
      <c r="G224" s="2"/>
      <c r="H224" s="15"/>
      <c r="I224" s="15" t="str">
        <f>D224</f>
        <v>Grogol, 01 Desember 2025</v>
      </c>
      <c r="J224" s="15"/>
      <c r="K224" s="1"/>
      <c r="L224" s="2"/>
      <c r="M224" s="15"/>
      <c r="N224" s="15" t="str">
        <f>I224</f>
        <v>Grogol, 01 Desember 2025</v>
      </c>
      <c r="O224" s="16"/>
    </row>
    <row r="225" spans="1:15" ht="15" x14ac:dyDescent="0.35">
      <c r="A225" s="1"/>
      <c r="B225" s="2"/>
      <c r="C225" s="2"/>
      <c r="D225" s="15" t="s">
        <v>15</v>
      </c>
      <c r="E225" s="15"/>
      <c r="F225" s="1"/>
      <c r="G225" s="2"/>
      <c r="H225" s="2"/>
      <c r="I225" s="15" t="s">
        <v>15</v>
      </c>
      <c r="J225" s="2"/>
      <c r="K225" s="1"/>
      <c r="L225" s="2"/>
      <c r="M225" s="2"/>
      <c r="N225" s="15" t="s">
        <v>15</v>
      </c>
      <c r="O225" s="3"/>
    </row>
    <row r="226" spans="1:15" ht="15" x14ac:dyDescent="0.35">
      <c r="A226" s="1"/>
      <c r="B226" s="2"/>
      <c r="C226" s="2"/>
      <c r="D226" s="15"/>
      <c r="E226" s="2"/>
      <c r="F226" s="1"/>
      <c r="G226" s="2"/>
      <c r="H226" s="2"/>
      <c r="I226" s="15"/>
      <c r="J226" s="2"/>
      <c r="K226" s="1"/>
      <c r="L226" s="2"/>
      <c r="M226" s="2"/>
      <c r="N226" s="15"/>
      <c r="O226" s="3"/>
    </row>
    <row r="227" spans="1:15" ht="15" x14ac:dyDescent="0.35">
      <c r="A227" s="1"/>
      <c r="B227" s="2"/>
      <c r="C227" s="2"/>
      <c r="D227" s="15"/>
      <c r="E227" s="2"/>
      <c r="F227" s="1"/>
      <c r="G227" s="2"/>
      <c r="H227" s="2"/>
      <c r="I227" s="15"/>
      <c r="J227" s="2"/>
      <c r="K227" s="1"/>
      <c r="L227" s="2"/>
      <c r="M227" s="2"/>
      <c r="N227" s="15"/>
      <c r="O227" s="3"/>
    </row>
    <row r="228" spans="1:15" ht="15.6" thickBot="1" x14ac:dyDescent="0.4">
      <c r="A228" s="17"/>
      <c r="B228" s="18"/>
      <c r="C228" s="18"/>
      <c r="D228" s="19" t="s">
        <v>16</v>
      </c>
      <c r="E228" s="18"/>
      <c r="F228" s="17"/>
      <c r="G228" s="18"/>
      <c r="H228" s="18"/>
      <c r="I228" s="19" t="s">
        <v>16</v>
      </c>
      <c r="J228" s="18"/>
      <c r="K228" s="17"/>
      <c r="L228" s="18"/>
      <c r="M228" s="18"/>
      <c r="N228" s="19" t="s">
        <v>16</v>
      </c>
      <c r="O228" s="20"/>
    </row>
    <row r="229" spans="1:15" ht="15" x14ac:dyDescent="0.35">
      <c r="A229" s="46" t="s">
        <v>0</v>
      </c>
      <c r="B229" s="47"/>
      <c r="C229" s="47"/>
      <c r="D229" s="47"/>
      <c r="E229" s="47"/>
      <c r="F229" s="46" t="s">
        <v>0</v>
      </c>
      <c r="G229" s="47"/>
      <c r="H229" s="47"/>
      <c r="I229" s="47"/>
      <c r="J229" s="47"/>
      <c r="K229" s="46" t="s">
        <v>0</v>
      </c>
      <c r="L229" s="47"/>
      <c r="M229" s="47"/>
      <c r="N229" s="47"/>
      <c r="O229" s="48"/>
    </row>
    <row r="230" spans="1:15" ht="15" x14ac:dyDescent="0.35">
      <c r="A230" s="1"/>
      <c r="B230" s="2"/>
      <c r="C230" s="2"/>
      <c r="D230" s="2"/>
      <c r="E230" s="2"/>
      <c r="F230" s="1"/>
      <c r="G230" s="2"/>
      <c r="H230" s="2"/>
      <c r="I230" s="2"/>
      <c r="J230" s="2"/>
      <c r="K230" s="1"/>
      <c r="L230" s="2"/>
      <c r="M230" s="2"/>
      <c r="N230" s="2"/>
      <c r="O230" s="3"/>
    </row>
    <row r="231" spans="1:15" ht="15" x14ac:dyDescent="0.35">
      <c r="A231" s="1" t="s">
        <v>1</v>
      </c>
      <c r="B231" s="2" t="s">
        <v>2</v>
      </c>
      <c r="C231" s="5"/>
      <c r="D231" s="5" t="str">
        <f>[17]krnmei!$B$1157</f>
        <v>FAHIMAH D</v>
      </c>
      <c r="E231" s="4">
        <v>21</v>
      </c>
      <c r="F231" s="1" t="s">
        <v>1</v>
      </c>
      <c r="G231" s="2" t="s">
        <v>2</v>
      </c>
      <c r="H231" s="51" t="s">
        <v>36</v>
      </c>
      <c r="I231" s="51"/>
      <c r="J231" s="4">
        <v>31</v>
      </c>
      <c r="K231" s="1" t="s">
        <v>1</v>
      </c>
      <c r="L231" s="2" t="s">
        <v>2</v>
      </c>
      <c r="M231" s="51" t="s">
        <v>37</v>
      </c>
      <c r="N231" s="51"/>
      <c r="O231" s="6">
        <v>32</v>
      </c>
    </row>
    <row r="232" spans="1:15" ht="15" x14ac:dyDescent="0.35">
      <c r="A232" s="1" t="s">
        <v>4</v>
      </c>
      <c r="B232" s="2"/>
      <c r="C232" s="2" t="s">
        <v>2</v>
      </c>
      <c r="D232" s="2"/>
      <c r="F232" s="1" t="s">
        <v>4</v>
      </c>
      <c r="G232" s="2"/>
      <c r="H232" s="2" t="s">
        <v>2</v>
      </c>
      <c r="I232" s="2"/>
      <c r="J232" s="2"/>
      <c r="K232" s="1" t="s">
        <v>4</v>
      </c>
      <c r="L232" s="2"/>
      <c r="M232" s="2" t="s">
        <v>2</v>
      </c>
      <c r="N232" s="2"/>
      <c r="O232" s="3"/>
    </row>
    <row r="233" spans="1:15" ht="15" x14ac:dyDescent="0.35">
      <c r="A233" s="1" t="s">
        <v>5</v>
      </c>
      <c r="B233" s="2"/>
      <c r="C233" s="2" t="s">
        <v>2</v>
      </c>
      <c r="D233" s="8">
        <f>[17]krnmei!$C$1162</f>
        <v>100000</v>
      </c>
      <c r="E233" s="2"/>
      <c r="F233" s="1" t="s">
        <v>5</v>
      </c>
      <c r="G233" s="2"/>
      <c r="H233" s="2" t="s">
        <v>2</v>
      </c>
      <c r="I233" s="8">
        <f>[18]krnmei!$C$744</f>
        <v>15000</v>
      </c>
      <c r="J233" s="2"/>
      <c r="K233" s="1" t="s">
        <v>5</v>
      </c>
      <c r="L233" s="2"/>
      <c r="M233" s="2" t="s">
        <v>2</v>
      </c>
      <c r="N233" s="8">
        <f>'[3]KARNING 2021'!$C$752</f>
        <v>10000</v>
      </c>
      <c r="O233" s="3"/>
    </row>
    <row r="234" spans="1:15" ht="15" x14ac:dyDescent="0.35">
      <c r="A234" s="1" t="s">
        <v>6</v>
      </c>
      <c r="B234" s="2"/>
      <c r="C234" s="2" t="s">
        <v>2</v>
      </c>
      <c r="D234" s="8">
        <v>100000</v>
      </c>
      <c r="E234" s="2"/>
      <c r="F234" s="1" t="s">
        <v>6</v>
      </c>
      <c r="G234" s="2"/>
      <c r="H234" s="2" t="s">
        <v>2</v>
      </c>
      <c r="I234" s="8">
        <f>'[3]KARNING 2021'!$D$735</f>
        <v>5000</v>
      </c>
      <c r="J234" s="2"/>
      <c r="K234" s="1" t="s">
        <v>6</v>
      </c>
      <c r="L234" s="2"/>
      <c r="M234" s="2" t="s">
        <v>2</v>
      </c>
      <c r="N234" s="8">
        <f>'[3]KARNING 2021'!$D$752</f>
        <v>15000</v>
      </c>
      <c r="O234" s="3"/>
    </row>
    <row r="235" spans="1:15" ht="15" x14ac:dyDescent="0.35">
      <c r="A235" s="1" t="s">
        <v>7</v>
      </c>
      <c r="B235" s="2"/>
      <c r="C235" s="2" t="s">
        <v>2</v>
      </c>
      <c r="D235" s="8">
        <f>[17]krnmei!$E$1162</f>
        <v>50000</v>
      </c>
      <c r="E235" s="2"/>
      <c r="F235" s="1" t="s">
        <v>7</v>
      </c>
      <c r="G235" s="2"/>
      <c r="H235" s="2" t="s">
        <v>2</v>
      </c>
      <c r="I235" s="8">
        <f>'[3]KARNING 2021'!$E$735</f>
        <v>150000</v>
      </c>
      <c r="J235" s="2"/>
      <c r="K235" s="1" t="s">
        <v>7</v>
      </c>
      <c r="L235" s="2"/>
      <c r="M235" s="2" t="s">
        <v>2</v>
      </c>
      <c r="N235" s="8">
        <v>0</v>
      </c>
      <c r="O235" s="3"/>
    </row>
    <row r="236" spans="1:15" ht="15" x14ac:dyDescent="0.35">
      <c r="A236" s="1" t="s">
        <v>8</v>
      </c>
      <c r="B236" s="21"/>
      <c r="C236" s="2" t="s">
        <v>2</v>
      </c>
      <c r="D236" s="8">
        <v>0</v>
      </c>
      <c r="E236" s="2"/>
      <c r="F236" s="1" t="s">
        <v>8</v>
      </c>
      <c r="G236" s="2">
        <v>35</v>
      </c>
      <c r="H236" s="2" t="s">
        <v>2</v>
      </c>
      <c r="I236" s="8">
        <f>[32]krnmei!$I$736</f>
        <v>250000</v>
      </c>
      <c r="J236" s="2"/>
      <c r="K236" s="1" t="s">
        <v>8</v>
      </c>
      <c r="L236" s="2">
        <v>62</v>
      </c>
      <c r="M236" s="2" t="s">
        <v>2</v>
      </c>
      <c r="N236" s="8">
        <f>[4]krnmei!$I$752</f>
        <v>200000</v>
      </c>
      <c r="O236" s="3"/>
    </row>
    <row r="237" spans="1:15" ht="15" x14ac:dyDescent="0.35">
      <c r="A237" s="1" t="s">
        <v>9</v>
      </c>
      <c r="B237" s="2"/>
      <c r="C237" s="2" t="s">
        <v>2</v>
      </c>
      <c r="D237" s="30">
        <f>[11]krnmei!$K$1169</f>
        <v>0</v>
      </c>
      <c r="E237" s="2"/>
      <c r="F237" s="1" t="s">
        <v>9</v>
      </c>
      <c r="G237" s="2"/>
      <c r="H237" s="2" t="s">
        <v>2</v>
      </c>
      <c r="I237" s="30">
        <f>[12]krnmei!$K$746</f>
        <v>97500</v>
      </c>
      <c r="J237" s="2"/>
      <c r="K237" s="1" t="s">
        <v>9</v>
      </c>
      <c r="L237" s="2"/>
      <c r="M237" s="2" t="s">
        <v>2</v>
      </c>
      <c r="N237" s="11">
        <f>[12]krnmei!$K$763</f>
        <v>107250</v>
      </c>
      <c r="O237" s="3"/>
    </row>
    <row r="238" spans="1:15" ht="15" x14ac:dyDescent="0.35">
      <c r="A238" s="1" t="s">
        <v>10</v>
      </c>
      <c r="B238" s="2"/>
      <c r="C238" s="2" t="s">
        <v>2</v>
      </c>
      <c r="D238" s="8">
        <v>0</v>
      </c>
      <c r="E238" s="2"/>
      <c r="F238" s="1" t="s">
        <v>10</v>
      </c>
      <c r="G238" s="2">
        <v>0</v>
      </c>
      <c r="H238" s="2" t="s">
        <v>2</v>
      </c>
      <c r="I238" s="8">
        <v>0</v>
      </c>
      <c r="J238" s="2"/>
      <c r="K238" s="1" t="s">
        <v>10</v>
      </c>
      <c r="L238" s="21">
        <v>0</v>
      </c>
      <c r="M238" s="2" t="s">
        <v>2</v>
      </c>
      <c r="N238" s="8"/>
      <c r="O238" s="3"/>
    </row>
    <row r="239" spans="1:15" ht="15" x14ac:dyDescent="0.35">
      <c r="A239" s="1" t="s">
        <v>11</v>
      </c>
      <c r="B239" s="2"/>
      <c r="C239" s="2" t="s">
        <v>2</v>
      </c>
      <c r="D239" s="9">
        <f>[12]krnmei!$P$1171</f>
        <v>160000</v>
      </c>
      <c r="E239" s="2"/>
      <c r="F239" s="1" t="s">
        <v>11</v>
      </c>
      <c r="G239" s="2"/>
      <c r="H239" s="2" t="s">
        <v>2</v>
      </c>
      <c r="I239" s="9">
        <v>0</v>
      </c>
      <c r="J239" s="2"/>
      <c r="K239" s="1" t="s">
        <v>11</v>
      </c>
      <c r="L239" s="2"/>
      <c r="M239" s="2" t="s">
        <v>2</v>
      </c>
      <c r="N239" s="22">
        <v>0</v>
      </c>
      <c r="O239" s="3"/>
    </row>
    <row r="240" spans="1:15" ht="15" x14ac:dyDescent="0.35">
      <c r="A240" s="1" t="s">
        <v>12</v>
      </c>
      <c r="B240" s="2"/>
      <c r="C240" s="2" t="s">
        <v>2</v>
      </c>
      <c r="D240" s="8">
        <f>[17]krnmei!$F$1162</f>
        <v>50000</v>
      </c>
      <c r="E240" s="2"/>
      <c r="F240" s="1" t="s">
        <v>12</v>
      </c>
      <c r="G240" s="2"/>
      <c r="H240" s="2" t="s">
        <v>2</v>
      </c>
      <c r="I240" s="8">
        <f>'[3]KARNING 2021'!$F$735</f>
        <v>30000</v>
      </c>
      <c r="J240" s="2"/>
      <c r="K240" s="1" t="s">
        <v>12</v>
      </c>
      <c r="L240" s="2"/>
      <c r="M240" s="2" t="s">
        <v>2</v>
      </c>
      <c r="N240" s="8">
        <v>0</v>
      </c>
      <c r="O240" s="3"/>
    </row>
    <row r="241" spans="1:15" ht="15" x14ac:dyDescent="0.35">
      <c r="A241" s="13" t="s">
        <v>13</v>
      </c>
      <c r="B241" s="5"/>
      <c r="C241" s="5" t="s">
        <v>2</v>
      </c>
      <c r="D241" s="24">
        <f>SUM(D233:D240)</f>
        <v>460000</v>
      </c>
      <c r="E241" s="2"/>
      <c r="F241" s="13" t="s">
        <v>13</v>
      </c>
      <c r="G241" s="5"/>
      <c r="H241" s="5" t="s">
        <v>2</v>
      </c>
      <c r="I241" s="24">
        <f>SUM(I233:I240)</f>
        <v>547500</v>
      </c>
      <c r="J241" s="2"/>
      <c r="K241" s="13" t="s">
        <v>13</v>
      </c>
      <c r="L241" s="5"/>
      <c r="M241" s="5" t="s">
        <v>2</v>
      </c>
      <c r="N241" s="24">
        <f>SUM(N233:N240)</f>
        <v>332250</v>
      </c>
      <c r="O241" s="3"/>
    </row>
    <row r="242" spans="1:15" ht="15" x14ac:dyDescent="0.35">
      <c r="A242" s="1" t="s">
        <v>14</v>
      </c>
      <c r="B242" s="2"/>
      <c r="C242" s="2" t="s">
        <v>2</v>
      </c>
      <c r="D242" s="25">
        <f>[12]krnmei!$O$1171</f>
        <v>8000000</v>
      </c>
      <c r="E242" s="2"/>
      <c r="F242" s="1" t="s">
        <v>14</v>
      </c>
      <c r="G242" s="2"/>
      <c r="H242" s="2" t="s">
        <v>2</v>
      </c>
      <c r="I242" s="25">
        <f>[12]krnmei!$J$746</f>
        <v>6250000</v>
      </c>
      <c r="J242" s="2"/>
      <c r="K242" s="1" t="s">
        <v>14</v>
      </c>
      <c r="L242" s="2"/>
      <c r="M242" s="2" t="s">
        <v>2</v>
      </c>
      <c r="N242" s="27">
        <f>[12]krnmei!$J$763</f>
        <v>6950000</v>
      </c>
      <c r="O242" s="3"/>
    </row>
    <row r="243" spans="1:15" ht="15" x14ac:dyDescent="0.35">
      <c r="A243" s="1"/>
      <c r="B243" s="2"/>
      <c r="C243" s="15"/>
      <c r="D243" s="15" t="str">
        <f>D224</f>
        <v>Grogol, 01 Desember 2025</v>
      </c>
      <c r="E243" s="2"/>
      <c r="F243" s="1"/>
      <c r="G243" s="2"/>
      <c r="H243" s="15"/>
      <c r="I243" s="15" t="str">
        <f>D243</f>
        <v>Grogol, 01 Desember 2025</v>
      </c>
      <c r="J243" s="15"/>
      <c r="K243" s="1"/>
      <c r="L243" s="2"/>
      <c r="M243" s="15"/>
      <c r="N243" s="15" t="str">
        <f>I243</f>
        <v>Grogol, 01 Desember 2025</v>
      </c>
      <c r="O243" s="16"/>
    </row>
    <row r="244" spans="1:15" ht="15" x14ac:dyDescent="0.35">
      <c r="A244" s="1"/>
      <c r="B244" s="2"/>
      <c r="C244" s="2"/>
      <c r="D244" s="15" t="s">
        <v>15</v>
      </c>
      <c r="E244" s="15"/>
      <c r="F244" s="1"/>
      <c r="G244" s="2"/>
      <c r="H244" s="2"/>
      <c r="I244" s="15" t="s">
        <v>15</v>
      </c>
      <c r="J244" s="2"/>
      <c r="K244" s="1"/>
      <c r="L244" s="2"/>
      <c r="M244" s="2"/>
      <c r="N244" s="15" t="s">
        <v>15</v>
      </c>
      <c r="O244" s="3"/>
    </row>
    <row r="245" spans="1:15" ht="15" x14ac:dyDescent="0.35">
      <c r="A245" s="1"/>
      <c r="B245" s="2"/>
      <c r="C245" s="2"/>
      <c r="D245" s="15"/>
      <c r="E245" s="2"/>
      <c r="F245" s="1"/>
      <c r="G245" s="2"/>
      <c r="H245" s="2"/>
      <c r="I245" s="15"/>
      <c r="J245" s="2"/>
      <c r="K245" s="1"/>
      <c r="L245" s="2"/>
      <c r="M245" s="2"/>
      <c r="N245" s="15"/>
      <c r="O245" s="3"/>
    </row>
    <row r="246" spans="1:15" ht="15" x14ac:dyDescent="0.35">
      <c r="A246" s="1"/>
      <c r="B246" s="2"/>
      <c r="C246" s="2"/>
      <c r="D246" s="15"/>
      <c r="E246" s="2"/>
      <c r="F246" s="1"/>
      <c r="G246" s="2"/>
      <c r="H246" s="2"/>
      <c r="I246" s="15"/>
      <c r="J246" s="2"/>
      <c r="K246" s="1"/>
      <c r="L246" s="2"/>
      <c r="M246" s="2"/>
      <c r="N246" s="15"/>
      <c r="O246" s="3"/>
    </row>
    <row r="247" spans="1:15" ht="15.6" thickBot="1" x14ac:dyDescent="0.4">
      <c r="A247" s="17"/>
      <c r="B247" s="18"/>
      <c r="C247" s="18"/>
      <c r="D247" s="19" t="s">
        <v>16</v>
      </c>
      <c r="E247" s="18"/>
      <c r="F247" s="17"/>
      <c r="G247" s="18"/>
      <c r="H247" s="18"/>
      <c r="I247" s="19" t="s">
        <v>16</v>
      </c>
      <c r="J247" s="18"/>
      <c r="K247" s="17"/>
      <c r="L247" s="18"/>
      <c r="M247" s="18"/>
      <c r="N247" s="19" t="s">
        <v>16</v>
      </c>
      <c r="O247" s="20"/>
    </row>
    <row r="248" spans="1:15" ht="15" x14ac:dyDescent="0.35">
      <c r="A248" s="46" t="s">
        <v>0</v>
      </c>
      <c r="B248" s="47"/>
      <c r="C248" s="47"/>
      <c r="D248" s="47"/>
      <c r="E248" s="47"/>
      <c r="F248" s="46" t="s">
        <v>0</v>
      </c>
      <c r="G248" s="47"/>
      <c r="H248" s="47"/>
      <c r="I248" s="47"/>
      <c r="J248" s="47"/>
      <c r="K248" s="46" t="s">
        <v>0</v>
      </c>
      <c r="L248" s="47"/>
      <c r="M248" s="47"/>
      <c r="N248" s="47"/>
      <c r="O248" s="48"/>
    </row>
    <row r="249" spans="1:15" ht="15" x14ac:dyDescent="0.35">
      <c r="A249" s="1"/>
      <c r="B249" s="2"/>
      <c r="C249" s="2"/>
      <c r="D249" s="2"/>
      <c r="E249" s="2"/>
      <c r="F249" s="1"/>
      <c r="G249" s="2"/>
      <c r="H249" s="2"/>
      <c r="I249" s="2"/>
      <c r="J249" s="2"/>
      <c r="K249" s="1"/>
      <c r="L249" s="2"/>
      <c r="M249" s="2"/>
      <c r="N249" s="2"/>
      <c r="O249" s="3"/>
    </row>
    <row r="250" spans="1:15" ht="15" x14ac:dyDescent="0.35">
      <c r="A250" s="1" t="s">
        <v>1</v>
      </c>
      <c r="B250" s="2" t="s">
        <v>2</v>
      </c>
      <c r="C250" s="51" t="s">
        <v>38</v>
      </c>
      <c r="D250" s="51"/>
      <c r="E250" s="4">
        <v>33</v>
      </c>
      <c r="F250" s="1" t="s">
        <v>1</v>
      </c>
      <c r="G250" s="2" t="s">
        <v>2</v>
      </c>
      <c r="H250" s="50" t="s">
        <v>39</v>
      </c>
      <c r="I250" s="50"/>
      <c r="J250" s="4">
        <v>34</v>
      </c>
      <c r="K250" s="1" t="s">
        <v>1</v>
      </c>
      <c r="L250" s="2" t="s">
        <v>2</v>
      </c>
      <c r="M250" s="50" t="s">
        <v>40</v>
      </c>
      <c r="N250" s="50"/>
      <c r="O250" s="6">
        <v>35</v>
      </c>
    </row>
    <row r="251" spans="1:15" ht="15" x14ac:dyDescent="0.35">
      <c r="A251" s="1" t="s">
        <v>4</v>
      </c>
      <c r="B251" s="2"/>
      <c r="C251" s="2" t="s">
        <v>2</v>
      </c>
      <c r="D251" s="2"/>
      <c r="F251" s="1" t="s">
        <v>4</v>
      </c>
      <c r="G251" s="2"/>
      <c r="H251" s="2" t="s">
        <v>2</v>
      </c>
      <c r="I251" s="2"/>
      <c r="J251" s="2"/>
      <c r="K251" s="1" t="s">
        <v>4</v>
      </c>
      <c r="L251" s="2"/>
      <c r="M251" s="2" t="s">
        <v>2</v>
      </c>
      <c r="N251" s="2"/>
      <c r="O251" s="3"/>
    </row>
    <row r="252" spans="1:15" ht="15" x14ac:dyDescent="0.35">
      <c r="A252" s="1" t="s">
        <v>5</v>
      </c>
      <c r="B252" s="2"/>
      <c r="C252" s="2" t="s">
        <v>2</v>
      </c>
      <c r="D252" s="8">
        <f>'[3]KARNING 2021'!$C$769</f>
        <v>15000</v>
      </c>
      <c r="E252" s="2"/>
      <c r="F252" s="1" t="s">
        <v>5</v>
      </c>
      <c r="G252" s="2"/>
      <c r="H252" s="2" t="s">
        <v>2</v>
      </c>
      <c r="I252" s="8">
        <f>'[3]KARNING 2021'!$C$786</f>
        <v>15000</v>
      </c>
      <c r="J252" s="2"/>
      <c r="K252" s="1" t="s">
        <v>5</v>
      </c>
      <c r="L252" s="2"/>
      <c r="M252" s="2" t="s">
        <v>2</v>
      </c>
      <c r="N252" s="8">
        <f>'[3]KARNING 2021'!$C$803</f>
        <v>15000</v>
      </c>
      <c r="O252" s="3"/>
    </row>
    <row r="253" spans="1:15" ht="15" x14ac:dyDescent="0.35">
      <c r="A253" s="1" t="s">
        <v>6</v>
      </c>
      <c r="B253" s="2"/>
      <c r="C253" s="2" t="s">
        <v>2</v>
      </c>
      <c r="D253" s="8">
        <v>0</v>
      </c>
      <c r="E253" s="2"/>
      <c r="F253" s="1" t="s">
        <v>6</v>
      </c>
      <c r="G253" s="2"/>
      <c r="H253" s="2" t="s">
        <v>2</v>
      </c>
      <c r="I253" s="8">
        <f>'[3]KARNING 2021'!$D$786</f>
        <v>20000</v>
      </c>
      <c r="J253" s="2"/>
      <c r="K253" s="1" t="s">
        <v>6</v>
      </c>
      <c r="L253" s="2"/>
      <c r="M253" s="2" t="s">
        <v>2</v>
      </c>
      <c r="N253" s="8">
        <f>'[3]KARNING 2021'!$D$803</f>
        <v>5000</v>
      </c>
      <c r="O253" s="3"/>
    </row>
    <row r="254" spans="1:15" ht="15" x14ac:dyDescent="0.35">
      <c r="A254" s="1" t="s">
        <v>7</v>
      </c>
      <c r="B254" s="2"/>
      <c r="C254" s="2" t="s">
        <v>2</v>
      </c>
      <c r="D254" s="8">
        <v>100000</v>
      </c>
      <c r="E254" s="2"/>
      <c r="F254" s="1" t="s">
        <v>7</v>
      </c>
      <c r="G254" s="2"/>
      <c r="H254" s="2" t="s">
        <v>2</v>
      </c>
      <c r="I254" s="8">
        <f>'[3]KARNING 2021'!$E$786</f>
        <v>200000</v>
      </c>
      <c r="J254" s="2"/>
      <c r="K254" s="1" t="s">
        <v>7</v>
      </c>
      <c r="L254" s="2"/>
      <c r="M254" s="2" t="s">
        <v>2</v>
      </c>
      <c r="N254" s="8">
        <f>'[3]KARNING 2021'!$E$803</f>
        <v>50000</v>
      </c>
      <c r="O254" s="3"/>
    </row>
    <row r="255" spans="1:15" ht="15" x14ac:dyDescent="0.35">
      <c r="A255" s="1" t="s">
        <v>8</v>
      </c>
      <c r="B255" s="21">
        <v>30</v>
      </c>
      <c r="C255" s="2" t="s">
        <v>2</v>
      </c>
      <c r="D255" s="8">
        <v>500000</v>
      </c>
      <c r="E255" s="2"/>
      <c r="F255" s="1" t="s">
        <v>8</v>
      </c>
      <c r="G255" s="21">
        <v>16</v>
      </c>
      <c r="H255" s="2" t="s">
        <v>2</v>
      </c>
      <c r="I255" s="8">
        <f>[4]krnmei!$I$786</f>
        <v>300000</v>
      </c>
      <c r="J255" s="2"/>
      <c r="K255" s="1" t="s">
        <v>8</v>
      </c>
      <c r="L255" s="21">
        <v>8</v>
      </c>
      <c r="M255" s="2" t="s">
        <v>2</v>
      </c>
      <c r="N255" s="25">
        <f>[23]krnmei!$I$807</f>
        <v>300000</v>
      </c>
      <c r="O255" s="3"/>
    </row>
    <row r="256" spans="1:15" ht="15" x14ac:dyDescent="0.35">
      <c r="A256" s="1" t="s">
        <v>9</v>
      </c>
      <c r="B256" s="2"/>
      <c r="C256" s="2" t="s">
        <v>2</v>
      </c>
      <c r="D256" s="11">
        <f>[12]krnmei!$K$780</f>
        <v>22500</v>
      </c>
      <c r="E256" s="2"/>
      <c r="F256" s="1" t="s">
        <v>9</v>
      </c>
      <c r="G256" s="2"/>
      <c r="H256" s="2" t="s">
        <v>2</v>
      </c>
      <c r="I256" s="11">
        <f>[12]krnmei!$K$797</f>
        <v>57750</v>
      </c>
      <c r="J256" s="2"/>
      <c r="K256" s="1" t="s">
        <v>9</v>
      </c>
      <c r="L256" s="2"/>
      <c r="M256" s="2" t="s">
        <v>2</v>
      </c>
      <c r="N256" s="11">
        <f>[12]krnmei!$K$814</f>
        <v>13500</v>
      </c>
      <c r="O256" s="3"/>
    </row>
    <row r="257" spans="1:15" ht="15" x14ac:dyDescent="0.35">
      <c r="A257" s="1" t="s">
        <v>10</v>
      </c>
      <c r="B257" s="2"/>
      <c r="C257" s="2" t="s">
        <v>2</v>
      </c>
      <c r="D257" s="8"/>
      <c r="E257" s="2"/>
      <c r="F257" s="1" t="s">
        <v>10</v>
      </c>
      <c r="G257" s="2">
        <v>0</v>
      </c>
      <c r="H257" s="2" t="s">
        <v>2</v>
      </c>
      <c r="I257" s="8"/>
      <c r="J257" s="2"/>
      <c r="K257" s="1" t="s">
        <v>10</v>
      </c>
      <c r="L257" s="2">
        <v>0</v>
      </c>
      <c r="M257" s="2" t="s">
        <v>2</v>
      </c>
      <c r="N257" s="8"/>
      <c r="O257" s="3"/>
    </row>
    <row r="258" spans="1:15" ht="15" x14ac:dyDescent="0.35">
      <c r="A258" s="1" t="s">
        <v>11</v>
      </c>
      <c r="B258" s="2"/>
      <c r="C258" s="2" t="s">
        <v>2</v>
      </c>
      <c r="D258" s="9">
        <v>0</v>
      </c>
      <c r="E258" s="2"/>
      <c r="F258" s="1" t="s">
        <v>11</v>
      </c>
      <c r="G258" s="2"/>
      <c r="H258" s="2" t="s">
        <v>2</v>
      </c>
      <c r="I258" s="9">
        <v>0</v>
      </c>
      <c r="J258" s="2"/>
      <c r="K258" s="1" t="s">
        <v>11</v>
      </c>
      <c r="L258" s="2"/>
      <c r="M258" s="2" t="s">
        <v>2</v>
      </c>
      <c r="N258" s="9">
        <v>0</v>
      </c>
      <c r="O258" s="3"/>
    </row>
    <row r="259" spans="1:15" ht="15" x14ac:dyDescent="0.35">
      <c r="A259" s="1" t="s">
        <v>12</v>
      </c>
      <c r="B259" s="2"/>
      <c r="C259" s="2" t="s">
        <v>2</v>
      </c>
      <c r="D259" s="8">
        <v>0</v>
      </c>
      <c r="E259" s="2"/>
      <c r="F259" s="1" t="s">
        <v>12</v>
      </c>
      <c r="G259" s="2"/>
      <c r="H259" s="2" t="s">
        <v>2</v>
      </c>
      <c r="I259" s="8">
        <v>50000</v>
      </c>
      <c r="J259" s="2"/>
      <c r="K259" s="1" t="s">
        <v>12</v>
      </c>
      <c r="L259" s="2"/>
      <c r="M259" s="2" t="s">
        <v>2</v>
      </c>
      <c r="N259" s="8">
        <f>'[3]KARNING 2021'!$F$803</f>
        <v>10000</v>
      </c>
      <c r="O259" s="3"/>
    </row>
    <row r="260" spans="1:15" ht="15" x14ac:dyDescent="0.35">
      <c r="A260" s="13" t="s">
        <v>13</v>
      </c>
      <c r="B260" s="5"/>
      <c r="C260" s="5" t="s">
        <v>2</v>
      </c>
      <c r="D260" s="24">
        <f>SUM(D252:D259)</f>
        <v>637500</v>
      </c>
      <c r="E260" s="2"/>
      <c r="F260" s="13" t="s">
        <v>13</v>
      </c>
      <c r="G260" s="5"/>
      <c r="H260" s="5" t="s">
        <v>2</v>
      </c>
      <c r="I260" s="24">
        <f>SUM(I252:I259)</f>
        <v>642750</v>
      </c>
      <c r="J260" s="2"/>
      <c r="K260" s="13" t="s">
        <v>13</v>
      </c>
      <c r="L260" s="5"/>
      <c r="M260" s="5" t="s">
        <v>2</v>
      </c>
      <c r="N260" s="8">
        <f>SUM(N252:N259)</f>
        <v>393500</v>
      </c>
      <c r="O260" s="3"/>
    </row>
    <row r="261" spans="1:15" ht="15" x14ac:dyDescent="0.35">
      <c r="A261" s="1" t="s">
        <v>14</v>
      </c>
      <c r="B261" s="2"/>
      <c r="C261" s="2" t="s">
        <v>2</v>
      </c>
      <c r="D261" s="27">
        <f>[12]krnmei!$J$780</f>
        <v>1000000</v>
      </c>
      <c r="E261" s="2"/>
      <c r="F261" s="1" t="s">
        <v>14</v>
      </c>
      <c r="G261" s="2"/>
      <c r="H261" s="2" t="s">
        <v>2</v>
      </c>
      <c r="I261" s="27">
        <f>[12]krnmei!$J$797</f>
        <v>3550000</v>
      </c>
      <c r="J261" s="2"/>
      <c r="K261" s="1" t="s">
        <v>14</v>
      </c>
      <c r="L261" s="2"/>
      <c r="M261" s="2" t="s">
        <v>2</v>
      </c>
      <c r="N261" s="27">
        <f>[12]krnmei!$J$814</f>
        <v>600000</v>
      </c>
      <c r="O261" s="3"/>
    </row>
    <row r="262" spans="1:15" ht="15" x14ac:dyDescent="0.35">
      <c r="A262" s="1"/>
      <c r="B262" s="2"/>
      <c r="C262" s="15"/>
      <c r="D262" s="15" t="str">
        <f>D243</f>
        <v>Grogol, 01 Desember 2025</v>
      </c>
      <c r="E262" s="2"/>
      <c r="F262" s="1"/>
      <c r="G262" s="2"/>
      <c r="H262" s="15"/>
      <c r="I262" s="15" t="str">
        <f>D262</f>
        <v>Grogol, 01 Desember 2025</v>
      </c>
      <c r="J262" s="15"/>
      <c r="K262" s="1"/>
      <c r="L262" s="2"/>
      <c r="M262" s="15"/>
      <c r="N262" s="15" t="str">
        <f>I262</f>
        <v>Grogol, 01 Desember 2025</v>
      </c>
      <c r="O262" s="16"/>
    </row>
    <row r="263" spans="1:15" ht="15" x14ac:dyDescent="0.35">
      <c r="A263" s="1"/>
      <c r="B263" s="2"/>
      <c r="C263" s="2"/>
      <c r="D263" s="15" t="s">
        <v>15</v>
      </c>
      <c r="E263" s="15"/>
      <c r="F263" s="1"/>
      <c r="G263" s="2"/>
      <c r="H263" s="2"/>
      <c r="I263" s="15" t="s">
        <v>15</v>
      </c>
      <c r="J263" s="2"/>
      <c r="K263" s="1"/>
      <c r="L263" s="2"/>
      <c r="M263" s="2"/>
      <c r="N263" s="15" t="s">
        <v>15</v>
      </c>
      <c r="O263" s="3"/>
    </row>
    <row r="264" spans="1:15" ht="15" x14ac:dyDescent="0.35">
      <c r="A264" s="1"/>
      <c r="B264" s="2"/>
      <c r="C264" s="2"/>
      <c r="D264" s="15"/>
      <c r="E264" s="2"/>
      <c r="F264" s="1"/>
      <c r="G264" s="2"/>
      <c r="H264" s="2"/>
      <c r="I264" s="15"/>
      <c r="J264" s="2"/>
      <c r="K264" s="1"/>
      <c r="L264" s="2"/>
      <c r="M264" s="2"/>
      <c r="N264" s="15"/>
      <c r="O264" s="3"/>
    </row>
    <row r="265" spans="1:15" ht="15" x14ac:dyDescent="0.35">
      <c r="A265" s="1"/>
      <c r="B265" s="2"/>
      <c r="C265" s="2"/>
      <c r="D265" s="15"/>
      <c r="E265" s="2"/>
      <c r="F265" s="1"/>
      <c r="G265" s="2"/>
      <c r="H265" s="2"/>
      <c r="I265" s="15"/>
      <c r="J265" s="2"/>
      <c r="K265" s="1"/>
      <c r="L265" s="2"/>
      <c r="M265" s="2"/>
      <c r="N265" s="15"/>
      <c r="O265" s="3"/>
    </row>
    <row r="266" spans="1:15" ht="15.6" thickBot="1" x14ac:dyDescent="0.4">
      <c r="A266" s="17"/>
      <c r="B266" s="18"/>
      <c r="C266" s="18"/>
      <c r="D266" s="19" t="s">
        <v>16</v>
      </c>
      <c r="E266" s="18"/>
      <c r="F266" s="17"/>
      <c r="G266" s="18"/>
      <c r="H266" s="18"/>
      <c r="I266" s="19" t="s">
        <v>16</v>
      </c>
      <c r="J266" s="18"/>
      <c r="K266" s="17"/>
      <c r="L266" s="18"/>
      <c r="M266" s="18"/>
      <c r="N266" s="19" t="s">
        <v>16</v>
      </c>
      <c r="O266" s="20"/>
    </row>
    <row r="267" spans="1:15" ht="15" x14ac:dyDescent="0.35">
      <c r="A267" s="46" t="s">
        <v>0</v>
      </c>
      <c r="B267" s="47"/>
      <c r="C267" s="47"/>
      <c r="D267" s="47"/>
      <c r="E267" s="47"/>
      <c r="F267" s="46" t="s">
        <v>0</v>
      </c>
      <c r="G267" s="47"/>
      <c r="H267" s="47"/>
      <c r="I267" s="47"/>
      <c r="J267" s="47"/>
      <c r="K267" s="46" t="s">
        <v>0</v>
      </c>
      <c r="L267" s="47"/>
      <c r="M267" s="47"/>
      <c r="N267" s="47"/>
      <c r="O267" s="48"/>
    </row>
    <row r="268" spans="1:15" ht="15" x14ac:dyDescent="0.35">
      <c r="A268" s="1"/>
      <c r="B268" s="2"/>
      <c r="C268" s="2"/>
      <c r="D268" s="2"/>
      <c r="E268" s="2"/>
      <c r="F268" s="1"/>
      <c r="G268" s="2"/>
      <c r="H268" s="2"/>
      <c r="I268" s="2"/>
      <c r="J268" s="2"/>
      <c r="K268" s="1"/>
      <c r="L268" s="2"/>
      <c r="M268" s="2"/>
      <c r="N268" s="2"/>
      <c r="O268" s="3"/>
    </row>
    <row r="269" spans="1:15" ht="15" x14ac:dyDescent="0.35">
      <c r="A269" s="1" t="s">
        <v>1</v>
      </c>
      <c r="B269" s="2" t="s">
        <v>2</v>
      </c>
      <c r="C269" s="51" t="s">
        <v>41</v>
      </c>
      <c r="D269" s="51"/>
      <c r="E269" s="4">
        <v>36</v>
      </c>
      <c r="F269" s="1" t="s">
        <v>1</v>
      </c>
      <c r="G269" s="2"/>
      <c r="H269" s="50" t="s">
        <v>80</v>
      </c>
      <c r="I269" s="50"/>
      <c r="J269" s="4">
        <v>46</v>
      </c>
      <c r="K269" s="1" t="s">
        <v>1</v>
      </c>
      <c r="L269" s="2" t="s">
        <v>2</v>
      </c>
      <c r="M269" s="50" t="s">
        <v>42</v>
      </c>
      <c r="N269" s="50"/>
      <c r="O269" s="6">
        <v>37</v>
      </c>
    </row>
    <row r="270" spans="1:15" ht="15" x14ac:dyDescent="0.35">
      <c r="A270" s="1" t="s">
        <v>4</v>
      </c>
      <c r="B270" s="2"/>
      <c r="C270" s="2" t="s">
        <v>2</v>
      </c>
      <c r="D270" s="2"/>
      <c r="F270" s="1" t="s">
        <v>4</v>
      </c>
      <c r="G270" s="2"/>
      <c r="H270" s="2" t="s">
        <v>2</v>
      </c>
      <c r="I270" s="2"/>
      <c r="J270" s="2"/>
      <c r="K270" s="1" t="s">
        <v>4</v>
      </c>
      <c r="L270" s="2"/>
      <c r="M270" s="2" t="s">
        <v>2</v>
      </c>
      <c r="N270" s="2"/>
      <c r="O270" s="3"/>
    </row>
    <row r="271" spans="1:15" ht="15" x14ac:dyDescent="0.35">
      <c r="A271" s="1" t="s">
        <v>5</v>
      </c>
      <c r="B271" s="2"/>
      <c r="C271" s="2" t="s">
        <v>2</v>
      </c>
      <c r="D271" s="8">
        <f>'[3]KARNING 2021'!$C$820</f>
        <v>15000</v>
      </c>
      <c r="E271" s="2"/>
      <c r="F271" s="1" t="s">
        <v>5</v>
      </c>
      <c r="G271" s="2"/>
      <c r="H271" s="2" t="s">
        <v>2</v>
      </c>
      <c r="I271" s="8">
        <f>[33]krnmei!$C$1196</f>
        <v>15000</v>
      </c>
      <c r="J271" s="2"/>
      <c r="K271" s="1" t="s">
        <v>66</v>
      </c>
      <c r="L271" s="2"/>
      <c r="M271" s="2" t="s">
        <v>2</v>
      </c>
      <c r="N271" s="8">
        <f>[16]krnmei!$C$856</f>
        <v>15000</v>
      </c>
      <c r="O271" s="3"/>
    </row>
    <row r="272" spans="1:15" ht="15" x14ac:dyDescent="0.35">
      <c r="A272" s="1" t="s">
        <v>6</v>
      </c>
      <c r="B272" s="2"/>
      <c r="C272" s="2" t="s">
        <v>2</v>
      </c>
      <c r="D272" s="8">
        <f>'[3]KARNING 2021'!$D$820</f>
        <v>5000</v>
      </c>
      <c r="E272" s="2"/>
      <c r="F272" s="1" t="s">
        <v>6</v>
      </c>
      <c r="G272" s="2"/>
      <c r="H272" s="2" t="s">
        <v>2</v>
      </c>
      <c r="I272" s="8">
        <f>[33]krnmei!$D$1196</f>
        <v>50000</v>
      </c>
      <c r="J272" s="2"/>
      <c r="K272" s="1" t="s">
        <v>6</v>
      </c>
      <c r="L272" s="2"/>
      <c r="M272" s="2" t="s">
        <v>2</v>
      </c>
      <c r="N272" s="7">
        <f>'[3]KARNING 2021'!$D$854</f>
        <v>5000</v>
      </c>
      <c r="O272" s="3"/>
    </row>
    <row r="273" spans="1:15" ht="15" x14ac:dyDescent="0.35">
      <c r="A273" s="1" t="s">
        <v>7</v>
      </c>
      <c r="B273" s="2"/>
      <c r="C273" s="2" t="s">
        <v>2</v>
      </c>
      <c r="D273" s="8">
        <f>'[3]KARNING 2021'!$E$820</f>
        <v>230000</v>
      </c>
      <c r="E273" s="2"/>
      <c r="F273" s="1" t="s">
        <v>7</v>
      </c>
      <c r="G273" s="2"/>
      <c r="H273" s="2" t="s">
        <v>2</v>
      </c>
      <c r="I273" s="8">
        <v>80000</v>
      </c>
      <c r="J273" s="2"/>
      <c r="K273" s="1" t="s">
        <v>7</v>
      </c>
      <c r="L273" s="2"/>
      <c r="M273" s="2" t="s">
        <v>2</v>
      </c>
      <c r="N273" s="7">
        <v>0</v>
      </c>
      <c r="O273" s="3"/>
    </row>
    <row r="274" spans="1:15" ht="15" x14ac:dyDescent="0.35">
      <c r="A274" s="1" t="s">
        <v>8</v>
      </c>
      <c r="B274" s="21">
        <v>6</v>
      </c>
      <c r="C274" s="2" t="s">
        <v>2</v>
      </c>
      <c r="D274" s="8">
        <v>50000</v>
      </c>
      <c r="E274" s="2"/>
      <c r="F274" s="1" t="s">
        <v>8</v>
      </c>
      <c r="G274" s="2"/>
      <c r="H274" s="2" t="s">
        <v>2</v>
      </c>
      <c r="I274" s="8">
        <v>0</v>
      </c>
      <c r="J274" s="2"/>
      <c r="K274" s="1" t="s">
        <v>8</v>
      </c>
      <c r="L274" s="21">
        <v>28</v>
      </c>
      <c r="M274" s="2" t="s">
        <v>2</v>
      </c>
      <c r="N274" s="7">
        <v>400000</v>
      </c>
      <c r="O274" s="3"/>
    </row>
    <row r="275" spans="1:15" ht="15" x14ac:dyDescent="0.35">
      <c r="A275" s="1" t="s">
        <v>9</v>
      </c>
      <c r="B275" s="2"/>
      <c r="C275" s="2" t="s">
        <v>2</v>
      </c>
      <c r="D275" s="11">
        <f>[12]krnmei!$K$831</f>
        <v>11250</v>
      </c>
      <c r="E275" s="2"/>
      <c r="F275" s="1" t="s">
        <v>9</v>
      </c>
      <c r="G275" s="2"/>
      <c r="H275" s="2" t="s">
        <v>2</v>
      </c>
      <c r="I275" s="11">
        <v>0</v>
      </c>
      <c r="J275" s="2"/>
      <c r="K275" s="1" t="s">
        <v>9</v>
      </c>
      <c r="L275" s="2"/>
      <c r="M275" s="2" t="s">
        <v>2</v>
      </c>
      <c r="N275" s="11">
        <f>[12]krnmei!$K$865</f>
        <v>45000</v>
      </c>
      <c r="O275" s="3"/>
    </row>
    <row r="276" spans="1:15" ht="15" x14ac:dyDescent="0.35">
      <c r="A276" s="1" t="s">
        <v>10</v>
      </c>
      <c r="B276" s="2"/>
      <c r="C276" s="2" t="s">
        <v>2</v>
      </c>
      <c r="D276" s="8">
        <v>0</v>
      </c>
      <c r="E276" s="2"/>
      <c r="F276" s="1" t="s">
        <v>10</v>
      </c>
      <c r="G276" s="2"/>
      <c r="H276" s="2" t="s">
        <v>2</v>
      </c>
      <c r="I276" s="8">
        <v>0</v>
      </c>
      <c r="J276" s="2"/>
      <c r="K276" s="1" t="s">
        <v>10</v>
      </c>
      <c r="L276" s="2">
        <v>0</v>
      </c>
      <c r="M276" s="2" t="s">
        <v>2</v>
      </c>
      <c r="N276" s="7">
        <v>0</v>
      </c>
      <c r="O276" s="3"/>
    </row>
    <row r="277" spans="1:15" ht="15" x14ac:dyDescent="0.35">
      <c r="A277" s="1" t="s">
        <v>11</v>
      </c>
      <c r="B277" s="2"/>
      <c r="C277" s="2" t="s">
        <v>2</v>
      </c>
      <c r="D277" s="9">
        <f>[9]krnmei!$P$830</f>
        <v>0</v>
      </c>
      <c r="E277" s="2"/>
      <c r="F277" s="1" t="s">
        <v>11</v>
      </c>
      <c r="G277" s="2"/>
      <c r="H277" s="2" t="s">
        <v>2</v>
      </c>
      <c r="I277" s="9">
        <v>0</v>
      </c>
      <c r="J277" s="2"/>
      <c r="K277" s="1" t="s">
        <v>11</v>
      </c>
      <c r="L277" s="2"/>
      <c r="M277" s="2" t="s">
        <v>2</v>
      </c>
      <c r="N277" s="7">
        <v>0</v>
      </c>
      <c r="O277" s="3"/>
    </row>
    <row r="278" spans="1:15" ht="15" x14ac:dyDescent="0.35">
      <c r="A278" s="1" t="s">
        <v>12</v>
      </c>
      <c r="B278" s="2"/>
      <c r="C278" s="2" t="s">
        <v>2</v>
      </c>
      <c r="D278" s="8">
        <f>'[3]KARNING 2021'!$F$820</f>
        <v>200000</v>
      </c>
      <c r="E278" s="2"/>
      <c r="F278" s="1" t="s">
        <v>12</v>
      </c>
      <c r="G278" s="2"/>
      <c r="H278" s="2" t="s">
        <v>2</v>
      </c>
      <c r="I278" s="8">
        <f>[33]krnmei!$F$1196</f>
        <v>55000</v>
      </c>
      <c r="J278" s="2"/>
      <c r="K278" s="1" t="s">
        <v>12</v>
      </c>
      <c r="L278" s="2"/>
      <c r="M278" s="2" t="s">
        <v>2</v>
      </c>
      <c r="N278" s="7">
        <v>0</v>
      </c>
      <c r="O278" s="3"/>
    </row>
    <row r="279" spans="1:15" ht="15" x14ac:dyDescent="0.35">
      <c r="A279" s="13" t="s">
        <v>13</v>
      </c>
      <c r="B279" s="5"/>
      <c r="C279" s="5" t="s">
        <v>2</v>
      </c>
      <c r="D279" s="8">
        <f>SUM(D271:D278)</f>
        <v>511250</v>
      </c>
      <c r="E279" s="2"/>
      <c r="F279" s="13" t="s">
        <v>13</v>
      </c>
      <c r="G279" s="5"/>
      <c r="H279" s="5" t="s">
        <v>2</v>
      </c>
      <c r="I279" s="24">
        <f>SUM(I271:I278)</f>
        <v>200000</v>
      </c>
      <c r="J279" s="2"/>
      <c r="K279" s="13" t="s">
        <v>13</v>
      </c>
      <c r="L279" s="5"/>
      <c r="M279" s="5" t="s">
        <v>2</v>
      </c>
      <c r="N279" s="8">
        <f>SUM(N271:N278)</f>
        <v>465000</v>
      </c>
      <c r="O279" s="3"/>
    </row>
    <row r="280" spans="1:15" ht="15" x14ac:dyDescent="0.35">
      <c r="A280" s="1" t="s">
        <v>14</v>
      </c>
      <c r="B280" s="2"/>
      <c r="C280" s="2" t="s">
        <v>2</v>
      </c>
      <c r="D280" s="27">
        <f>[12]krnmei!$J$831</f>
        <v>700000</v>
      </c>
      <c r="E280" s="2"/>
      <c r="F280" s="1" t="s">
        <v>14</v>
      </c>
      <c r="G280" s="2"/>
      <c r="H280" s="2" t="s">
        <v>2</v>
      </c>
      <c r="I280" s="27">
        <v>0</v>
      </c>
      <c r="J280" s="2"/>
      <c r="K280" s="1" t="s">
        <v>14</v>
      </c>
      <c r="L280" s="2"/>
      <c r="M280" s="2" t="s">
        <v>2</v>
      </c>
      <c r="N280" s="32">
        <f>[12]krnmei!$J$865</f>
        <v>2600000</v>
      </c>
      <c r="O280" s="3"/>
    </row>
    <row r="281" spans="1:15" ht="15" x14ac:dyDescent="0.35">
      <c r="A281" s="1"/>
      <c r="B281" s="2"/>
      <c r="C281" s="15"/>
      <c r="D281" s="15" t="str">
        <f>D262</f>
        <v>Grogol, 01 Desember 2025</v>
      </c>
      <c r="E281" s="2"/>
      <c r="F281" s="1"/>
      <c r="G281" s="2"/>
      <c r="H281" s="15"/>
      <c r="I281" s="15" t="str">
        <f>D281</f>
        <v>Grogol, 01 Desember 2025</v>
      </c>
      <c r="J281" s="15"/>
      <c r="K281" s="1"/>
      <c r="L281" s="2"/>
      <c r="M281" s="15"/>
      <c r="N281" s="15" t="str">
        <f>I281</f>
        <v>Grogol, 01 Desember 2025</v>
      </c>
      <c r="O281" s="16"/>
    </row>
    <row r="282" spans="1:15" ht="15" x14ac:dyDescent="0.35">
      <c r="A282" s="1"/>
      <c r="B282" s="2"/>
      <c r="C282" s="2"/>
      <c r="D282" s="15" t="s">
        <v>15</v>
      </c>
      <c r="E282" s="15"/>
      <c r="F282" s="1"/>
      <c r="G282" s="2"/>
      <c r="H282" s="2"/>
      <c r="I282" s="15" t="s">
        <v>15</v>
      </c>
      <c r="J282" s="2"/>
      <c r="K282" s="1"/>
      <c r="L282" s="2"/>
      <c r="M282" s="2"/>
      <c r="N282" s="15" t="s">
        <v>15</v>
      </c>
      <c r="O282" s="3"/>
    </row>
    <row r="283" spans="1:15" ht="15" x14ac:dyDescent="0.35">
      <c r="A283" s="1"/>
      <c r="B283" s="2"/>
      <c r="C283" s="2"/>
      <c r="D283" s="15"/>
      <c r="E283" s="2"/>
      <c r="F283" s="1"/>
      <c r="G283" s="2"/>
      <c r="H283" s="2"/>
      <c r="I283" s="15"/>
      <c r="J283" s="2"/>
      <c r="K283" s="1"/>
      <c r="L283" s="2"/>
      <c r="M283" s="2"/>
      <c r="N283" s="2"/>
      <c r="O283" s="3"/>
    </row>
    <row r="284" spans="1:15" ht="15" x14ac:dyDescent="0.35">
      <c r="A284" s="1"/>
      <c r="B284" s="2"/>
      <c r="C284" s="2"/>
      <c r="D284" s="15"/>
      <c r="E284" s="2"/>
      <c r="F284" s="1"/>
      <c r="G284" s="2"/>
      <c r="H284" s="2"/>
      <c r="I284" s="15"/>
      <c r="J284" s="2"/>
      <c r="K284" s="1"/>
      <c r="L284" s="2"/>
      <c r="M284" s="2"/>
      <c r="N284" s="15"/>
      <c r="O284" s="3"/>
    </row>
    <row r="285" spans="1:15" ht="15.6" thickBot="1" x14ac:dyDescent="0.4">
      <c r="A285" s="17"/>
      <c r="B285" s="18"/>
      <c r="C285" s="18"/>
      <c r="D285" s="19" t="s">
        <v>16</v>
      </c>
      <c r="E285" s="18"/>
      <c r="F285" s="17"/>
      <c r="G285" s="18"/>
      <c r="H285" s="18"/>
      <c r="I285" s="19" t="s">
        <v>16</v>
      </c>
      <c r="J285" s="18"/>
      <c r="K285" s="17"/>
      <c r="L285" s="18"/>
      <c r="M285" s="18"/>
      <c r="N285" s="19" t="s">
        <v>16</v>
      </c>
      <c r="O285" s="20"/>
    </row>
    <row r="286" spans="1:15" ht="15" x14ac:dyDescent="0.35">
      <c r="A286" s="46" t="s">
        <v>0</v>
      </c>
      <c r="B286" s="47"/>
      <c r="C286" s="47"/>
      <c r="D286" s="47"/>
      <c r="E286" s="47"/>
      <c r="F286" s="46" t="s">
        <v>0</v>
      </c>
      <c r="G286" s="47"/>
      <c r="H286" s="47"/>
      <c r="I286" s="47"/>
      <c r="J286" s="47"/>
      <c r="K286" s="46" t="s">
        <v>0</v>
      </c>
      <c r="L286" s="47"/>
      <c r="M286" s="47"/>
      <c r="N286" s="47"/>
      <c r="O286" s="48"/>
    </row>
    <row r="287" spans="1:15" ht="15" x14ac:dyDescent="0.35">
      <c r="A287" s="1"/>
      <c r="B287" s="2"/>
      <c r="C287" s="2"/>
      <c r="D287" s="2"/>
      <c r="E287" s="4"/>
      <c r="F287" s="1"/>
      <c r="G287" s="2"/>
      <c r="H287" s="2"/>
      <c r="I287" s="2"/>
      <c r="J287" s="2"/>
      <c r="K287" s="1"/>
      <c r="L287" s="2"/>
      <c r="M287" s="2"/>
      <c r="N287" s="2"/>
      <c r="O287" s="3"/>
    </row>
    <row r="288" spans="1:15" ht="15" x14ac:dyDescent="0.35">
      <c r="A288" s="1" t="s">
        <v>1</v>
      </c>
      <c r="B288" s="2" t="s">
        <v>2</v>
      </c>
      <c r="C288" s="50" t="s">
        <v>43</v>
      </c>
      <c r="D288" s="50"/>
      <c r="E288" s="5">
        <v>24</v>
      </c>
      <c r="F288" s="1" t="s">
        <v>1</v>
      </c>
      <c r="G288" s="2" t="s">
        <v>2</v>
      </c>
      <c r="H288" s="50" t="s">
        <v>44</v>
      </c>
      <c r="I288" s="50"/>
      <c r="J288" s="5">
        <v>23</v>
      </c>
      <c r="K288" s="1" t="s">
        <v>1</v>
      </c>
      <c r="L288" s="2" t="s">
        <v>2</v>
      </c>
      <c r="M288" s="50" t="s">
        <v>45</v>
      </c>
      <c r="N288" s="50"/>
      <c r="O288" s="33">
        <v>26</v>
      </c>
    </row>
    <row r="289" spans="1:15" ht="15" x14ac:dyDescent="0.35">
      <c r="A289" s="1" t="s">
        <v>4</v>
      </c>
      <c r="B289" s="5" t="s">
        <v>2</v>
      </c>
      <c r="C289" s="5"/>
      <c r="D289" s="2"/>
      <c r="E289" s="5"/>
      <c r="F289" s="1" t="s">
        <v>4</v>
      </c>
      <c r="G289" s="2" t="s">
        <v>2</v>
      </c>
      <c r="H289" s="2"/>
      <c r="I289" s="2"/>
      <c r="J289" s="2"/>
      <c r="K289" s="1" t="s">
        <v>4</v>
      </c>
      <c r="L289" s="2" t="s">
        <v>2</v>
      </c>
      <c r="M289" s="2"/>
      <c r="N289" s="2"/>
      <c r="O289" s="3"/>
    </row>
    <row r="290" spans="1:15" ht="15" x14ac:dyDescent="0.35">
      <c r="A290" s="1" t="s">
        <v>5</v>
      </c>
      <c r="B290" s="2"/>
      <c r="C290" s="5" t="s">
        <v>2</v>
      </c>
      <c r="D290" s="7">
        <v>100000</v>
      </c>
      <c r="E290" s="2"/>
      <c r="F290" s="1" t="s">
        <v>5</v>
      </c>
      <c r="G290" s="2"/>
      <c r="H290" s="2" t="s">
        <v>2</v>
      </c>
      <c r="I290" s="25">
        <f>[28]krnmei!$C$894</f>
        <v>100000</v>
      </c>
      <c r="J290" s="2"/>
      <c r="K290" s="1" t="s">
        <v>5</v>
      </c>
      <c r="L290" s="2"/>
      <c r="M290" s="2" t="s">
        <v>2</v>
      </c>
      <c r="N290" s="25">
        <f>[8]krnmei!$C$912</f>
        <v>100000</v>
      </c>
      <c r="O290" s="3"/>
    </row>
    <row r="291" spans="1:15" ht="15" x14ac:dyDescent="0.35">
      <c r="A291" s="1" t="s">
        <v>6</v>
      </c>
      <c r="B291" s="2"/>
      <c r="C291" s="5" t="s">
        <v>2</v>
      </c>
      <c r="D291" s="7">
        <v>10000</v>
      </c>
      <c r="E291" s="2"/>
      <c r="F291" s="1" t="s">
        <v>6</v>
      </c>
      <c r="G291" s="2"/>
      <c r="H291" s="2" t="s">
        <v>2</v>
      </c>
      <c r="I291" s="25">
        <f>[32]krnmei!$D$889</f>
        <v>10000</v>
      </c>
      <c r="J291" s="2"/>
      <c r="K291" s="1" t="s">
        <v>6</v>
      </c>
      <c r="L291" s="2"/>
      <c r="M291" s="2" t="s">
        <v>2</v>
      </c>
      <c r="N291" s="25">
        <f>'[3]KARNING 2021'!$D$905</f>
        <v>10000</v>
      </c>
      <c r="O291" s="3"/>
    </row>
    <row r="292" spans="1:15" ht="15" x14ac:dyDescent="0.35">
      <c r="A292" s="1" t="s">
        <v>7</v>
      </c>
      <c r="B292" s="2"/>
      <c r="C292" s="5" t="s">
        <v>2</v>
      </c>
      <c r="D292" s="2">
        <v>0</v>
      </c>
      <c r="E292" s="2"/>
      <c r="F292" s="1" t="s">
        <v>7</v>
      </c>
      <c r="G292" s="2"/>
      <c r="H292" s="2" t="s">
        <v>2</v>
      </c>
      <c r="I292" s="25">
        <f>[24]krnmei!$E$895</f>
        <v>100000</v>
      </c>
      <c r="J292" s="2"/>
      <c r="K292" s="1" t="s">
        <v>7</v>
      </c>
      <c r="L292" s="2"/>
      <c r="M292" s="2" t="s">
        <v>2</v>
      </c>
      <c r="N292" s="25">
        <f>[5]krnmei!$E$909</f>
        <v>100000</v>
      </c>
      <c r="O292" s="3"/>
    </row>
    <row r="293" spans="1:15" ht="15" x14ac:dyDescent="0.35">
      <c r="A293" s="1" t="s">
        <v>8</v>
      </c>
      <c r="B293" s="21">
        <v>21</v>
      </c>
      <c r="C293" s="5" t="s">
        <v>2</v>
      </c>
      <c r="D293" s="21">
        <f>[34]krnmei!$I$1013</f>
        <v>500000</v>
      </c>
      <c r="E293" s="2"/>
      <c r="F293" s="1" t="s">
        <v>8</v>
      </c>
      <c r="G293" s="21"/>
      <c r="H293" s="2" t="s">
        <v>2</v>
      </c>
      <c r="I293" s="25"/>
      <c r="J293" s="2"/>
      <c r="K293" s="1" t="s">
        <v>8</v>
      </c>
      <c r="L293" s="21">
        <v>19</v>
      </c>
      <c r="M293" s="2" t="s">
        <v>2</v>
      </c>
      <c r="N293" s="34">
        <f>[26]krnmei!$I$910</f>
        <v>600000</v>
      </c>
      <c r="O293" s="3"/>
    </row>
    <row r="294" spans="1:15" ht="15" x14ac:dyDescent="0.35">
      <c r="A294" s="1" t="s">
        <v>9</v>
      </c>
      <c r="B294" s="2"/>
      <c r="C294" s="5" t="s">
        <v>2</v>
      </c>
      <c r="D294" s="11">
        <f>[12]krnmei!$K$1018</f>
        <v>41250</v>
      </c>
      <c r="E294" s="2"/>
      <c r="F294" s="1" t="s">
        <v>9</v>
      </c>
      <c r="G294" s="2"/>
      <c r="H294" s="2" t="s">
        <v>2</v>
      </c>
      <c r="I294" s="11"/>
      <c r="J294" s="2"/>
      <c r="K294" s="1" t="s">
        <v>9</v>
      </c>
      <c r="L294" s="2"/>
      <c r="M294" s="2" t="s">
        <v>2</v>
      </c>
      <c r="N294" s="11">
        <f>[12]krnmei!$K$916</f>
        <v>213000</v>
      </c>
      <c r="O294" s="3"/>
    </row>
    <row r="295" spans="1:15" ht="15" x14ac:dyDescent="0.35">
      <c r="A295" s="1" t="s">
        <v>10</v>
      </c>
      <c r="B295" s="2"/>
      <c r="C295" s="5" t="s">
        <v>2</v>
      </c>
      <c r="D295" s="2">
        <v>0</v>
      </c>
      <c r="E295" s="2"/>
      <c r="F295" s="1" t="s">
        <v>10</v>
      </c>
      <c r="G295" s="2"/>
      <c r="H295" s="2" t="s">
        <v>2</v>
      </c>
      <c r="I295" s="8">
        <v>0</v>
      </c>
      <c r="J295" s="2"/>
      <c r="K295" s="1" t="s">
        <v>10</v>
      </c>
      <c r="L295" s="2"/>
      <c r="M295" s="2" t="s">
        <v>2</v>
      </c>
      <c r="N295" s="9">
        <v>0</v>
      </c>
      <c r="O295" s="3"/>
    </row>
    <row r="296" spans="1:15" ht="15" x14ac:dyDescent="0.35">
      <c r="A296" s="1" t="s">
        <v>11</v>
      </c>
      <c r="B296" s="2"/>
      <c r="C296" s="5" t="s">
        <v>2</v>
      </c>
      <c r="D296" s="2">
        <v>0</v>
      </c>
      <c r="E296" s="2"/>
      <c r="F296" s="1" t="s">
        <v>11</v>
      </c>
      <c r="G296" s="2"/>
      <c r="H296" s="2" t="s">
        <v>2</v>
      </c>
      <c r="I296" s="9">
        <f>[12]krnmei!$P$899</f>
        <v>60000</v>
      </c>
      <c r="J296" s="2"/>
      <c r="K296" s="1" t="s">
        <v>11</v>
      </c>
      <c r="L296" s="2"/>
      <c r="M296" s="2" t="s">
        <v>2</v>
      </c>
      <c r="N296" s="9">
        <v>0</v>
      </c>
      <c r="O296" s="3"/>
    </row>
    <row r="297" spans="1:15" ht="15" x14ac:dyDescent="0.35">
      <c r="A297" s="1" t="s">
        <v>12</v>
      </c>
      <c r="B297" s="2"/>
      <c r="C297" s="5" t="s">
        <v>2</v>
      </c>
      <c r="D297" s="2">
        <v>0</v>
      </c>
      <c r="E297" s="2"/>
      <c r="F297" s="1" t="s">
        <v>12</v>
      </c>
      <c r="G297" s="2"/>
      <c r="H297" s="2" t="s">
        <v>2</v>
      </c>
      <c r="I297" s="7"/>
      <c r="J297" s="2"/>
      <c r="K297" s="1" t="s">
        <v>12</v>
      </c>
      <c r="L297" s="2"/>
      <c r="M297" s="2" t="s">
        <v>2</v>
      </c>
      <c r="N297" s="25">
        <f>[5]krnmei!$F$909</f>
        <v>100000</v>
      </c>
      <c r="O297" s="3"/>
    </row>
    <row r="298" spans="1:15" ht="15" x14ac:dyDescent="0.35">
      <c r="A298" s="13" t="s">
        <v>13</v>
      </c>
      <c r="B298" s="5"/>
      <c r="C298" s="5" t="s">
        <v>2</v>
      </c>
      <c r="D298" s="14">
        <f>SUM(D290:D297)</f>
        <v>651250</v>
      </c>
      <c r="E298" s="2"/>
      <c r="F298" s="13" t="s">
        <v>13</v>
      </c>
      <c r="G298" s="5"/>
      <c r="H298" s="5" t="s">
        <v>2</v>
      </c>
      <c r="I298" s="24">
        <f>SUM(I290:I297)</f>
        <v>270000</v>
      </c>
      <c r="J298" s="2"/>
      <c r="K298" s="13" t="s">
        <v>13</v>
      </c>
      <c r="L298" s="5"/>
      <c r="M298" s="2" t="s">
        <v>2</v>
      </c>
      <c r="N298" s="24">
        <f>SUM(N290:N297)</f>
        <v>1123000</v>
      </c>
      <c r="O298" s="3"/>
    </row>
    <row r="299" spans="1:15" ht="15" x14ac:dyDescent="0.35">
      <c r="A299" s="1" t="s">
        <v>14</v>
      </c>
      <c r="B299" s="2"/>
      <c r="C299" s="2" t="s">
        <v>2</v>
      </c>
      <c r="D299" s="27">
        <f>[12]krnmei!$J$1018</f>
        <v>2250000</v>
      </c>
      <c r="E299" s="2"/>
      <c r="F299" s="1" t="s">
        <v>14</v>
      </c>
      <c r="G299" s="2"/>
      <c r="H299" s="2" t="s">
        <v>2</v>
      </c>
      <c r="I299" s="27">
        <f>[12]krnmei!$O$899</f>
        <v>3000000</v>
      </c>
      <c r="J299" s="2"/>
      <c r="K299" s="1" t="s">
        <v>14</v>
      </c>
      <c r="L299" s="2"/>
      <c r="M299" s="2" t="s">
        <v>2</v>
      </c>
      <c r="N299" s="27">
        <f>[12]krnmei!$J$916</f>
        <v>13600000</v>
      </c>
      <c r="O299" s="3"/>
    </row>
    <row r="300" spans="1:15" ht="15" x14ac:dyDescent="0.35">
      <c r="A300" s="1"/>
      <c r="B300" s="2"/>
      <c r="C300" s="2"/>
      <c r="D300" s="2" t="str">
        <f>D281</f>
        <v>Grogol, 01 Desember 2025</v>
      </c>
      <c r="E300" s="2"/>
      <c r="F300" s="1"/>
      <c r="G300" s="2"/>
      <c r="H300" s="15"/>
      <c r="I300" s="15" t="str">
        <f>I281</f>
        <v>Grogol, 01 Desember 2025</v>
      </c>
      <c r="J300" s="15"/>
      <c r="K300" s="1"/>
      <c r="L300" s="2"/>
      <c r="M300" s="2"/>
      <c r="N300" s="2" t="str">
        <f>D167</f>
        <v>Grogol, 01 Desember 2025</v>
      </c>
      <c r="O300" s="3"/>
    </row>
    <row r="301" spans="1:15" ht="15" x14ac:dyDescent="0.35">
      <c r="A301" s="1"/>
      <c r="B301" s="2"/>
      <c r="C301" s="2"/>
      <c r="D301" s="15" t="s">
        <v>15</v>
      </c>
      <c r="E301" s="2"/>
      <c r="F301" s="1"/>
      <c r="G301" s="2"/>
      <c r="H301" s="2"/>
      <c r="I301" s="15" t="s">
        <v>15</v>
      </c>
      <c r="J301" s="2"/>
      <c r="K301" s="1"/>
      <c r="L301" s="2"/>
      <c r="M301" s="2"/>
      <c r="N301" s="15" t="s">
        <v>15</v>
      </c>
      <c r="O301" s="3"/>
    </row>
    <row r="302" spans="1:15" ht="15" x14ac:dyDescent="0.35">
      <c r="A302" s="1"/>
      <c r="B302" s="2"/>
      <c r="C302" s="2"/>
      <c r="D302" s="2"/>
      <c r="E302" s="2"/>
      <c r="F302" s="1"/>
      <c r="G302" s="2"/>
      <c r="H302" s="2"/>
      <c r="I302" s="15"/>
      <c r="J302" s="2"/>
      <c r="K302" s="1"/>
      <c r="L302" s="2"/>
      <c r="M302" s="2"/>
      <c r="N302" s="2"/>
      <c r="O302" s="3"/>
    </row>
    <row r="303" spans="1:15" ht="15" x14ac:dyDescent="0.35">
      <c r="A303" s="1"/>
      <c r="B303" s="2"/>
      <c r="C303" s="2"/>
      <c r="D303" s="2"/>
      <c r="E303" s="2"/>
      <c r="F303" s="1"/>
      <c r="G303" s="2"/>
      <c r="H303" s="2"/>
      <c r="I303" s="15"/>
      <c r="J303" s="2"/>
      <c r="K303" s="1"/>
      <c r="L303" s="2"/>
      <c r="M303" s="2"/>
      <c r="N303" s="2"/>
      <c r="O303" s="3"/>
    </row>
    <row r="304" spans="1:15" ht="15.6" thickBot="1" x14ac:dyDescent="0.4">
      <c r="A304" s="17"/>
      <c r="B304" s="18"/>
      <c r="C304" s="18"/>
      <c r="D304" s="19" t="s">
        <v>16</v>
      </c>
      <c r="E304" s="18"/>
      <c r="F304" s="17"/>
      <c r="G304" s="18"/>
      <c r="H304" s="18"/>
      <c r="I304" s="19" t="s">
        <v>16</v>
      </c>
      <c r="J304" s="18"/>
      <c r="K304" s="17"/>
      <c r="L304" s="18"/>
      <c r="M304" s="18"/>
      <c r="N304" s="19" t="s">
        <v>16</v>
      </c>
      <c r="O304" s="20"/>
    </row>
    <row r="305" spans="1:15" ht="15" x14ac:dyDescent="0.35">
      <c r="A305" s="46" t="s">
        <v>0</v>
      </c>
      <c r="B305" s="47"/>
      <c r="C305" s="47"/>
      <c r="D305" s="47"/>
      <c r="E305" s="47"/>
      <c r="F305" s="46" t="s">
        <v>0</v>
      </c>
      <c r="G305" s="47"/>
      <c r="H305" s="47"/>
      <c r="I305" s="47"/>
      <c r="J305" s="47"/>
      <c r="K305" s="46" t="s">
        <v>0</v>
      </c>
      <c r="L305" s="47"/>
      <c r="M305" s="47"/>
      <c r="N305" s="47"/>
      <c r="O305" s="48"/>
    </row>
    <row r="306" spans="1:15" ht="15" x14ac:dyDescent="0.35">
      <c r="A306" s="1"/>
      <c r="B306" s="2"/>
      <c r="C306" s="2"/>
      <c r="D306" s="2"/>
      <c r="E306" s="2"/>
      <c r="F306" s="1"/>
      <c r="G306" s="2"/>
      <c r="H306" s="2"/>
      <c r="I306" s="2"/>
      <c r="J306" s="2"/>
      <c r="K306" s="1"/>
      <c r="L306" s="2"/>
      <c r="M306" s="2"/>
      <c r="N306" s="2"/>
      <c r="O306" s="3"/>
    </row>
    <row r="307" spans="1:15" ht="15" x14ac:dyDescent="0.35">
      <c r="A307" s="1" t="s">
        <v>1</v>
      </c>
      <c r="B307" s="2" t="s">
        <v>2</v>
      </c>
      <c r="C307" s="51" t="s">
        <v>46</v>
      </c>
      <c r="D307" s="51"/>
      <c r="E307" s="4">
        <v>38</v>
      </c>
      <c r="F307" s="1" t="s">
        <v>1</v>
      </c>
      <c r="G307" s="2" t="s">
        <v>2</v>
      </c>
      <c r="H307" s="50" t="str">
        <f>[17]krnmei!$B$1140</f>
        <v>SITI RODIYAH</v>
      </c>
      <c r="I307" s="50"/>
      <c r="J307" s="4">
        <v>20</v>
      </c>
      <c r="K307" s="1" t="s">
        <v>1</v>
      </c>
      <c r="L307" s="2"/>
      <c r="M307" s="5" t="s">
        <v>2</v>
      </c>
      <c r="N307" s="5" t="s">
        <v>68</v>
      </c>
      <c r="O307" s="6">
        <v>27</v>
      </c>
    </row>
    <row r="308" spans="1:15" ht="15" x14ac:dyDescent="0.35">
      <c r="A308" s="1" t="s">
        <v>4</v>
      </c>
      <c r="B308" s="2"/>
      <c r="C308" s="2" t="s">
        <v>2</v>
      </c>
      <c r="D308" s="2"/>
      <c r="F308" s="1" t="s">
        <v>4</v>
      </c>
      <c r="G308" s="2"/>
      <c r="H308" s="2" t="s">
        <v>2</v>
      </c>
      <c r="I308" s="2"/>
      <c r="J308" s="2"/>
      <c r="K308" s="1" t="s">
        <v>4</v>
      </c>
      <c r="L308" s="2"/>
      <c r="M308" s="2" t="s">
        <v>2</v>
      </c>
      <c r="N308" s="2"/>
      <c r="O308" s="3"/>
    </row>
    <row r="309" spans="1:15" ht="15" x14ac:dyDescent="0.35">
      <c r="A309" s="1" t="s">
        <v>5</v>
      </c>
      <c r="B309" s="2"/>
      <c r="C309" s="2" t="s">
        <v>2</v>
      </c>
      <c r="D309" s="25">
        <f>'[3]KARNING 2021'!$C$922</f>
        <v>15000</v>
      </c>
      <c r="E309" s="2"/>
      <c r="F309" s="1" t="s">
        <v>5</v>
      </c>
      <c r="G309" s="2"/>
      <c r="H309" s="2" t="s">
        <v>2</v>
      </c>
      <c r="I309" s="25">
        <f>[17]krnmei!$C$1145</f>
        <v>100000</v>
      </c>
      <c r="J309" s="2"/>
      <c r="K309" s="1" t="s">
        <v>5</v>
      </c>
      <c r="L309" s="2"/>
      <c r="M309" s="2" t="s">
        <v>2</v>
      </c>
      <c r="N309" s="25">
        <v>100000</v>
      </c>
      <c r="O309" s="3"/>
    </row>
    <row r="310" spans="1:15" ht="15" x14ac:dyDescent="0.35">
      <c r="A310" s="1" t="s">
        <v>6</v>
      </c>
      <c r="B310" s="2"/>
      <c r="C310" s="2" t="s">
        <v>2</v>
      </c>
      <c r="D310" s="25">
        <f>'[3]KARNING 2021'!$D$922</f>
        <v>35000</v>
      </c>
      <c r="E310" s="2"/>
      <c r="F310" s="1" t="s">
        <v>6</v>
      </c>
      <c r="G310" s="2"/>
      <c r="H310" s="2" t="s">
        <v>2</v>
      </c>
      <c r="I310" s="25">
        <f>[32]krnmei!$D$1144</f>
        <v>100000</v>
      </c>
      <c r="J310" s="2"/>
      <c r="K310" s="1" t="s">
        <v>6</v>
      </c>
      <c r="L310" s="2"/>
      <c r="M310" s="2" t="s">
        <v>2</v>
      </c>
      <c r="N310" s="25">
        <v>50000</v>
      </c>
      <c r="O310" s="3"/>
    </row>
    <row r="311" spans="1:15" ht="15" x14ac:dyDescent="0.35">
      <c r="A311" s="1" t="s">
        <v>7</v>
      </c>
      <c r="B311" s="2"/>
      <c r="C311" s="2" t="s">
        <v>2</v>
      </c>
      <c r="D311" s="25">
        <f>'[3]KARNING 2021'!$E$922</f>
        <v>50000</v>
      </c>
      <c r="E311" s="2"/>
      <c r="F311" s="1" t="s">
        <v>7</v>
      </c>
      <c r="G311" s="2"/>
      <c r="H311" s="2" t="s">
        <v>2</v>
      </c>
      <c r="I311" s="25">
        <f>[5]krnmei!$E$1147</f>
        <v>300000</v>
      </c>
      <c r="J311" s="2"/>
      <c r="K311" s="1" t="s">
        <v>7</v>
      </c>
      <c r="L311" s="2"/>
      <c r="M311" s="2" t="s">
        <v>2</v>
      </c>
      <c r="N311" s="8">
        <v>100000</v>
      </c>
      <c r="O311" s="3"/>
    </row>
    <row r="312" spans="1:15" ht="15" x14ac:dyDescent="0.35">
      <c r="A312" s="1" t="s">
        <v>8</v>
      </c>
      <c r="B312" s="2"/>
      <c r="C312" s="2" t="s">
        <v>2</v>
      </c>
      <c r="D312" s="25"/>
      <c r="E312" s="2"/>
      <c r="F312" s="1" t="s">
        <v>8</v>
      </c>
      <c r="G312" s="21">
        <v>18</v>
      </c>
      <c r="H312" s="2" t="s">
        <v>2</v>
      </c>
      <c r="I312" s="25">
        <f>[13]krnmei!$I$1149</f>
        <v>500000</v>
      </c>
      <c r="J312" s="2"/>
      <c r="K312" s="1" t="s">
        <v>8</v>
      </c>
      <c r="L312" s="21">
        <v>0</v>
      </c>
      <c r="M312" s="2" t="s">
        <v>2</v>
      </c>
      <c r="N312" s="11">
        <v>0</v>
      </c>
      <c r="O312" s="3"/>
    </row>
    <row r="313" spans="1:15" ht="15" x14ac:dyDescent="0.35">
      <c r="A313" s="1" t="s">
        <v>9</v>
      </c>
      <c r="B313" s="2"/>
      <c r="C313" s="2" t="s">
        <v>2</v>
      </c>
      <c r="D313" s="25"/>
      <c r="E313" s="2"/>
      <c r="F313" s="1" t="s">
        <v>9</v>
      </c>
      <c r="G313" s="2"/>
      <c r="H313" s="2" t="s">
        <v>2</v>
      </c>
      <c r="I313" s="31">
        <f>[12]krnmei!$K$1154</f>
        <v>22500</v>
      </c>
      <c r="J313" s="2"/>
      <c r="K313" s="1" t="s">
        <v>9</v>
      </c>
      <c r="L313" s="2"/>
      <c r="M313" s="2" t="s">
        <v>2</v>
      </c>
      <c r="N313" s="11">
        <v>0</v>
      </c>
      <c r="O313" s="3"/>
    </row>
    <row r="314" spans="1:15" ht="15" x14ac:dyDescent="0.35">
      <c r="A314" s="1" t="s">
        <v>10</v>
      </c>
      <c r="B314" s="2"/>
      <c r="C314" s="2" t="s">
        <v>2</v>
      </c>
      <c r="D314" s="8"/>
      <c r="E314" s="2"/>
      <c r="F314" s="1" t="s">
        <v>10</v>
      </c>
      <c r="G314" s="2"/>
      <c r="H314" s="2" t="s">
        <v>2</v>
      </c>
      <c r="I314" s="8">
        <v>0</v>
      </c>
      <c r="J314" s="2"/>
      <c r="K314" s="1" t="s">
        <v>10</v>
      </c>
      <c r="L314" s="2"/>
      <c r="M314" s="2" t="s">
        <v>2</v>
      </c>
      <c r="N314" s="8">
        <v>0</v>
      </c>
      <c r="O314" s="3"/>
    </row>
    <row r="315" spans="1:15" ht="15" x14ac:dyDescent="0.35">
      <c r="A315" s="1" t="s">
        <v>11</v>
      </c>
      <c r="B315" s="2"/>
      <c r="C315" s="2" t="s">
        <v>2</v>
      </c>
      <c r="D315" s="9"/>
      <c r="E315" s="2"/>
      <c r="F315" s="1" t="s">
        <v>11</v>
      </c>
      <c r="G315" s="2"/>
      <c r="H315" s="2" t="s">
        <v>2</v>
      </c>
      <c r="I315" s="9">
        <v>0</v>
      </c>
      <c r="J315" s="2"/>
      <c r="K315" s="1" t="s">
        <v>11</v>
      </c>
      <c r="L315" s="2"/>
      <c r="M315" s="2" t="s">
        <v>2</v>
      </c>
      <c r="N315" s="9">
        <f>[32]krnmei!$P$1127</f>
        <v>0</v>
      </c>
      <c r="O315" s="3"/>
    </row>
    <row r="316" spans="1:15" ht="15" x14ac:dyDescent="0.35">
      <c r="A316" s="1" t="s">
        <v>12</v>
      </c>
      <c r="B316" s="2"/>
      <c r="C316" s="2" t="s">
        <v>2</v>
      </c>
      <c r="D316" s="7"/>
      <c r="E316" s="2"/>
      <c r="F316" s="1" t="s">
        <v>12</v>
      </c>
      <c r="G316" s="2"/>
      <c r="H316" s="2" t="s">
        <v>2</v>
      </c>
      <c r="I316" s="8">
        <f>[17]krnmei!$F$1145</f>
        <v>50000</v>
      </c>
      <c r="J316" s="2"/>
      <c r="K316" s="1" t="s">
        <v>12</v>
      </c>
      <c r="L316" s="2"/>
      <c r="M316" s="2" t="s">
        <v>2</v>
      </c>
      <c r="N316" s="8">
        <v>50000</v>
      </c>
      <c r="O316" s="3"/>
    </row>
    <row r="317" spans="1:15" ht="15" x14ac:dyDescent="0.35">
      <c r="A317" s="13" t="s">
        <v>13</v>
      </c>
      <c r="B317" s="5"/>
      <c r="C317" s="5" t="s">
        <v>2</v>
      </c>
      <c r="D317" s="24">
        <f>SUM(D309:D316)</f>
        <v>100000</v>
      </c>
      <c r="E317" s="2"/>
      <c r="F317" s="13" t="s">
        <v>13</v>
      </c>
      <c r="G317" s="5"/>
      <c r="H317" s="5"/>
      <c r="I317" s="24">
        <f>SUM(I309:I316)</f>
        <v>1072500</v>
      </c>
      <c r="J317" s="2"/>
      <c r="K317" s="13" t="s">
        <v>13</v>
      </c>
      <c r="L317" s="5"/>
      <c r="M317" s="5" t="s">
        <v>2</v>
      </c>
      <c r="N317" s="24">
        <f>N309+N310+N311+N316+N315</f>
        <v>300000</v>
      </c>
      <c r="O317" s="3"/>
    </row>
    <row r="318" spans="1:15" ht="15" x14ac:dyDescent="0.35">
      <c r="A318" s="1" t="s">
        <v>14</v>
      </c>
      <c r="B318" s="2"/>
      <c r="C318" s="2" t="s">
        <v>2</v>
      </c>
      <c r="D318" s="25">
        <v>0</v>
      </c>
      <c r="E318" s="2"/>
      <c r="F318" s="1" t="s">
        <v>14</v>
      </c>
      <c r="G318" s="2"/>
      <c r="H318" s="2"/>
      <c r="I318" s="25">
        <f>[12]krnmei!$J$1154</f>
        <v>1000000</v>
      </c>
      <c r="J318" s="2"/>
      <c r="K318" s="1" t="s">
        <v>14</v>
      </c>
      <c r="L318" s="2"/>
      <c r="M318" s="2" t="s">
        <v>2</v>
      </c>
      <c r="N318" s="25">
        <v>0</v>
      </c>
      <c r="O318" s="3"/>
    </row>
    <row r="319" spans="1:15" ht="15" x14ac:dyDescent="0.35">
      <c r="A319" s="1"/>
      <c r="B319" s="2"/>
      <c r="C319" s="15"/>
      <c r="D319" s="15" t="str">
        <f>I300</f>
        <v>Grogol, 01 Desember 2025</v>
      </c>
      <c r="E319" s="2"/>
      <c r="F319" s="1"/>
      <c r="G319" s="2"/>
      <c r="H319" s="15"/>
      <c r="I319" s="35" t="str">
        <f>D167</f>
        <v>Grogol, 01 Desember 2025</v>
      </c>
      <c r="J319" s="15"/>
      <c r="K319" s="1"/>
      <c r="L319" s="2"/>
      <c r="M319" s="15"/>
      <c r="N319" s="35" t="str">
        <f>D167</f>
        <v>Grogol, 01 Desember 2025</v>
      </c>
      <c r="O319" s="16"/>
    </row>
    <row r="320" spans="1:15" ht="15" x14ac:dyDescent="0.35">
      <c r="A320" s="1"/>
      <c r="B320" s="2"/>
      <c r="C320" s="2"/>
      <c r="D320" s="15" t="s">
        <v>15</v>
      </c>
      <c r="E320" s="15"/>
      <c r="F320" s="1"/>
      <c r="G320" s="2"/>
      <c r="H320" s="2"/>
      <c r="I320" s="15" t="s">
        <v>15</v>
      </c>
      <c r="J320" s="2"/>
      <c r="K320" s="1"/>
      <c r="L320" s="2"/>
      <c r="M320" s="2"/>
      <c r="N320" s="15" t="s">
        <v>15</v>
      </c>
      <c r="O320" s="3"/>
    </row>
    <row r="321" spans="1:15" ht="15" x14ac:dyDescent="0.35">
      <c r="A321" s="1"/>
      <c r="B321" s="2"/>
      <c r="C321" s="2"/>
      <c r="D321" s="15"/>
      <c r="E321" s="2"/>
      <c r="F321" s="1"/>
      <c r="G321" s="2"/>
      <c r="H321" s="2"/>
      <c r="I321" s="15"/>
      <c r="J321" s="2"/>
      <c r="K321" s="1"/>
      <c r="L321" s="2"/>
      <c r="M321" s="2"/>
      <c r="N321" s="15"/>
      <c r="O321" s="3"/>
    </row>
    <row r="322" spans="1:15" ht="15" x14ac:dyDescent="0.35">
      <c r="A322" s="1"/>
      <c r="B322" s="2"/>
      <c r="C322" s="2"/>
      <c r="D322" s="15"/>
      <c r="E322" s="2"/>
      <c r="F322" s="1"/>
      <c r="G322" s="2"/>
      <c r="H322" s="2"/>
      <c r="I322" s="15"/>
      <c r="J322" s="2"/>
      <c r="K322" s="1"/>
      <c r="L322" s="2"/>
      <c r="M322" s="2"/>
      <c r="N322" s="15"/>
      <c r="O322" s="3"/>
    </row>
    <row r="323" spans="1:15" ht="15.6" thickBot="1" x14ac:dyDescent="0.4">
      <c r="A323" s="17"/>
      <c r="B323" s="18"/>
      <c r="C323" s="18"/>
      <c r="D323" s="19" t="s">
        <v>16</v>
      </c>
      <c r="E323" s="18"/>
      <c r="F323" s="17"/>
      <c r="G323" s="18"/>
      <c r="H323" s="18"/>
      <c r="I323" s="19" t="s">
        <v>16</v>
      </c>
      <c r="J323" s="18"/>
      <c r="K323" s="17"/>
      <c r="L323" s="18"/>
      <c r="M323" s="18"/>
      <c r="N323" s="19" t="s">
        <v>16</v>
      </c>
      <c r="O323" s="20"/>
    </row>
    <row r="324" spans="1:15" ht="15" x14ac:dyDescent="0.35">
      <c r="A324" s="46" t="s">
        <v>0</v>
      </c>
      <c r="B324" s="47"/>
      <c r="C324" s="47"/>
      <c r="D324" s="47"/>
      <c r="E324" s="47"/>
      <c r="F324" s="46" t="s">
        <v>0</v>
      </c>
      <c r="G324" s="47"/>
      <c r="H324" s="47"/>
      <c r="I324" s="47"/>
      <c r="J324" s="47"/>
      <c r="K324" s="46" t="s">
        <v>0</v>
      </c>
      <c r="L324" s="47"/>
      <c r="M324" s="47"/>
      <c r="N324" s="47"/>
      <c r="O324" s="48"/>
    </row>
    <row r="325" spans="1:15" ht="15" x14ac:dyDescent="0.35">
      <c r="A325" s="1"/>
      <c r="B325" s="2"/>
      <c r="C325" s="2"/>
      <c r="D325" s="2"/>
      <c r="E325" s="4"/>
      <c r="F325" s="1"/>
      <c r="G325" s="2"/>
      <c r="H325" s="2"/>
      <c r="I325" s="2"/>
      <c r="J325" s="2"/>
      <c r="K325" s="1"/>
      <c r="L325" s="2"/>
      <c r="M325" s="2"/>
      <c r="N325" s="2"/>
      <c r="O325" s="3"/>
    </row>
    <row r="326" spans="1:15" ht="15" x14ac:dyDescent="0.35">
      <c r="A326" s="1" t="s">
        <v>1</v>
      </c>
      <c r="B326" s="2" t="s">
        <v>2</v>
      </c>
      <c r="C326" s="51" t="s">
        <v>47</v>
      </c>
      <c r="D326" s="51"/>
      <c r="E326" s="4">
        <v>39</v>
      </c>
      <c r="F326" s="1" t="s">
        <v>1</v>
      </c>
      <c r="G326" s="2" t="s">
        <v>2</v>
      </c>
      <c r="H326" s="50" t="s">
        <v>48</v>
      </c>
      <c r="I326" s="50"/>
      <c r="J326" s="4">
        <v>44</v>
      </c>
      <c r="K326" s="1" t="s">
        <v>1</v>
      </c>
      <c r="L326" s="24"/>
      <c r="M326" s="5" t="s">
        <v>2</v>
      </c>
      <c r="N326" s="5" t="s">
        <v>67</v>
      </c>
      <c r="O326" s="6">
        <v>28</v>
      </c>
    </row>
    <row r="327" spans="1:15" ht="15" x14ac:dyDescent="0.35">
      <c r="A327" s="1" t="s">
        <v>4</v>
      </c>
      <c r="B327" s="2"/>
      <c r="C327" s="2" t="s">
        <v>2</v>
      </c>
      <c r="D327" s="2"/>
      <c r="F327" s="1" t="s">
        <v>4</v>
      </c>
      <c r="G327" s="2"/>
      <c r="H327" s="2" t="s">
        <v>2</v>
      </c>
      <c r="I327" s="2"/>
      <c r="J327" s="2"/>
      <c r="K327" s="1" t="s">
        <v>4</v>
      </c>
      <c r="L327" s="2"/>
      <c r="M327" s="2"/>
      <c r="N327" s="2"/>
      <c r="O327" s="3"/>
    </row>
    <row r="328" spans="1:15" ht="15" x14ac:dyDescent="0.35">
      <c r="A328" s="1" t="s">
        <v>5</v>
      </c>
      <c r="B328" s="2"/>
      <c r="C328" s="2" t="s">
        <v>2</v>
      </c>
      <c r="D328" s="25">
        <f>'[3]KARNING 2021'!$C$973</f>
        <v>15000</v>
      </c>
      <c r="E328" s="2"/>
      <c r="F328" s="1" t="s">
        <v>5</v>
      </c>
      <c r="G328" s="2"/>
      <c r="H328" s="2" t="s">
        <v>2</v>
      </c>
      <c r="I328" s="25">
        <f>'[3]KARNING 2021'!$C$990</f>
        <v>100000</v>
      </c>
      <c r="J328" s="2"/>
      <c r="K328" s="1" t="s">
        <v>49</v>
      </c>
      <c r="L328" s="2"/>
      <c r="M328" s="2" t="s">
        <v>2</v>
      </c>
      <c r="N328" s="7">
        <v>100000</v>
      </c>
      <c r="O328" s="3"/>
    </row>
    <row r="329" spans="1:15" ht="15" x14ac:dyDescent="0.35">
      <c r="A329" s="1" t="s">
        <v>6</v>
      </c>
      <c r="B329" s="2"/>
      <c r="C329" s="2" t="s">
        <v>2</v>
      </c>
      <c r="D329" s="25">
        <f>'[3]KARNING 2021'!$D$973</f>
        <v>10000</v>
      </c>
      <c r="E329" s="2"/>
      <c r="F329" s="1" t="s">
        <v>6</v>
      </c>
      <c r="G329" s="2"/>
      <c r="H329" s="2" t="s">
        <v>2</v>
      </c>
      <c r="I329" s="25">
        <f>'[3]KARNING 2021'!$D$990</f>
        <v>75000</v>
      </c>
      <c r="J329" s="2"/>
      <c r="K329" s="1" t="s">
        <v>6</v>
      </c>
      <c r="L329" s="2"/>
      <c r="M329" s="2" t="s">
        <v>2</v>
      </c>
      <c r="N329" s="7">
        <v>50000</v>
      </c>
      <c r="O329" s="3"/>
    </row>
    <row r="330" spans="1:15" ht="15" x14ac:dyDescent="0.35">
      <c r="A330" s="1" t="s">
        <v>7</v>
      </c>
      <c r="B330" s="2"/>
      <c r="C330" s="2" t="s">
        <v>2</v>
      </c>
      <c r="D330" s="25">
        <f>[21]krnmei!$E$978</f>
        <v>500000</v>
      </c>
      <c r="E330" s="2"/>
      <c r="F330" s="1" t="s">
        <v>7</v>
      </c>
      <c r="G330" s="2"/>
      <c r="H330" s="2" t="s">
        <v>2</v>
      </c>
      <c r="I330" s="25">
        <f>'[3]KARNING 2021'!$E$990</f>
        <v>100000</v>
      </c>
      <c r="J330" s="2"/>
      <c r="K330" s="1" t="s">
        <v>7</v>
      </c>
      <c r="L330" s="2"/>
      <c r="M330" s="2" t="s">
        <v>2</v>
      </c>
      <c r="N330" s="7">
        <v>100000</v>
      </c>
      <c r="O330" s="3"/>
    </row>
    <row r="331" spans="1:15" ht="15" x14ac:dyDescent="0.35">
      <c r="A331" s="1" t="s">
        <v>8</v>
      </c>
      <c r="B331" s="7">
        <v>33</v>
      </c>
      <c r="C331" s="2" t="s">
        <v>2</v>
      </c>
      <c r="D331" s="25">
        <f>'[3]KARNING 2021'!$I$973</f>
        <v>200000</v>
      </c>
      <c r="E331" s="2"/>
      <c r="F331" s="1" t="s">
        <v>8</v>
      </c>
      <c r="G331" s="7">
        <v>28</v>
      </c>
      <c r="H331" s="2" t="s">
        <v>2</v>
      </c>
      <c r="I331" s="25">
        <f>[26]krnmei!$I$995</f>
        <v>1500000</v>
      </c>
      <c r="J331" s="2"/>
      <c r="K331" s="1" t="s">
        <v>8</v>
      </c>
      <c r="L331" s="2"/>
      <c r="M331" s="2" t="s">
        <v>2</v>
      </c>
      <c r="N331" s="7"/>
      <c r="O331" s="3"/>
    </row>
    <row r="332" spans="1:15" ht="15" x14ac:dyDescent="0.35">
      <c r="A332" s="1" t="s">
        <v>9</v>
      </c>
      <c r="B332" s="2"/>
      <c r="C332" s="2" t="s">
        <v>2</v>
      </c>
      <c r="D332" s="11">
        <f>[12]krnmei!$K$984</f>
        <v>36000</v>
      </c>
      <c r="E332" s="2"/>
      <c r="F332" s="1" t="s">
        <v>9</v>
      </c>
      <c r="G332" s="7"/>
      <c r="H332" s="2" t="s">
        <v>2</v>
      </c>
      <c r="I332" s="11">
        <f>[12]krnmei!$K$1001</f>
        <v>105000</v>
      </c>
      <c r="J332" s="2"/>
      <c r="K332" s="1" t="s">
        <v>9</v>
      </c>
      <c r="L332" s="2"/>
      <c r="M332" s="2" t="s">
        <v>2</v>
      </c>
      <c r="N332" s="11"/>
      <c r="O332" s="3"/>
    </row>
    <row r="333" spans="1:15" ht="15" x14ac:dyDescent="0.35">
      <c r="A333" s="1" t="s">
        <v>10</v>
      </c>
      <c r="B333" s="7"/>
      <c r="C333" s="2" t="s">
        <v>2</v>
      </c>
      <c r="D333" s="8">
        <v>0</v>
      </c>
      <c r="E333" s="2"/>
      <c r="F333" s="1" t="s">
        <v>10</v>
      </c>
      <c r="G333" s="7"/>
      <c r="H333" s="2" t="s">
        <v>2</v>
      </c>
      <c r="I333" s="8">
        <v>0</v>
      </c>
      <c r="J333" s="2"/>
      <c r="K333" s="1" t="s">
        <v>10</v>
      </c>
      <c r="L333" s="2"/>
      <c r="M333" s="2" t="s">
        <v>2</v>
      </c>
      <c r="N333" s="7"/>
      <c r="O333" s="3"/>
    </row>
    <row r="334" spans="1:15" ht="15" x14ac:dyDescent="0.35">
      <c r="A334" s="1" t="s">
        <v>11</v>
      </c>
      <c r="B334" s="2"/>
      <c r="C334" s="2" t="s">
        <v>2</v>
      </c>
      <c r="D334" s="8">
        <v>0</v>
      </c>
      <c r="E334" s="2"/>
      <c r="F334" s="1" t="s">
        <v>11</v>
      </c>
      <c r="G334" s="2"/>
      <c r="H334" s="2" t="s">
        <v>2</v>
      </c>
      <c r="I334" s="8">
        <v>0</v>
      </c>
      <c r="J334" s="2"/>
      <c r="K334" s="1" t="s">
        <v>11</v>
      </c>
      <c r="L334" s="2"/>
      <c r="M334" s="2" t="s">
        <v>2</v>
      </c>
      <c r="N334" s="2"/>
      <c r="O334" s="3"/>
    </row>
    <row r="335" spans="1:15" ht="15" x14ac:dyDescent="0.35">
      <c r="A335" s="1" t="s">
        <v>12</v>
      </c>
      <c r="B335" s="2"/>
      <c r="C335" s="2" t="s">
        <v>2</v>
      </c>
      <c r="D335" s="7">
        <f>'[3]KARNING 2021'!$F$973</f>
        <v>50000</v>
      </c>
      <c r="E335" s="2"/>
      <c r="F335" s="1" t="s">
        <v>12</v>
      </c>
      <c r="G335" s="2"/>
      <c r="H335" s="2" t="s">
        <v>2</v>
      </c>
      <c r="I335" s="8">
        <f>'[3]KARNING 2021'!$F$990</f>
        <v>50000</v>
      </c>
      <c r="J335" s="2"/>
      <c r="K335" s="1" t="s">
        <v>12</v>
      </c>
      <c r="L335" s="2"/>
      <c r="M335" s="2" t="s">
        <v>2</v>
      </c>
      <c r="N335" s="8">
        <v>100000</v>
      </c>
      <c r="O335" s="3"/>
    </row>
    <row r="336" spans="1:15" ht="15" x14ac:dyDescent="0.35">
      <c r="A336" s="13" t="s">
        <v>13</v>
      </c>
      <c r="B336" s="5"/>
      <c r="C336" s="5" t="s">
        <v>2</v>
      </c>
      <c r="D336" s="24">
        <f>SUM(D328:D335)</f>
        <v>811000</v>
      </c>
      <c r="E336" s="2"/>
      <c r="F336" s="13" t="s">
        <v>13</v>
      </c>
      <c r="G336" s="5"/>
      <c r="H336" s="5" t="s">
        <v>2</v>
      </c>
      <c r="I336" s="24">
        <f>SUM(I328:I335)</f>
        <v>1930000</v>
      </c>
      <c r="J336" s="2"/>
      <c r="K336" s="13" t="s">
        <v>13</v>
      </c>
      <c r="L336" s="5"/>
      <c r="M336" s="5"/>
      <c r="N336" s="24">
        <f>SUM(N328:N335)</f>
        <v>350000</v>
      </c>
      <c r="O336" s="3"/>
    </row>
    <row r="337" spans="1:15" ht="15" x14ac:dyDescent="0.35">
      <c r="A337" s="1" t="s">
        <v>14</v>
      </c>
      <c r="B337" s="2"/>
      <c r="C337" s="2" t="s">
        <v>2</v>
      </c>
      <c r="D337" s="25">
        <f>[12]krnmei!$J$984</f>
        <v>2200000</v>
      </c>
      <c r="E337" s="2"/>
      <c r="F337" s="1" t="s">
        <v>14</v>
      </c>
      <c r="G337" s="2"/>
      <c r="H337" s="2" t="s">
        <v>2</v>
      </c>
      <c r="I337" s="32">
        <f>[12]krnmei!$J$1001</f>
        <v>5500000</v>
      </c>
      <c r="J337" s="2"/>
      <c r="K337" s="1" t="s">
        <v>14</v>
      </c>
      <c r="L337" s="2"/>
      <c r="M337" s="2" t="s">
        <v>2</v>
      </c>
      <c r="N337" s="32">
        <f>[24]krnmei!$J$1014</f>
        <v>0</v>
      </c>
      <c r="O337" s="3"/>
    </row>
    <row r="338" spans="1:15" ht="15" x14ac:dyDescent="0.35">
      <c r="A338" s="1"/>
      <c r="B338" s="2"/>
      <c r="C338" s="15"/>
      <c r="D338" s="35" t="str">
        <f>D167</f>
        <v>Grogol, 01 Desember 2025</v>
      </c>
      <c r="E338" s="2"/>
      <c r="F338" s="1"/>
      <c r="G338" s="2"/>
      <c r="H338" s="15"/>
      <c r="I338" s="35" t="str">
        <f>D167</f>
        <v>Grogol, 01 Desember 2025</v>
      </c>
      <c r="J338" s="15"/>
      <c r="K338" s="1"/>
      <c r="L338" s="49" t="str">
        <f>I338</f>
        <v>Grogol, 01 Desember 2025</v>
      </c>
      <c r="M338" s="49"/>
      <c r="N338" s="49"/>
      <c r="O338" s="16"/>
    </row>
    <row r="339" spans="1:15" ht="15" x14ac:dyDescent="0.35">
      <c r="A339" s="1"/>
      <c r="B339" s="2"/>
      <c r="C339" s="2"/>
      <c r="D339" s="15" t="s">
        <v>15</v>
      </c>
      <c r="E339" s="15"/>
      <c r="F339" s="1"/>
      <c r="G339" s="2"/>
      <c r="H339" s="2"/>
      <c r="I339" s="15" t="s">
        <v>15</v>
      </c>
      <c r="J339" s="2"/>
      <c r="K339" s="1"/>
      <c r="L339" s="2"/>
      <c r="M339" s="2"/>
      <c r="N339" s="15" t="s">
        <v>15</v>
      </c>
      <c r="O339" s="3"/>
    </row>
    <row r="340" spans="1:15" ht="15" x14ac:dyDescent="0.35">
      <c r="A340" s="1"/>
      <c r="B340" s="2"/>
      <c r="C340" s="2"/>
      <c r="D340" s="15"/>
      <c r="E340" s="2"/>
      <c r="F340" s="1"/>
      <c r="G340" s="2"/>
      <c r="H340" s="2"/>
      <c r="I340" s="15"/>
      <c r="J340" s="2"/>
      <c r="K340" s="1"/>
      <c r="L340" s="2"/>
      <c r="M340" s="2"/>
      <c r="N340" s="2"/>
      <c r="O340" s="3"/>
    </row>
    <row r="341" spans="1:15" ht="15" x14ac:dyDescent="0.35">
      <c r="A341" s="1"/>
      <c r="B341" s="2"/>
      <c r="C341" s="2"/>
      <c r="D341" s="15"/>
      <c r="E341" s="2"/>
      <c r="F341" s="1"/>
      <c r="G341" s="2"/>
      <c r="H341" s="2"/>
      <c r="I341" s="15"/>
      <c r="J341" s="2"/>
      <c r="K341" s="1"/>
      <c r="L341" s="2"/>
      <c r="M341" s="2"/>
      <c r="N341" s="2"/>
      <c r="O341" s="3"/>
    </row>
    <row r="342" spans="1:15" ht="15.6" thickBot="1" x14ac:dyDescent="0.4">
      <c r="A342" s="17"/>
      <c r="B342" s="18"/>
      <c r="C342" s="18"/>
      <c r="D342" s="19" t="s">
        <v>16</v>
      </c>
      <c r="E342" s="18"/>
      <c r="F342" s="17"/>
      <c r="G342" s="18"/>
      <c r="H342" s="18"/>
      <c r="I342" s="19" t="s">
        <v>16</v>
      </c>
      <c r="J342" s="18"/>
      <c r="K342" s="17"/>
      <c r="L342" s="18"/>
      <c r="M342" s="18"/>
      <c r="N342" s="19" t="s">
        <v>16</v>
      </c>
      <c r="O342" s="20"/>
    </row>
    <row r="343" spans="1:15" ht="15" x14ac:dyDescent="0.35">
      <c r="A343" s="46" t="s">
        <v>0</v>
      </c>
      <c r="B343" s="47"/>
      <c r="C343" s="47"/>
      <c r="D343" s="47"/>
      <c r="E343" s="47"/>
      <c r="F343" s="46" t="s">
        <v>0</v>
      </c>
      <c r="G343" s="47"/>
      <c r="H343" s="47"/>
      <c r="I343" s="47"/>
      <c r="J343" s="47"/>
      <c r="K343" s="46" t="s">
        <v>0</v>
      </c>
      <c r="L343" s="47"/>
      <c r="M343" s="47"/>
      <c r="N343" s="47"/>
      <c r="O343" s="48"/>
    </row>
    <row r="344" spans="1:15" ht="15" x14ac:dyDescent="0.35">
      <c r="A344" s="1"/>
      <c r="B344" s="2"/>
      <c r="C344" s="2"/>
      <c r="D344" s="2"/>
      <c r="E344" s="2"/>
      <c r="F344" s="1"/>
      <c r="G344" s="2"/>
      <c r="H344" s="2"/>
      <c r="I344" s="2"/>
      <c r="J344" s="2"/>
      <c r="K344" s="1"/>
      <c r="L344" s="2"/>
      <c r="M344" s="2"/>
      <c r="N344" s="2"/>
      <c r="O344" s="3"/>
    </row>
    <row r="345" spans="1:15" ht="15" x14ac:dyDescent="0.35">
      <c r="A345" s="1" t="s">
        <v>1</v>
      </c>
      <c r="B345" s="2" t="s">
        <v>2</v>
      </c>
      <c r="C345" s="50" t="s">
        <v>50</v>
      </c>
      <c r="D345" s="50"/>
      <c r="E345" s="4">
        <v>40</v>
      </c>
      <c r="F345" s="1" t="s">
        <v>1</v>
      </c>
      <c r="G345" s="2" t="s">
        <v>2</v>
      </c>
      <c r="H345" s="50" t="s">
        <v>51</v>
      </c>
      <c r="I345" s="50"/>
      <c r="J345" s="4">
        <v>41</v>
      </c>
      <c r="K345" s="1" t="s">
        <v>1</v>
      </c>
      <c r="L345" s="2" t="s">
        <v>2</v>
      </c>
      <c r="M345" s="50" t="s">
        <v>63</v>
      </c>
      <c r="N345" s="50"/>
      <c r="O345" s="6">
        <v>47</v>
      </c>
    </row>
    <row r="346" spans="1:15" ht="15" x14ac:dyDescent="0.35">
      <c r="A346" s="1" t="s">
        <v>4</v>
      </c>
      <c r="B346" s="2"/>
      <c r="C346" s="2" t="s">
        <v>2</v>
      </c>
      <c r="D346" s="2"/>
      <c r="F346" s="1" t="s">
        <v>4</v>
      </c>
      <c r="G346" s="2"/>
      <c r="H346" s="2" t="s">
        <v>2</v>
      </c>
      <c r="I346" s="2"/>
      <c r="J346" s="2"/>
      <c r="K346" s="1" t="s">
        <v>52</v>
      </c>
      <c r="L346" s="2" t="s">
        <v>2</v>
      </c>
      <c r="M346" s="2"/>
      <c r="N346" s="2"/>
      <c r="O346" s="3"/>
    </row>
    <row r="347" spans="1:15" ht="15" x14ac:dyDescent="0.35">
      <c r="A347" s="1" t="s">
        <v>5</v>
      </c>
      <c r="B347" s="2"/>
      <c r="C347" s="2" t="s">
        <v>2</v>
      </c>
      <c r="D347" s="25">
        <f>'[3]KARNING 2021'!$C$1024</f>
        <v>20000</v>
      </c>
      <c r="E347" s="2"/>
      <c r="F347" s="1" t="s">
        <v>5</v>
      </c>
      <c r="G347" s="2"/>
      <c r="H347" s="2" t="s">
        <v>2</v>
      </c>
      <c r="I347" s="25">
        <f>'[3]KARNING 2021'!$C$1041</f>
        <v>15000</v>
      </c>
      <c r="J347" s="2"/>
      <c r="K347" s="1" t="s">
        <v>53</v>
      </c>
      <c r="L347" s="2"/>
      <c r="M347" s="2" t="s">
        <v>2</v>
      </c>
      <c r="N347" s="7">
        <v>0</v>
      </c>
      <c r="O347" s="3"/>
    </row>
    <row r="348" spans="1:15" ht="15" x14ac:dyDescent="0.35">
      <c r="A348" s="1" t="s">
        <v>6</v>
      </c>
      <c r="B348" s="2"/>
      <c r="C348" s="2" t="s">
        <v>2</v>
      </c>
      <c r="D348" s="25">
        <v>20000</v>
      </c>
      <c r="E348" s="2"/>
      <c r="F348" s="1" t="s">
        <v>6</v>
      </c>
      <c r="G348" s="2"/>
      <c r="H348" s="2" t="s">
        <v>2</v>
      </c>
      <c r="I348" s="25">
        <f>'[3]KARNING 2021'!$D$1041</f>
        <v>10000</v>
      </c>
      <c r="J348" s="2"/>
      <c r="K348" s="1" t="s">
        <v>54</v>
      </c>
      <c r="L348" s="2"/>
      <c r="M348" s="2" t="s">
        <v>2</v>
      </c>
      <c r="N348" s="7">
        <v>0</v>
      </c>
      <c r="O348" s="3"/>
    </row>
    <row r="349" spans="1:15" ht="15" x14ac:dyDescent="0.35">
      <c r="A349" s="1" t="s">
        <v>7</v>
      </c>
      <c r="B349" s="2"/>
      <c r="C349" s="2" t="s">
        <v>2</v>
      </c>
      <c r="D349" s="25">
        <v>20000</v>
      </c>
      <c r="E349" s="2"/>
      <c r="F349" s="1" t="s">
        <v>7</v>
      </c>
      <c r="G349" s="2"/>
      <c r="H349" s="2" t="s">
        <v>2</v>
      </c>
      <c r="I349" s="8">
        <v>50000</v>
      </c>
      <c r="J349" s="2"/>
      <c r="K349" s="1" t="s">
        <v>55</v>
      </c>
      <c r="L349" s="2"/>
      <c r="M349" s="2" t="s">
        <v>2</v>
      </c>
      <c r="N349" s="7">
        <v>0</v>
      </c>
      <c r="O349" s="3"/>
    </row>
    <row r="350" spans="1:15" ht="15" x14ac:dyDescent="0.35">
      <c r="A350" s="1" t="s">
        <v>8</v>
      </c>
      <c r="B350" s="21">
        <v>0</v>
      </c>
      <c r="C350" s="2" t="s">
        <v>2</v>
      </c>
      <c r="D350" s="25">
        <v>0</v>
      </c>
      <c r="E350" s="2"/>
      <c r="F350" s="1" t="s">
        <v>8</v>
      </c>
      <c r="G350" s="21">
        <v>6</v>
      </c>
      <c r="H350" s="2" t="s">
        <v>2</v>
      </c>
      <c r="I350" s="25">
        <f>[31]krnmei!$I$1048</f>
        <v>500000</v>
      </c>
      <c r="J350" s="2"/>
      <c r="K350" s="1" t="s">
        <v>8</v>
      </c>
      <c r="L350" s="2"/>
      <c r="M350" s="2" t="s">
        <v>2</v>
      </c>
      <c r="N350" s="7"/>
      <c r="O350" s="3"/>
    </row>
    <row r="351" spans="1:15" ht="15" x14ac:dyDescent="0.35">
      <c r="A351" s="1" t="s">
        <v>9</v>
      </c>
      <c r="B351" s="2"/>
      <c r="C351" s="2" t="s">
        <v>2</v>
      </c>
      <c r="D351" s="11">
        <v>0</v>
      </c>
      <c r="E351" s="2"/>
      <c r="F351" s="1" t="s">
        <v>9</v>
      </c>
      <c r="G351" s="2"/>
      <c r="H351" s="2" t="s">
        <v>2</v>
      </c>
      <c r="I351" s="11">
        <f>[12]krnmei!$K$1052</f>
        <v>75000</v>
      </c>
      <c r="J351" s="2"/>
      <c r="K351" s="1" t="s">
        <v>56</v>
      </c>
      <c r="L351" s="2"/>
      <c r="M351" s="2" t="s">
        <v>2</v>
      </c>
      <c r="N351" s="11"/>
      <c r="O351" s="3"/>
    </row>
    <row r="352" spans="1:15" ht="15" x14ac:dyDescent="0.35">
      <c r="A352" s="1" t="s">
        <v>10</v>
      </c>
      <c r="B352" s="2"/>
      <c r="C352" s="2" t="s">
        <v>2</v>
      </c>
      <c r="D352" s="8">
        <v>0</v>
      </c>
      <c r="E352" s="2"/>
      <c r="F352" s="1" t="s">
        <v>10</v>
      </c>
      <c r="G352" s="2"/>
      <c r="H352" s="2" t="s">
        <v>2</v>
      </c>
      <c r="I352" s="8"/>
      <c r="J352" s="2"/>
      <c r="K352" s="1" t="s">
        <v>57</v>
      </c>
      <c r="L352" s="2"/>
      <c r="M352" s="2" t="s">
        <v>2</v>
      </c>
      <c r="N352" s="2"/>
      <c r="O352" s="3"/>
    </row>
    <row r="353" spans="1:15" ht="15" x14ac:dyDescent="0.35">
      <c r="A353" s="1" t="s">
        <v>11</v>
      </c>
      <c r="B353" s="2"/>
      <c r="C353" s="2" t="s">
        <v>2</v>
      </c>
      <c r="D353" s="9">
        <v>0</v>
      </c>
      <c r="E353" s="2"/>
      <c r="F353" s="1" t="s">
        <v>11</v>
      </c>
      <c r="G353" s="2"/>
      <c r="H353" s="2" t="s">
        <v>2</v>
      </c>
      <c r="I353" s="9"/>
      <c r="J353" s="2"/>
      <c r="K353" s="1" t="s">
        <v>58</v>
      </c>
      <c r="L353" s="2"/>
      <c r="M353" s="2" t="s">
        <v>2</v>
      </c>
      <c r="N353" s="2"/>
      <c r="O353" s="3"/>
    </row>
    <row r="354" spans="1:15" ht="15" x14ac:dyDescent="0.35">
      <c r="A354" s="1" t="s">
        <v>12</v>
      </c>
      <c r="B354" s="2"/>
      <c r="C354" s="2" t="s">
        <v>2</v>
      </c>
      <c r="D354" s="8">
        <v>20000</v>
      </c>
      <c r="E354" s="2"/>
      <c r="F354" s="1" t="s">
        <v>12</v>
      </c>
      <c r="G354" s="2"/>
      <c r="H354" s="2" t="s">
        <v>2</v>
      </c>
      <c r="I354" s="8"/>
      <c r="J354" s="2"/>
      <c r="K354" s="1" t="s">
        <v>59</v>
      </c>
      <c r="L354" s="2"/>
      <c r="M354" s="2" t="s">
        <v>2</v>
      </c>
      <c r="N354" s="36"/>
      <c r="O354" s="3"/>
    </row>
    <row r="355" spans="1:15" ht="15" x14ac:dyDescent="0.35">
      <c r="A355" s="13" t="s">
        <v>13</v>
      </c>
      <c r="B355" s="5"/>
      <c r="C355" s="5" t="s">
        <v>2</v>
      </c>
      <c r="D355" s="24">
        <f>SUM(D347:D354)</f>
        <v>80000</v>
      </c>
      <c r="E355" s="2"/>
      <c r="F355" s="13" t="s">
        <v>13</v>
      </c>
      <c r="G355" s="5"/>
      <c r="H355" s="5" t="s">
        <v>2</v>
      </c>
      <c r="I355" s="24">
        <f>SUM(I347:I354)</f>
        <v>650000</v>
      </c>
      <c r="J355" s="2"/>
      <c r="K355" s="13" t="s">
        <v>13</v>
      </c>
      <c r="L355" s="5"/>
      <c r="M355" s="5"/>
      <c r="N355" s="24">
        <f>SUM(N347:N354)</f>
        <v>0</v>
      </c>
      <c r="O355" s="3"/>
    </row>
    <row r="356" spans="1:15" ht="15" x14ac:dyDescent="0.35">
      <c r="A356" s="1" t="s">
        <v>14</v>
      </c>
      <c r="B356" s="2"/>
      <c r="C356" s="2" t="s">
        <v>2</v>
      </c>
      <c r="D356" s="25">
        <f>[6]krnmei!$J$1032</f>
        <v>0</v>
      </c>
      <c r="E356" s="2"/>
      <c r="F356" s="1" t="s">
        <v>14</v>
      </c>
      <c r="G356" s="2"/>
      <c r="H356" s="2" t="s">
        <v>2</v>
      </c>
      <c r="I356" s="27">
        <f>[12]krnmei!$J$1052</f>
        <v>4500000</v>
      </c>
      <c r="J356" s="2"/>
      <c r="K356" s="1" t="s">
        <v>14</v>
      </c>
      <c r="L356" s="2"/>
      <c r="M356" s="2"/>
      <c r="N356" s="27"/>
      <c r="O356" s="3"/>
    </row>
    <row r="357" spans="1:15" ht="15" x14ac:dyDescent="0.35">
      <c r="A357" s="1"/>
      <c r="B357" s="2"/>
      <c r="C357" s="15"/>
      <c r="D357" s="35" t="str">
        <f>D167</f>
        <v>Grogol, 01 Desember 2025</v>
      </c>
      <c r="E357" s="2"/>
      <c r="F357" s="1"/>
      <c r="G357" s="2"/>
      <c r="H357" s="15"/>
      <c r="I357" s="15" t="str">
        <f>D357</f>
        <v>Grogol, 01 Desember 2025</v>
      </c>
      <c r="J357" s="15"/>
      <c r="K357" s="1"/>
      <c r="L357" s="2"/>
      <c r="M357" s="15"/>
      <c r="N357" s="15" t="s">
        <v>84</v>
      </c>
      <c r="O357" s="16"/>
    </row>
    <row r="358" spans="1:15" ht="15" x14ac:dyDescent="0.35">
      <c r="A358" s="1"/>
      <c r="B358" s="2"/>
      <c r="C358" s="2"/>
      <c r="D358" s="15" t="s">
        <v>15</v>
      </c>
      <c r="E358" s="15"/>
      <c r="F358" s="1"/>
      <c r="G358" s="2"/>
      <c r="H358" s="2"/>
      <c r="I358" s="15" t="s">
        <v>15</v>
      </c>
      <c r="J358" s="2"/>
      <c r="K358" s="1"/>
      <c r="L358" s="2"/>
      <c r="M358" s="2"/>
      <c r="N358" s="15" t="s">
        <v>15</v>
      </c>
      <c r="O358" s="3"/>
    </row>
    <row r="359" spans="1:15" ht="15" x14ac:dyDescent="0.35">
      <c r="A359" s="1"/>
      <c r="B359" s="2"/>
      <c r="C359" s="2"/>
      <c r="D359" s="15"/>
      <c r="E359" s="2"/>
      <c r="F359" s="1"/>
      <c r="G359" s="2"/>
      <c r="H359" s="2"/>
      <c r="I359" s="15"/>
      <c r="J359" s="2"/>
      <c r="K359" s="1"/>
      <c r="L359" s="2"/>
      <c r="M359" s="2"/>
      <c r="N359" s="2"/>
      <c r="O359" s="3"/>
    </row>
    <row r="360" spans="1:15" ht="15" x14ac:dyDescent="0.35">
      <c r="A360" s="1"/>
      <c r="B360" s="2"/>
      <c r="C360" s="2"/>
      <c r="D360" s="15"/>
      <c r="E360" s="2"/>
      <c r="F360" s="1"/>
      <c r="G360" s="2"/>
      <c r="H360" s="2"/>
      <c r="I360" s="15"/>
      <c r="J360" s="2"/>
      <c r="K360" s="1"/>
      <c r="L360" s="2"/>
      <c r="M360" s="2"/>
      <c r="N360" s="2"/>
      <c r="O360" s="3"/>
    </row>
    <row r="361" spans="1:15" ht="15.6" thickBot="1" x14ac:dyDescent="0.4">
      <c r="A361" s="17"/>
      <c r="B361" s="18"/>
      <c r="C361" s="18"/>
      <c r="D361" s="19" t="s">
        <v>16</v>
      </c>
      <c r="E361" s="18"/>
      <c r="F361" s="17"/>
      <c r="G361" s="18"/>
      <c r="H361" s="18"/>
      <c r="I361" s="19" t="s">
        <v>16</v>
      </c>
      <c r="J361" s="18"/>
      <c r="K361" s="17"/>
      <c r="L361" s="18"/>
      <c r="M361" s="37"/>
      <c r="N361" s="19" t="s">
        <v>16</v>
      </c>
      <c r="O361" s="20"/>
    </row>
    <row r="362" spans="1:15" ht="15" x14ac:dyDescent="0.35">
      <c r="A362" s="46" t="s">
        <v>0</v>
      </c>
      <c r="B362" s="47"/>
      <c r="C362" s="47"/>
      <c r="D362" s="47"/>
      <c r="E362" s="47"/>
      <c r="F362" s="46" t="s">
        <v>0</v>
      </c>
      <c r="G362" s="47"/>
      <c r="H362" s="47"/>
      <c r="I362" s="47"/>
      <c r="J362" s="47"/>
      <c r="K362" s="46" t="s">
        <v>0</v>
      </c>
      <c r="L362" s="47"/>
      <c r="M362" s="47"/>
      <c r="N362" s="47"/>
      <c r="O362" s="48"/>
    </row>
    <row r="363" spans="1:15" ht="15" x14ac:dyDescent="0.35">
      <c r="A363" s="1"/>
      <c r="B363" s="2"/>
      <c r="C363" s="2"/>
      <c r="D363" s="2"/>
      <c r="E363" s="2"/>
      <c r="F363" s="1"/>
      <c r="G363" s="2"/>
      <c r="H363" s="2"/>
      <c r="I363" s="2"/>
      <c r="J363" s="2"/>
      <c r="K363" s="1"/>
      <c r="L363" s="2"/>
      <c r="M363" s="2"/>
      <c r="N363" s="2"/>
      <c r="O363" s="3"/>
    </row>
    <row r="364" spans="1:15" ht="15" x14ac:dyDescent="0.35">
      <c r="A364" s="1" t="s">
        <v>1</v>
      </c>
      <c r="B364" s="2"/>
      <c r="C364" s="5" t="s">
        <v>2</v>
      </c>
      <c r="D364" s="42" t="s">
        <v>64</v>
      </c>
      <c r="E364" s="4">
        <v>48</v>
      </c>
      <c r="F364" s="1" t="s">
        <v>1</v>
      </c>
      <c r="G364" s="2"/>
      <c r="H364" s="5" t="s">
        <v>2</v>
      </c>
      <c r="I364" s="4" t="s">
        <v>60</v>
      </c>
      <c r="J364" s="4">
        <v>18</v>
      </c>
      <c r="K364" s="1" t="s">
        <v>1</v>
      </c>
      <c r="L364" s="2"/>
      <c r="M364" s="5" t="s">
        <v>2</v>
      </c>
      <c r="N364" s="4" t="s">
        <v>61</v>
      </c>
      <c r="O364" s="6">
        <v>19</v>
      </c>
    </row>
    <row r="365" spans="1:15" ht="15" x14ac:dyDescent="0.35">
      <c r="A365" s="1" t="s">
        <v>52</v>
      </c>
      <c r="B365" s="2"/>
      <c r="C365" s="2" t="s">
        <v>2</v>
      </c>
      <c r="D365" s="2"/>
      <c r="E365" s="2"/>
      <c r="F365" s="1" t="s">
        <v>52</v>
      </c>
      <c r="G365" s="2"/>
      <c r="H365" s="2" t="s">
        <v>2</v>
      </c>
      <c r="I365" s="2"/>
      <c r="J365" s="2"/>
      <c r="K365" s="1" t="s">
        <v>52</v>
      </c>
      <c r="L365" s="2"/>
      <c r="M365" s="2" t="s">
        <v>2</v>
      </c>
      <c r="N365" s="2"/>
      <c r="O365" s="3"/>
    </row>
    <row r="366" spans="1:15" ht="15" x14ac:dyDescent="0.35">
      <c r="A366" s="1" t="s">
        <v>65</v>
      </c>
      <c r="B366" s="2"/>
      <c r="C366" s="2" t="s">
        <v>2</v>
      </c>
      <c r="D366" s="7">
        <f>[26]krnmei!$C$1233</f>
        <v>15000</v>
      </c>
      <c r="E366" s="2"/>
      <c r="F366" s="1" t="s">
        <v>53</v>
      </c>
      <c r="G366" s="2"/>
      <c r="H366" s="2" t="s">
        <v>2</v>
      </c>
      <c r="I366" s="7">
        <f>[17]krnmei!$C$1094</f>
        <v>100000</v>
      </c>
      <c r="K366" s="1" t="s">
        <v>53</v>
      </c>
      <c r="L366" s="2"/>
      <c r="M366" s="2" t="s">
        <v>2</v>
      </c>
      <c r="N366" s="7">
        <f>[17]krnmei!$C$1111</f>
        <v>100000</v>
      </c>
      <c r="O366" s="3"/>
    </row>
    <row r="367" spans="1:15" ht="15" x14ac:dyDescent="0.35">
      <c r="A367" s="1" t="s">
        <v>54</v>
      </c>
      <c r="B367" s="2"/>
      <c r="C367" s="2" t="s">
        <v>2</v>
      </c>
      <c r="D367" s="7">
        <f>[5]krnmei!$D$1232</f>
        <v>10000</v>
      </c>
      <c r="E367" s="2"/>
      <c r="F367" s="1" t="s">
        <v>54</v>
      </c>
      <c r="G367" s="2"/>
      <c r="H367" s="2" t="s">
        <v>2</v>
      </c>
      <c r="I367" s="2">
        <v>25000</v>
      </c>
      <c r="J367" s="2"/>
      <c r="K367" s="1" t="s">
        <v>54</v>
      </c>
      <c r="L367" s="2"/>
      <c r="M367" s="2" t="s">
        <v>2</v>
      </c>
      <c r="N367" s="2">
        <v>25000</v>
      </c>
      <c r="O367" s="3"/>
    </row>
    <row r="368" spans="1:15" ht="15" x14ac:dyDescent="0.35">
      <c r="A368" s="1" t="s">
        <v>55</v>
      </c>
      <c r="B368" s="2"/>
      <c r="C368" s="2" t="s">
        <v>2</v>
      </c>
      <c r="D368" s="7">
        <f>[35]krnmei!$E$1238</f>
        <v>50000</v>
      </c>
      <c r="E368" s="2"/>
      <c r="F368" s="1" t="s">
        <v>55</v>
      </c>
      <c r="G368" s="2"/>
      <c r="H368" s="2" t="s">
        <v>2</v>
      </c>
      <c r="I368" s="7">
        <f>[25]krnmei!$E$1097</f>
        <v>200000</v>
      </c>
      <c r="J368" s="2"/>
      <c r="K368" s="1" t="s">
        <v>55</v>
      </c>
      <c r="L368" s="2"/>
      <c r="M368" s="2" t="s">
        <v>2</v>
      </c>
      <c r="N368" s="2">
        <v>0</v>
      </c>
      <c r="O368" s="3"/>
    </row>
    <row r="369" spans="1:15" ht="15" x14ac:dyDescent="0.35">
      <c r="A369" s="1" t="s">
        <v>8</v>
      </c>
      <c r="B369" s="2">
        <v>17</v>
      </c>
      <c r="C369" s="2" t="s">
        <v>2</v>
      </c>
      <c r="D369" s="2">
        <f>[6]krnmei!$I$1236</f>
        <v>400000</v>
      </c>
      <c r="E369" s="2"/>
      <c r="F369" s="1" t="s">
        <v>8</v>
      </c>
      <c r="G369" s="2"/>
      <c r="H369" s="2" t="s">
        <v>2</v>
      </c>
      <c r="I369" s="2">
        <v>0</v>
      </c>
      <c r="J369" s="2"/>
      <c r="K369" s="1" t="s">
        <v>8</v>
      </c>
      <c r="L369" s="2"/>
      <c r="M369" s="2" t="s">
        <v>2</v>
      </c>
      <c r="N369" s="2">
        <f>[25]krnmei!$J$1113</f>
        <v>0</v>
      </c>
      <c r="O369" s="3"/>
    </row>
    <row r="370" spans="1:15" ht="15" x14ac:dyDescent="0.35">
      <c r="A370" s="1" t="s">
        <v>56</v>
      </c>
      <c r="B370" s="2"/>
      <c r="C370" s="2" t="s">
        <v>2</v>
      </c>
      <c r="D370" s="43">
        <f>[12]krnmei!$K$1239</f>
        <v>57750</v>
      </c>
      <c r="E370" s="2"/>
      <c r="F370" s="1" t="s">
        <v>56</v>
      </c>
      <c r="G370" s="2"/>
      <c r="H370" s="2" t="s">
        <v>2</v>
      </c>
      <c r="I370" s="2">
        <v>0</v>
      </c>
      <c r="J370" s="2"/>
      <c r="K370" s="1" t="s">
        <v>56</v>
      </c>
      <c r="L370" s="2"/>
      <c r="M370" s="2" t="s">
        <v>2</v>
      </c>
      <c r="N370" s="2">
        <v>0</v>
      </c>
      <c r="O370" s="3"/>
    </row>
    <row r="371" spans="1:15" ht="15" x14ac:dyDescent="0.35">
      <c r="A371" s="1" t="s">
        <v>57</v>
      </c>
      <c r="B371" s="2"/>
      <c r="C371" s="2" t="s">
        <v>2</v>
      </c>
      <c r="D371" s="2">
        <v>0</v>
      </c>
      <c r="E371" s="2"/>
      <c r="F371" s="1" t="s">
        <v>57</v>
      </c>
      <c r="G371" s="2"/>
      <c r="H371" s="2" t="s">
        <v>2</v>
      </c>
      <c r="I371" s="2">
        <v>0</v>
      </c>
      <c r="J371" s="2"/>
      <c r="K371" s="1" t="s">
        <v>57</v>
      </c>
      <c r="L371" s="2"/>
      <c r="M371" s="2" t="s">
        <v>2</v>
      </c>
      <c r="N371" s="2">
        <v>0</v>
      </c>
      <c r="O371" s="3"/>
    </row>
    <row r="372" spans="1:15" ht="15" x14ac:dyDescent="0.35">
      <c r="A372" s="1" t="s">
        <v>62</v>
      </c>
      <c r="B372" s="2"/>
      <c r="C372" s="2" t="s">
        <v>2</v>
      </c>
      <c r="D372" s="2">
        <v>0</v>
      </c>
      <c r="E372" s="2"/>
      <c r="F372" s="1" t="s">
        <v>62</v>
      </c>
      <c r="G372" s="2"/>
      <c r="H372" s="2" t="s">
        <v>2</v>
      </c>
      <c r="I372" s="2">
        <v>0</v>
      </c>
      <c r="J372" s="2"/>
      <c r="K372" s="1" t="s">
        <v>62</v>
      </c>
      <c r="L372" s="2"/>
      <c r="M372" s="2" t="s">
        <v>2</v>
      </c>
      <c r="N372" s="2">
        <v>0</v>
      </c>
      <c r="O372" s="3"/>
    </row>
    <row r="373" spans="1:15" ht="15.6" thickBot="1" x14ac:dyDescent="0.4">
      <c r="A373" s="1" t="s">
        <v>59</v>
      </c>
      <c r="B373" s="2"/>
      <c r="C373" s="2" t="s">
        <v>2</v>
      </c>
      <c r="D373" s="2">
        <v>0</v>
      </c>
      <c r="E373" s="2"/>
      <c r="F373" s="1" t="s">
        <v>59</v>
      </c>
      <c r="G373" s="2"/>
      <c r="H373" s="2" t="s">
        <v>2</v>
      </c>
      <c r="I373" s="7">
        <f>[36]krnmei!$F$1096</f>
        <v>150000</v>
      </c>
      <c r="J373" s="2"/>
      <c r="K373" s="1" t="s">
        <v>59</v>
      </c>
      <c r="L373" s="2"/>
      <c r="M373" s="2" t="s">
        <v>2</v>
      </c>
      <c r="N373" s="7">
        <f>[36]krnmei!$F$1113</f>
        <v>150000</v>
      </c>
      <c r="O373" s="3"/>
    </row>
    <row r="374" spans="1:15" ht="15.6" thickTop="1" x14ac:dyDescent="0.35">
      <c r="A374" s="13" t="s">
        <v>13</v>
      </c>
      <c r="B374" s="5"/>
      <c r="C374" s="5"/>
      <c r="D374" s="38">
        <f>SUM(D366:D373)</f>
        <v>532750</v>
      </c>
      <c r="E374" s="2"/>
      <c r="F374" s="13" t="s">
        <v>13</v>
      </c>
      <c r="G374" s="5"/>
      <c r="H374" s="5" t="s">
        <v>2</v>
      </c>
      <c r="I374" s="38">
        <f>SUM(I366:I373)</f>
        <v>475000</v>
      </c>
      <c r="J374" s="2"/>
      <c r="K374" s="13" t="s">
        <v>13</v>
      </c>
      <c r="L374" s="5"/>
      <c r="M374" s="5" t="s">
        <v>2</v>
      </c>
      <c r="N374" s="38">
        <f>SUM(N366:N373)</f>
        <v>275000</v>
      </c>
      <c r="O374" s="3"/>
    </row>
    <row r="375" spans="1:15" ht="15" x14ac:dyDescent="0.35">
      <c r="A375" s="1" t="s">
        <v>14</v>
      </c>
      <c r="B375" s="2"/>
      <c r="C375" s="2"/>
      <c r="D375" s="39">
        <f>[12]krnmei!$J$1239</f>
        <v>3450000</v>
      </c>
      <c r="E375" s="2"/>
      <c r="F375" s="1" t="s">
        <v>14</v>
      </c>
      <c r="G375" s="2"/>
      <c r="H375" s="2" t="s">
        <v>2</v>
      </c>
      <c r="I375" s="39">
        <v>0</v>
      </c>
      <c r="J375" s="2"/>
      <c r="K375" s="1" t="s">
        <v>14</v>
      </c>
      <c r="L375" s="2"/>
      <c r="M375" s="2" t="s">
        <v>2</v>
      </c>
      <c r="N375" s="39">
        <f>[23]krnmei!$J$1113</f>
        <v>0</v>
      </c>
      <c r="O375" s="3"/>
    </row>
    <row r="376" spans="1:15" ht="15" x14ac:dyDescent="0.35">
      <c r="A376" s="1"/>
      <c r="B376" s="2"/>
      <c r="C376" s="2"/>
      <c r="D376" s="15" t="s">
        <v>85</v>
      </c>
      <c r="E376" s="2"/>
      <c r="F376" s="1"/>
      <c r="G376" s="2"/>
      <c r="H376" s="15"/>
      <c r="I376" s="15" t="str">
        <f>D167</f>
        <v>Grogol, 01 Desember 2025</v>
      </c>
      <c r="J376" s="15"/>
      <c r="K376" s="1"/>
      <c r="L376" s="2"/>
      <c r="M376" s="15"/>
      <c r="N376" s="15" t="str">
        <f>D167</f>
        <v>Grogol, 01 Desember 2025</v>
      </c>
      <c r="O376" s="16"/>
    </row>
    <row r="377" spans="1:15" ht="15" x14ac:dyDescent="0.35">
      <c r="A377" s="1"/>
      <c r="B377" s="2"/>
      <c r="C377" s="2"/>
      <c r="D377" s="15" t="s">
        <v>15</v>
      </c>
      <c r="E377" s="2"/>
      <c r="F377" s="1"/>
      <c r="G377" s="2"/>
      <c r="H377" s="2"/>
      <c r="I377" s="15" t="s">
        <v>15</v>
      </c>
      <c r="J377" s="2"/>
      <c r="K377" s="1"/>
      <c r="L377" s="2"/>
      <c r="M377" s="2"/>
      <c r="N377" s="15" t="s">
        <v>15</v>
      </c>
      <c r="O377" s="3"/>
    </row>
    <row r="378" spans="1:15" ht="15" x14ac:dyDescent="0.35">
      <c r="A378" s="1"/>
      <c r="B378" s="2"/>
      <c r="C378" s="2"/>
      <c r="D378" s="15"/>
      <c r="E378" s="2"/>
      <c r="F378" s="1"/>
      <c r="G378" s="2"/>
      <c r="H378" s="2"/>
      <c r="I378" s="15"/>
      <c r="J378" s="2"/>
      <c r="K378" s="1"/>
      <c r="L378" s="2"/>
      <c r="M378" s="2"/>
      <c r="N378" s="15"/>
      <c r="O378" s="3"/>
    </row>
    <row r="379" spans="1:15" ht="15" x14ac:dyDescent="0.35">
      <c r="A379" s="1"/>
      <c r="B379" s="2"/>
      <c r="C379" s="2"/>
      <c r="D379" s="2"/>
      <c r="E379" s="2"/>
      <c r="F379" s="1"/>
      <c r="G379" s="2"/>
      <c r="H379" s="2"/>
      <c r="I379" s="15"/>
      <c r="J379" s="2"/>
      <c r="K379" s="1"/>
      <c r="L379" s="2"/>
      <c r="M379" s="2"/>
      <c r="N379" s="2"/>
      <c r="O379" s="3"/>
    </row>
    <row r="380" spans="1:15" ht="15.6" thickBot="1" x14ac:dyDescent="0.4">
      <c r="A380" s="17"/>
      <c r="B380" s="18"/>
      <c r="C380" s="18"/>
      <c r="D380" s="19" t="s">
        <v>16</v>
      </c>
      <c r="E380" s="18"/>
      <c r="F380" s="17"/>
      <c r="G380" s="18"/>
      <c r="H380" s="18"/>
      <c r="I380" s="19" t="s">
        <v>16</v>
      </c>
      <c r="J380" s="18"/>
      <c r="K380" s="17"/>
      <c r="L380" s="18"/>
      <c r="M380" s="18"/>
      <c r="N380" s="19" t="s">
        <v>16</v>
      </c>
      <c r="O380" s="20"/>
    </row>
  </sheetData>
  <mergeCells count="113">
    <mergeCell ref="A20:E20"/>
    <mergeCell ref="F20:J20"/>
    <mergeCell ref="K20:O20"/>
    <mergeCell ref="C22:D22"/>
    <mergeCell ref="H22:I22"/>
    <mergeCell ref="M22:N22"/>
    <mergeCell ref="A1:E1"/>
    <mergeCell ref="F1:J1"/>
    <mergeCell ref="K1:O1"/>
    <mergeCell ref="C3:D3"/>
    <mergeCell ref="H3:I3"/>
    <mergeCell ref="M3:N3"/>
    <mergeCell ref="A58:E58"/>
    <mergeCell ref="F58:J58"/>
    <mergeCell ref="K58:O58"/>
    <mergeCell ref="C60:D60"/>
    <mergeCell ref="H60:I60"/>
    <mergeCell ref="M60:N60"/>
    <mergeCell ref="A39:E39"/>
    <mergeCell ref="F39:J39"/>
    <mergeCell ref="K39:O39"/>
    <mergeCell ref="C41:D41"/>
    <mergeCell ref="H41:I41"/>
    <mergeCell ref="M41:N41"/>
    <mergeCell ref="H91:J91"/>
    <mergeCell ref="A96:E96"/>
    <mergeCell ref="F96:J96"/>
    <mergeCell ref="K96:O96"/>
    <mergeCell ref="C98:D98"/>
    <mergeCell ref="H98:I98"/>
    <mergeCell ref="M98:N98"/>
    <mergeCell ref="A77:E77"/>
    <mergeCell ref="F77:J77"/>
    <mergeCell ref="K77:O77"/>
    <mergeCell ref="C79:D79"/>
    <mergeCell ref="H79:I79"/>
    <mergeCell ref="M79:N79"/>
    <mergeCell ref="A134:E134"/>
    <mergeCell ref="F134:J134"/>
    <mergeCell ref="K134:O134"/>
    <mergeCell ref="H136:I136"/>
    <mergeCell ref="M136:N136"/>
    <mergeCell ref="A153:E153"/>
    <mergeCell ref="F153:J153"/>
    <mergeCell ref="K153:O153"/>
    <mergeCell ref="A115:E115"/>
    <mergeCell ref="F115:J115"/>
    <mergeCell ref="K115:O115"/>
    <mergeCell ref="C117:D117"/>
    <mergeCell ref="H117:I117"/>
    <mergeCell ref="M117:N117"/>
    <mergeCell ref="C174:D174"/>
    <mergeCell ref="H174:I174"/>
    <mergeCell ref="M174:N174"/>
    <mergeCell ref="A191:E191"/>
    <mergeCell ref="F191:J191"/>
    <mergeCell ref="K191:O191"/>
    <mergeCell ref="C155:D155"/>
    <mergeCell ref="H155:I155"/>
    <mergeCell ref="M155:N155"/>
    <mergeCell ref="A172:E172"/>
    <mergeCell ref="F172:J172"/>
    <mergeCell ref="K172:O172"/>
    <mergeCell ref="A229:E229"/>
    <mergeCell ref="F229:J229"/>
    <mergeCell ref="K229:O229"/>
    <mergeCell ref="H231:I231"/>
    <mergeCell ref="M231:N231"/>
    <mergeCell ref="A248:E248"/>
    <mergeCell ref="F248:J248"/>
    <mergeCell ref="K248:O248"/>
    <mergeCell ref="H193:I193"/>
    <mergeCell ref="A210:E210"/>
    <mergeCell ref="F210:J210"/>
    <mergeCell ref="K210:O210"/>
    <mergeCell ref="C212:D212"/>
    <mergeCell ref="H212:I212"/>
    <mergeCell ref="M212:N212"/>
    <mergeCell ref="C269:D269"/>
    <mergeCell ref="H269:I269"/>
    <mergeCell ref="M269:N269"/>
    <mergeCell ref="A286:E286"/>
    <mergeCell ref="F286:J286"/>
    <mergeCell ref="K286:O286"/>
    <mergeCell ref="C250:D250"/>
    <mergeCell ref="H250:I250"/>
    <mergeCell ref="M250:N250"/>
    <mergeCell ref="A267:E267"/>
    <mergeCell ref="F267:J267"/>
    <mergeCell ref="K267:O267"/>
    <mergeCell ref="C307:D307"/>
    <mergeCell ref="H307:I307"/>
    <mergeCell ref="A324:E324"/>
    <mergeCell ref="F324:J324"/>
    <mergeCell ref="K324:O324"/>
    <mergeCell ref="C326:D326"/>
    <mergeCell ref="H326:I326"/>
    <mergeCell ref="C288:D288"/>
    <mergeCell ref="H288:I288"/>
    <mergeCell ref="M288:N288"/>
    <mergeCell ref="A305:E305"/>
    <mergeCell ref="F305:J305"/>
    <mergeCell ref="K305:O305"/>
    <mergeCell ref="A362:E362"/>
    <mergeCell ref="F362:J362"/>
    <mergeCell ref="K362:O362"/>
    <mergeCell ref="L338:N338"/>
    <mergeCell ref="A343:E343"/>
    <mergeCell ref="F343:J343"/>
    <mergeCell ref="K343:O343"/>
    <mergeCell ref="C345:D345"/>
    <mergeCell ref="H345:I345"/>
    <mergeCell ref="M345:N345"/>
  </mergeCells>
  <pageMargins left="0.31496062992125984" right="0.11811023622047245" top="0.15748031496062992" bottom="0.15748031496062992" header="0.31496062992125984" footer="0.31496062992125984"/>
  <pageSetup paperSize="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2A15E-88F9-4AE2-B48E-52E5CE932A08}">
  <dimension ref="A1:O380"/>
  <sheetViews>
    <sheetView workbookViewId="0">
      <selection activeCell="F16" sqref="F16"/>
    </sheetView>
  </sheetViews>
  <sheetFormatPr defaultRowHeight="14.4" x14ac:dyDescent="0.3"/>
  <cols>
    <col min="1" max="1" width="18.33203125" customWidth="1"/>
    <col min="2" max="2" width="4" customWidth="1"/>
    <col min="3" max="3" width="2.5546875" customWidth="1"/>
    <col min="4" max="4" width="19.6640625" customWidth="1"/>
    <col min="5" max="5" width="5.6640625" customWidth="1"/>
    <col min="6" max="6" width="18.33203125" customWidth="1"/>
    <col min="7" max="7" width="4.6640625" customWidth="1"/>
    <col min="8" max="8" width="2.88671875" customWidth="1"/>
    <col min="9" max="9" width="17.88671875" customWidth="1"/>
    <col min="10" max="10" width="5.88671875" customWidth="1"/>
    <col min="11" max="11" width="18.44140625" customWidth="1"/>
    <col min="12" max="12" width="4.44140625" customWidth="1"/>
    <col min="13" max="13" width="4" customWidth="1"/>
    <col min="14" max="14" width="19.33203125" customWidth="1"/>
    <col min="15" max="15" width="6.33203125" customWidth="1"/>
  </cols>
  <sheetData>
    <row r="1" spans="1:15" ht="15" x14ac:dyDescent="0.35">
      <c r="A1" s="46" t="s">
        <v>0</v>
      </c>
      <c r="B1" s="47"/>
      <c r="C1" s="47"/>
      <c r="D1" s="47"/>
      <c r="E1" s="47"/>
      <c r="F1" s="46" t="s">
        <v>0</v>
      </c>
      <c r="G1" s="47"/>
      <c r="H1" s="47"/>
      <c r="I1" s="47"/>
      <c r="J1" s="47"/>
      <c r="K1" s="46" t="s">
        <v>0</v>
      </c>
      <c r="L1" s="47"/>
      <c r="M1" s="47"/>
      <c r="N1" s="47"/>
      <c r="O1" s="48"/>
    </row>
    <row r="2" spans="1:15" ht="15" x14ac:dyDescent="0.35">
      <c r="A2" s="1"/>
      <c r="B2" s="2"/>
      <c r="C2" s="2"/>
      <c r="D2" s="2"/>
      <c r="E2" s="2"/>
      <c r="F2" s="1"/>
      <c r="G2" s="2"/>
      <c r="H2" s="2"/>
      <c r="I2" s="2"/>
      <c r="J2" s="2"/>
      <c r="K2" s="1"/>
      <c r="L2" s="2"/>
      <c r="M2" s="2"/>
      <c r="N2" s="2"/>
      <c r="O2" s="3"/>
    </row>
    <row r="3" spans="1:15" ht="15" x14ac:dyDescent="0.35">
      <c r="A3" s="1" t="s">
        <v>1</v>
      </c>
      <c r="B3" s="2" t="s">
        <v>2</v>
      </c>
      <c r="C3" s="50" t="s">
        <v>74</v>
      </c>
      <c r="D3" s="50"/>
      <c r="E3" s="4">
        <v>53</v>
      </c>
      <c r="F3" s="1" t="s">
        <v>1</v>
      </c>
      <c r="G3" s="2" t="s">
        <v>2</v>
      </c>
      <c r="H3" s="50" t="s">
        <v>69</v>
      </c>
      <c r="I3" s="50"/>
      <c r="J3" s="4">
        <v>49</v>
      </c>
      <c r="K3" s="1" t="s">
        <v>1</v>
      </c>
      <c r="L3" s="2" t="s">
        <v>2</v>
      </c>
      <c r="M3" s="50" t="s">
        <v>3</v>
      </c>
      <c r="N3" s="50"/>
      <c r="O3" s="6">
        <v>1</v>
      </c>
    </row>
    <row r="4" spans="1:15" ht="15" x14ac:dyDescent="0.35">
      <c r="A4" s="1" t="s">
        <v>4</v>
      </c>
      <c r="B4" s="2"/>
      <c r="C4" s="2" t="s">
        <v>2</v>
      </c>
      <c r="D4" s="2"/>
      <c r="F4" s="1" t="s">
        <v>4</v>
      </c>
      <c r="G4" s="2"/>
      <c r="H4" s="2" t="s">
        <v>2</v>
      </c>
      <c r="I4" s="2"/>
      <c r="J4" s="2"/>
      <c r="K4" s="1" t="s">
        <v>4</v>
      </c>
      <c r="L4" s="2"/>
      <c r="M4" s="2" t="s">
        <v>2</v>
      </c>
      <c r="N4" s="2"/>
      <c r="O4" s="3"/>
    </row>
    <row r="5" spans="1:15" ht="15" x14ac:dyDescent="0.35">
      <c r="A5" s="1" t="s">
        <v>5</v>
      </c>
      <c r="B5" s="2"/>
      <c r="C5" s="2" t="s">
        <v>2</v>
      </c>
      <c r="D5" s="7">
        <f>[1]krnmei!$C$1314</f>
        <v>15000</v>
      </c>
      <c r="E5" s="2"/>
      <c r="F5" s="1" t="s">
        <v>5</v>
      </c>
      <c r="G5" s="2"/>
      <c r="H5" s="2" t="s">
        <v>2</v>
      </c>
      <c r="I5" s="7">
        <f>[2]krnmei!$C$1289</f>
        <v>15000</v>
      </c>
      <c r="J5" s="2"/>
      <c r="K5" s="1" t="s">
        <v>5</v>
      </c>
      <c r="L5" s="2"/>
      <c r="M5" s="2" t="s">
        <v>2</v>
      </c>
      <c r="N5" s="8">
        <f>'[3]KARNING 2021'!$C$140</f>
        <v>100000</v>
      </c>
      <c r="O5" s="3"/>
    </row>
    <row r="6" spans="1:15" ht="15" x14ac:dyDescent="0.35">
      <c r="A6" s="1" t="s">
        <v>6</v>
      </c>
      <c r="B6" s="2"/>
      <c r="C6" s="2" t="s">
        <v>2</v>
      </c>
      <c r="D6" s="7">
        <f>[1]krnmei!$D$1365</f>
        <v>10000</v>
      </c>
      <c r="E6" s="2"/>
      <c r="F6" s="1" t="s">
        <v>6</v>
      </c>
      <c r="G6" s="2"/>
      <c r="H6" s="2" t="s">
        <v>2</v>
      </c>
      <c r="I6" s="7">
        <f>[2]krnmei!$D$1290</f>
        <v>10000</v>
      </c>
      <c r="J6" s="2"/>
      <c r="K6" s="1" t="s">
        <v>6</v>
      </c>
      <c r="L6" s="2"/>
      <c r="M6" s="2" t="s">
        <v>2</v>
      </c>
      <c r="N6" s="8">
        <f>[4]krnmei!$D$140</f>
        <v>300000</v>
      </c>
      <c r="O6" s="3"/>
    </row>
    <row r="7" spans="1:15" ht="15" x14ac:dyDescent="0.35">
      <c r="A7" s="1" t="s">
        <v>7</v>
      </c>
      <c r="B7" s="2"/>
      <c r="C7" s="2" t="s">
        <v>2</v>
      </c>
      <c r="D7" s="7">
        <f>[1]krnmei!$E$1365</f>
        <v>60000</v>
      </c>
      <c r="E7" s="2"/>
      <c r="F7" s="1" t="s">
        <v>7</v>
      </c>
      <c r="G7" s="2"/>
      <c r="H7" s="2" t="s">
        <v>2</v>
      </c>
      <c r="I7" s="7">
        <v>25000</v>
      </c>
      <c r="J7" s="2"/>
      <c r="K7" s="1" t="s">
        <v>7</v>
      </c>
      <c r="L7" s="2"/>
      <c r="M7" s="2" t="s">
        <v>2</v>
      </c>
      <c r="N7" s="8">
        <f>[5]krnmei!$E$144</f>
        <v>500000</v>
      </c>
      <c r="O7" s="3"/>
    </row>
    <row r="8" spans="1:15" ht="15" x14ac:dyDescent="0.35">
      <c r="A8" s="1" t="s">
        <v>8</v>
      </c>
      <c r="B8" s="7"/>
      <c r="C8" s="2" t="s">
        <v>2</v>
      </c>
      <c r="D8" s="7"/>
      <c r="E8" s="2"/>
      <c r="F8" s="1" t="s">
        <v>8</v>
      </c>
      <c r="G8" s="2"/>
      <c r="H8" s="2" t="s">
        <v>2</v>
      </c>
      <c r="I8" s="7">
        <v>0</v>
      </c>
      <c r="J8" s="2"/>
      <c r="K8" s="1" t="s">
        <v>8</v>
      </c>
      <c r="L8" s="2"/>
      <c r="M8" s="2" t="s">
        <v>2</v>
      </c>
      <c r="N8" s="9">
        <v>0</v>
      </c>
      <c r="O8" s="3"/>
    </row>
    <row r="9" spans="1:15" ht="15" x14ac:dyDescent="0.35">
      <c r="A9" s="1" t="s">
        <v>9</v>
      </c>
      <c r="B9" s="2"/>
      <c r="C9" s="2" t="s">
        <v>2</v>
      </c>
      <c r="D9" s="10"/>
      <c r="E9" s="2"/>
      <c r="F9" s="1" t="s">
        <v>9</v>
      </c>
      <c r="G9" s="2"/>
      <c r="H9" s="2" t="s">
        <v>2</v>
      </c>
      <c r="I9" s="7">
        <v>0</v>
      </c>
      <c r="J9" s="2"/>
      <c r="K9" s="1" t="s">
        <v>9</v>
      </c>
      <c r="L9" s="2"/>
      <c r="M9" s="2" t="s">
        <v>2</v>
      </c>
      <c r="N9" s="11">
        <v>0</v>
      </c>
      <c r="O9" s="3"/>
    </row>
    <row r="10" spans="1:15" ht="15" x14ac:dyDescent="0.35">
      <c r="A10" s="1" t="s">
        <v>10</v>
      </c>
      <c r="B10" s="7"/>
      <c r="C10" s="2" t="s">
        <v>2</v>
      </c>
      <c r="D10" s="7"/>
      <c r="E10" s="2"/>
      <c r="F10" s="1" t="s">
        <v>10</v>
      </c>
      <c r="G10" s="2"/>
      <c r="H10" s="2" t="s">
        <v>2</v>
      </c>
      <c r="I10" s="7">
        <v>0</v>
      </c>
      <c r="J10" s="2"/>
      <c r="K10" s="1" t="s">
        <v>10</v>
      </c>
      <c r="L10" s="2"/>
      <c r="M10" s="2" t="s">
        <v>2</v>
      </c>
      <c r="N10" s="8">
        <v>0</v>
      </c>
      <c r="O10" s="3"/>
    </row>
    <row r="11" spans="1:15" ht="15" x14ac:dyDescent="0.35">
      <c r="A11" s="1" t="s">
        <v>11</v>
      </c>
      <c r="B11" s="2"/>
      <c r="C11" s="2" t="s">
        <v>2</v>
      </c>
      <c r="D11" s="12"/>
      <c r="E11" s="2"/>
      <c r="F11" s="1" t="s">
        <v>11</v>
      </c>
      <c r="G11" s="2"/>
      <c r="H11" s="2" t="s">
        <v>2</v>
      </c>
      <c r="I11" s="7">
        <v>0</v>
      </c>
      <c r="J11" s="2"/>
      <c r="K11" s="1" t="s">
        <v>11</v>
      </c>
      <c r="L11" s="2"/>
      <c r="M11" s="2" t="s">
        <v>2</v>
      </c>
      <c r="N11" s="8">
        <f>[6]krnmei!$P$148</f>
        <v>80000</v>
      </c>
      <c r="O11" s="3"/>
    </row>
    <row r="12" spans="1:15" ht="15" x14ac:dyDescent="0.35">
      <c r="A12" s="1" t="s">
        <v>12</v>
      </c>
      <c r="B12" s="2"/>
      <c r="C12" s="2" t="s">
        <v>2</v>
      </c>
      <c r="D12" s="8">
        <f>[1]krnmei!$F$1314</f>
        <v>15000</v>
      </c>
      <c r="E12" s="2"/>
      <c r="F12" s="1" t="s">
        <v>12</v>
      </c>
      <c r="G12" s="2"/>
      <c r="H12" s="2" t="s">
        <v>2</v>
      </c>
      <c r="I12" s="8">
        <f>[7]krnmei!$F$1289</f>
        <v>100000</v>
      </c>
      <c r="J12" s="2"/>
      <c r="K12" s="1" t="s">
        <v>12</v>
      </c>
      <c r="L12" s="2"/>
      <c r="M12" s="2" t="s">
        <v>2</v>
      </c>
      <c r="N12" s="8">
        <f>[8]krnmei!$F$148</f>
        <v>250000</v>
      </c>
      <c r="O12" s="3"/>
    </row>
    <row r="13" spans="1:15" ht="15" x14ac:dyDescent="0.35">
      <c r="A13" s="13" t="s">
        <v>13</v>
      </c>
      <c r="B13" s="5"/>
      <c r="C13" s="5" t="s">
        <v>2</v>
      </c>
      <c r="D13" s="14">
        <f>SUM(D5:D12)</f>
        <v>100000</v>
      </c>
      <c r="E13" s="2"/>
      <c r="F13" s="13" t="s">
        <v>13</v>
      </c>
      <c r="G13" s="5"/>
      <c r="H13" s="5" t="s">
        <v>2</v>
      </c>
      <c r="I13" s="14">
        <f>SUM(I5:I12)</f>
        <v>150000</v>
      </c>
      <c r="J13" s="2"/>
      <c r="K13" s="13" t="s">
        <v>13</v>
      </c>
      <c r="L13" s="5"/>
      <c r="M13" s="5" t="s">
        <v>2</v>
      </c>
      <c r="N13" s="8">
        <f>SUM(N5:N12)</f>
        <v>1230000</v>
      </c>
      <c r="O13" s="3"/>
    </row>
    <row r="14" spans="1:15" ht="15" x14ac:dyDescent="0.35">
      <c r="A14" s="1" t="s">
        <v>14</v>
      </c>
      <c r="B14" s="2"/>
      <c r="C14" s="2" t="s">
        <v>2</v>
      </c>
      <c r="D14" s="7"/>
      <c r="E14" s="2"/>
      <c r="F14" s="1" t="s">
        <v>14</v>
      </c>
      <c r="G14" s="2"/>
      <c r="H14" s="2" t="s">
        <v>2</v>
      </c>
      <c r="I14" s="7"/>
      <c r="J14" s="2"/>
      <c r="K14" s="1" t="s">
        <v>14</v>
      </c>
      <c r="L14" s="2"/>
      <c r="M14" s="2" t="s">
        <v>2</v>
      </c>
      <c r="N14" s="8">
        <f>[6]krnmei!$O$148</f>
        <v>4000000</v>
      </c>
      <c r="O14" s="3"/>
    </row>
    <row r="15" spans="1:15" ht="15" x14ac:dyDescent="0.35">
      <c r="A15" s="1"/>
      <c r="B15" s="2"/>
      <c r="C15" s="15"/>
      <c r="D15" s="2" t="s">
        <v>86</v>
      </c>
      <c r="E15" s="2"/>
      <c r="F15" s="1"/>
      <c r="G15" s="2"/>
      <c r="H15" s="2"/>
      <c r="I15" s="15" t="str">
        <f>D15</f>
        <v>Grogol, 02 Januari 2026</v>
      </c>
      <c r="J15" s="15"/>
      <c r="K15" s="1"/>
      <c r="L15" s="2"/>
      <c r="M15" s="15"/>
      <c r="N15" s="15" t="str">
        <f>I15</f>
        <v>Grogol, 02 Januari 2026</v>
      </c>
      <c r="O15" s="16"/>
    </row>
    <row r="16" spans="1:15" ht="15" x14ac:dyDescent="0.35">
      <c r="A16" s="1"/>
      <c r="B16" s="2"/>
      <c r="C16" s="2"/>
      <c r="D16" s="15" t="s">
        <v>15</v>
      </c>
      <c r="E16" s="15"/>
      <c r="F16" s="1"/>
      <c r="G16" s="2"/>
      <c r="H16" s="2"/>
      <c r="I16" s="15" t="s">
        <v>15</v>
      </c>
      <c r="J16" s="2"/>
      <c r="K16" s="1"/>
      <c r="L16" s="2"/>
      <c r="M16" s="2"/>
      <c r="N16" s="15" t="s">
        <v>15</v>
      </c>
      <c r="O16" s="3"/>
    </row>
    <row r="17" spans="1:15" ht="15" x14ac:dyDescent="0.35">
      <c r="A17" s="1"/>
      <c r="B17" s="2"/>
      <c r="C17" s="2"/>
      <c r="D17" s="15"/>
      <c r="E17" s="2"/>
      <c r="F17" s="1"/>
      <c r="G17" s="2"/>
      <c r="H17" s="2"/>
      <c r="I17" s="15"/>
      <c r="J17" s="2"/>
      <c r="K17" s="1"/>
      <c r="L17" s="2"/>
      <c r="M17" s="2"/>
      <c r="N17" s="15"/>
      <c r="O17" s="3"/>
    </row>
    <row r="18" spans="1:15" ht="15" x14ac:dyDescent="0.35">
      <c r="A18" s="1"/>
      <c r="B18" s="2"/>
      <c r="C18" s="2"/>
      <c r="D18" s="15"/>
      <c r="E18" s="2"/>
      <c r="F18" s="1"/>
      <c r="G18" s="2"/>
      <c r="H18" s="2"/>
      <c r="I18" s="15"/>
      <c r="J18" s="2"/>
      <c r="K18" s="1"/>
      <c r="L18" s="2"/>
      <c r="M18" s="2"/>
      <c r="N18" s="15"/>
      <c r="O18" s="3"/>
    </row>
    <row r="19" spans="1:15" ht="15.6" thickBot="1" x14ac:dyDescent="0.4">
      <c r="A19" s="17"/>
      <c r="B19" s="18"/>
      <c r="C19" s="18"/>
      <c r="D19" s="19" t="s">
        <v>16</v>
      </c>
      <c r="E19" s="18"/>
      <c r="F19" s="17"/>
      <c r="G19" s="18"/>
      <c r="H19" s="18"/>
      <c r="I19" s="19" t="s">
        <v>16</v>
      </c>
      <c r="J19" s="18"/>
      <c r="K19" s="17"/>
      <c r="L19" s="18"/>
      <c r="M19" s="18"/>
      <c r="N19" s="19" t="s">
        <v>16</v>
      </c>
      <c r="O19" s="20"/>
    </row>
    <row r="20" spans="1:15" ht="15" x14ac:dyDescent="0.35">
      <c r="A20" s="46" t="s">
        <v>0</v>
      </c>
      <c r="B20" s="47"/>
      <c r="C20" s="47"/>
      <c r="D20" s="47"/>
      <c r="E20" s="47"/>
      <c r="F20" s="46" t="s">
        <v>0</v>
      </c>
      <c r="G20" s="47"/>
      <c r="H20" s="47"/>
      <c r="I20" s="47"/>
      <c r="J20" s="47"/>
      <c r="K20" s="46" t="s">
        <v>0</v>
      </c>
      <c r="L20" s="47"/>
      <c r="M20" s="47"/>
      <c r="N20" s="47"/>
      <c r="O20" s="48"/>
    </row>
    <row r="21" spans="1:15" ht="15" x14ac:dyDescent="0.35">
      <c r="A21" s="1"/>
      <c r="B21" s="2"/>
      <c r="C21" s="2"/>
      <c r="D21" s="2"/>
      <c r="E21" s="2"/>
      <c r="F21" s="1"/>
      <c r="G21" s="2"/>
      <c r="H21" s="2"/>
      <c r="I21" s="2"/>
      <c r="J21" s="2"/>
      <c r="K21" s="1"/>
      <c r="L21" s="2"/>
      <c r="M21" s="2"/>
      <c r="N21" s="2"/>
      <c r="O21" s="3"/>
    </row>
    <row r="22" spans="1:15" ht="15" x14ac:dyDescent="0.35">
      <c r="A22" s="1" t="s">
        <v>1</v>
      </c>
      <c r="B22" s="2" t="s">
        <v>2</v>
      </c>
      <c r="C22" s="50" t="s">
        <v>71</v>
      </c>
      <c r="D22" s="50"/>
      <c r="E22" s="4">
        <v>50</v>
      </c>
      <c r="F22" s="1" t="s">
        <v>1</v>
      </c>
      <c r="G22" s="2" t="s">
        <v>2</v>
      </c>
      <c r="H22" s="50" t="s">
        <v>72</v>
      </c>
      <c r="I22" s="50"/>
      <c r="J22" s="4">
        <v>51</v>
      </c>
      <c r="K22" s="1" t="s">
        <v>1</v>
      </c>
      <c r="L22" s="2" t="s">
        <v>2</v>
      </c>
      <c r="M22" s="50" t="s">
        <v>73</v>
      </c>
      <c r="N22" s="50"/>
      <c r="O22" s="6">
        <v>52</v>
      </c>
    </row>
    <row r="23" spans="1:15" ht="15" x14ac:dyDescent="0.35">
      <c r="A23" s="1" t="s">
        <v>4</v>
      </c>
      <c r="B23" s="2"/>
      <c r="C23" s="2" t="s">
        <v>2</v>
      </c>
      <c r="D23" s="2"/>
      <c r="F23" s="1" t="s">
        <v>4</v>
      </c>
      <c r="G23" s="2"/>
      <c r="H23" s="2" t="s">
        <v>2</v>
      </c>
      <c r="I23" s="2"/>
      <c r="J23" s="2"/>
      <c r="K23" s="1" t="s">
        <v>4</v>
      </c>
      <c r="L23" s="2"/>
      <c r="M23" s="2" t="s">
        <v>2</v>
      </c>
      <c r="N23" s="2"/>
      <c r="O23" s="3"/>
    </row>
    <row r="24" spans="1:15" ht="15" x14ac:dyDescent="0.35">
      <c r="A24" s="1" t="s">
        <v>5</v>
      </c>
      <c r="B24" s="2"/>
      <c r="C24" s="2" t="s">
        <v>2</v>
      </c>
      <c r="D24" s="8">
        <f>[1]krnmei!$C$1314</f>
        <v>15000</v>
      </c>
      <c r="E24" s="2"/>
      <c r="F24" s="1" t="s">
        <v>5</v>
      </c>
      <c r="G24" s="2"/>
      <c r="H24" s="2" t="s">
        <v>2</v>
      </c>
      <c r="I24" s="8">
        <f>[1]krnmei!$C$1331</f>
        <v>15000</v>
      </c>
      <c r="J24" s="2"/>
      <c r="K24" s="1" t="s">
        <v>5</v>
      </c>
      <c r="L24" s="2"/>
      <c r="M24" s="2" t="s">
        <v>2</v>
      </c>
      <c r="N24" s="8">
        <f>[1]krnmei!$C$1348</f>
        <v>15000</v>
      </c>
      <c r="O24" s="3"/>
    </row>
    <row r="25" spans="1:15" ht="15" x14ac:dyDescent="0.35">
      <c r="A25" s="1" t="s">
        <v>6</v>
      </c>
      <c r="B25" s="2"/>
      <c r="C25" s="2" t="s">
        <v>2</v>
      </c>
      <c r="D25" s="8">
        <f>[1]krnmei!$D$1314</f>
        <v>20000</v>
      </c>
      <c r="E25" s="2"/>
      <c r="F25" s="1" t="s">
        <v>6</v>
      </c>
      <c r="G25" s="2"/>
      <c r="H25" s="2" t="s">
        <v>2</v>
      </c>
      <c r="I25" s="8">
        <f>[1]krnmei!$D$1331</f>
        <v>20000</v>
      </c>
      <c r="J25" s="2"/>
      <c r="K25" s="1" t="s">
        <v>6</v>
      </c>
      <c r="L25" s="2"/>
      <c r="M25" s="2" t="s">
        <v>2</v>
      </c>
      <c r="N25" s="8">
        <f>[1]krnmei!$D$1348</f>
        <v>20000</v>
      </c>
      <c r="O25" s="3"/>
    </row>
    <row r="26" spans="1:15" ht="15" x14ac:dyDescent="0.35">
      <c r="A26" s="1" t="s">
        <v>7</v>
      </c>
      <c r="B26" s="2"/>
      <c r="C26" s="2" t="s">
        <v>2</v>
      </c>
      <c r="D26" s="8">
        <f>[1]krnmei!$E$1314</f>
        <v>50000</v>
      </c>
      <c r="E26" s="2"/>
      <c r="F26" s="1" t="s">
        <v>7</v>
      </c>
      <c r="G26" s="2"/>
      <c r="H26" s="2" t="s">
        <v>2</v>
      </c>
      <c r="I26" s="8">
        <f>[1]krnmei!$E$1331</f>
        <v>50000</v>
      </c>
      <c r="J26" s="2"/>
      <c r="K26" s="1" t="s">
        <v>7</v>
      </c>
      <c r="L26" s="2"/>
      <c r="M26" s="2" t="s">
        <v>2</v>
      </c>
      <c r="N26" s="8">
        <f>[1]krnmei!$E$1348</f>
        <v>50000</v>
      </c>
      <c r="O26" s="3"/>
    </row>
    <row r="27" spans="1:15" ht="15" x14ac:dyDescent="0.35">
      <c r="A27" s="1" t="s">
        <v>8</v>
      </c>
      <c r="B27" s="21"/>
      <c r="C27" s="2" t="s">
        <v>2</v>
      </c>
      <c r="D27" s="22">
        <v>0</v>
      </c>
      <c r="E27" s="2"/>
      <c r="F27" s="1" t="s">
        <v>8</v>
      </c>
      <c r="G27" s="2"/>
      <c r="H27" s="2" t="s">
        <v>2</v>
      </c>
      <c r="I27" s="8">
        <v>0</v>
      </c>
      <c r="J27" s="2"/>
      <c r="K27" s="1" t="s">
        <v>8</v>
      </c>
      <c r="L27" s="2"/>
      <c r="M27" s="2" t="s">
        <v>2</v>
      </c>
      <c r="N27" s="8">
        <v>0</v>
      </c>
      <c r="O27" s="3"/>
    </row>
    <row r="28" spans="1:15" ht="15" x14ac:dyDescent="0.35">
      <c r="A28" s="1" t="s">
        <v>9</v>
      </c>
      <c r="B28" s="2"/>
      <c r="C28" s="2" t="s">
        <v>2</v>
      </c>
      <c r="D28" s="8">
        <v>0</v>
      </c>
      <c r="E28" s="2"/>
      <c r="F28" s="1" t="s">
        <v>9</v>
      </c>
      <c r="G28" s="2"/>
      <c r="H28" s="2" t="s">
        <v>2</v>
      </c>
      <c r="I28" s="23">
        <v>0</v>
      </c>
      <c r="J28" s="2"/>
      <c r="K28" s="1" t="s">
        <v>9</v>
      </c>
      <c r="L28" s="2"/>
      <c r="M28" s="2" t="s">
        <v>2</v>
      </c>
      <c r="N28" s="8">
        <v>0</v>
      </c>
      <c r="O28" s="3"/>
    </row>
    <row r="29" spans="1:15" ht="15" x14ac:dyDescent="0.35">
      <c r="A29" s="1" t="s">
        <v>10</v>
      </c>
      <c r="B29" s="2">
        <v>0</v>
      </c>
      <c r="C29" s="2" t="s">
        <v>2</v>
      </c>
      <c r="D29" s="8">
        <v>0</v>
      </c>
      <c r="E29" s="2"/>
      <c r="F29" s="1" t="s">
        <v>10</v>
      </c>
      <c r="G29" s="2"/>
      <c r="H29" s="2" t="s">
        <v>2</v>
      </c>
      <c r="I29" s="8">
        <v>0</v>
      </c>
      <c r="J29" s="2"/>
      <c r="K29" s="1" t="s">
        <v>10</v>
      </c>
      <c r="L29" s="2"/>
      <c r="M29" s="2" t="s">
        <v>2</v>
      </c>
      <c r="N29" s="8">
        <v>0</v>
      </c>
      <c r="O29" s="3"/>
    </row>
    <row r="30" spans="1:15" ht="15" x14ac:dyDescent="0.35">
      <c r="A30" s="1" t="s">
        <v>11</v>
      </c>
      <c r="B30" s="2"/>
      <c r="C30" s="2" t="s">
        <v>2</v>
      </c>
      <c r="D30" s="8">
        <v>0</v>
      </c>
      <c r="E30" s="2"/>
      <c r="F30" s="1" t="s">
        <v>11</v>
      </c>
      <c r="G30" s="2"/>
      <c r="H30" s="2" t="s">
        <v>2</v>
      </c>
      <c r="I30" s="8">
        <v>0</v>
      </c>
      <c r="J30" s="2"/>
      <c r="K30" s="1" t="s">
        <v>11</v>
      </c>
      <c r="L30" s="2"/>
      <c r="M30" s="2" t="s">
        <v>2</v>
      </c>
      <c r="N30" s="9">
        <v>0</v>
      </c>
      <c r="O30" s="3"/>
    </row>
    <row r="31" spans="1:15" ht="15" x14ac:dyDescent="0.35">
      <c r="A31" s="1" t="s">
        <v>12</v>
      </c>
      <c r="B31" s="2"/>
      <c r="C31" s="2" t="s">
        <v>2</v>
      </c>
      <c r="D31" s="8">
        <f>[1]krnmei!$F$1314</f>
        <v>15000</v>
      </c>
      <c r="E31" s="2"/>
      <c r="F31" s="1" t="s">
        <v>12</v>
      </c>
      <c r="G31" s="2"/>
      <c r="H31" s="2" t="s">
        <v>2</v>
      </c>
      <c r="I31" s="8">
        <f>[1]krnmei!$F$1331</f>
        <v>15000</v>
      </c>
      <c r="J31" s="2"/>
      <c r="K31" s="1" t="s">
        <v>12</v>
      </c>
      <c r="L31" s="2"/>
      <c r="M31" s="2" t="s">
        <v>2</v>
      </c>
      <c r="N31" s="8">
        <f>[1]krnmei!$F$1348</f>
        <v>15000</v>
      </c>
      <c r="O31" s="3"/>
    </row>
    <row r="32" spans="1:15" ht="15" x14ac:dyDescent="0.35">
      <c r="A32" s="13" t="s">
        <v>13</v>
      </c>
      <c r="B32" s="5"/>
      <c r="C32" s="5" t="s">
        <v>2</v>
      </c>
      <c r="D32" s="8">
        <f>SUM(D24:D31)</f>
        <v>100000</v>
      </c>
      <c r="E32" s="2"/>
      <c r="F32" s="13" t="s">
        <v>13</v>
      </c>
      <c r="G32" s="5"/>
      <c r="H32" s="5" t="s">
        <v>2</v>
      </c>
      <c r="I32" s="24">
        <f>SUM(I24:I31)</f>
        <v>100000</v>
      </c>
      <c r="J32" s="2"/>
      <c r="K32" s="13" t="s">
        <v>13</v>
      </c>
      <c r="L32" s="5"/>
      <c r="M32" s="5" t="s">
        <v>2</v>
      </c>
      <c r="N32" s="24">
        <f>SUM(N24:N31)</f>
        <v>100000</v>
      </c>
      <c r="O32" s="3"/>
    </row>
    <row r="33" spans="1:15" ht="15" x14ac:dyDescent="0.35">
      <c r="A33" s="1" t="s">
        <v>14</v>
      </c>
      <c r="B33" s="2"/>
      <c r="C33" s="2" t="s">
        <v>2</v>
      </c>
      <c r="D33" s="8">
        <v>0</v>
      </c>
      <c r="E33" s="2"/>
      <c r="F33" s="1" t="s">
        <v>14</v>
      </c>
      <c r="G33" s="2"/>
      <c r="H33" s="2" t="s">
        <v>2</v>
      </c>
      <c r="I33" s="23">
        <f>[9]krnmei!$J$184</f>
        <v>0</v>
      </c>
      <c r="J33" s="2"/>
      <c r="K33" s="1" t="s">
        <v>14</v>
      </c>
      <c r="L33" s="2"/>
      <c r="M33" s="2" t="s">
        <v>2</v>
      </c>
      <c r="N33" s="25">
        <f>0</f>
        <v>0</v>
      </c>
      <c r="O33" s="3"/>
    </row>
    <row r="34" spans="1:15" ht="15" x14ac:dyDescent="0.35">
      <c r="A34" s="1"/>
      <c r="B34" s="2"/>
      <c r="C34" s="15"/>
      <c r="D34" s="15" t="str">
        <f>D15</f>
        <v>Grogol, 02 Januari 2026</v>
      </c>
      <c r="E34" s="2"/>
      <c r="F34" s="1"/>
      <c r="G34" s="2"/>
      <c r="H34" s="15"/>
      <c r="I34" s="15" t="str">
        <f>D34</f>
        <v>Grogol, 02 Januari 2026</v>
      </c>
      <c r="J34" s="15"/>
      <c r="K34" s="1"/>
      <c r="L34" s="2"/>
      <c r="M34" s="15"/>
      <c r="N34" s="15" t="str">
        <f>I34</f>
        <v>Grogol, 02 Januari 2026</v>
      </c>
      <c r="O34" s="16"/>
    </row>
    <row r="35" spans="1:15" ht="15" x14ac:dyDescent="0.35">
      <c r="A35" s="1"/>
      <c r="B35" s="2"/>
      <c r="C35" s="2"/>
      <c r="D35" s="15" t="s">
        <v>15</v>
      </c>
      <c r="E35" s="15"/>
      <c r="F35" s="1"/>
      <c r="G35" s="2"/>
      <c r="H35" s="2"/>
      <c r="I35" s="15" t="s">
        <v>15</v>
      </c>
      <c r="J35" s="2"/>
      <c r="K35" s="1"/>
      <c r="L35" s="2"/>
      <c r="M35" s="2"/>
      <c r="N35" s="15" t="s">
        <v>15</v>
      </c>
      <c r="O35" s="3"/>
    </row>
    <row r="36" spans="1:15" ht="15" x14ac:dyDescent="0.35">
      <c r="A36" s="1"/>
      <c r="B36" s="2"/>
      <c r="C36" s="2"/>
      <c r="D36" s="15"/>
      <c r="E36" s="15"/>
      <c r="F36" s="1"/>
      <c r="G36" s="2"/>
      <c r="H36" s="2"/>
      <c r="I36" s="15"/>
      <c r="J36" s="2"/>
      <c r="K36" s="1"/>
      <c r="L36" s="2"/>
      <c r="M36" s="2"/>
      <c r="N36" s="15"/>
      <c r="O36" s="3"/>
    </row>
    <row r="37" spans="1:15" ht="15" x14ac:dyDescent="0.35">
      <c r="A37" s="1"/>
      <c r="B37" s="2"/>
      <c r="C37" s="2"/>
      <c r="D37" s="15"/>
      <c r="E37" s="2"/>
      <c r="F37" s="1"/>
      <c r="G37" s="2"/>
      <c r="H37" s="2"/>
      <c r="I37" s="15"/>
      <c r="J37" s="2"/>
      <c r="K37" s="1"/>
      <c r="L37" s="2"/>
      <c r="M37" s="2"/>
      <c r="N37" s="15"/>
      <c r="O37" s="3"/>
    </row>
    <row r="38" spans="1:15" ht="15.6" thickBot="1" x14ac:dyDescent="0.4">
      <c r="A38" s="17"/>
      <c r="B38" s="18"/>
      <c r="C38" s="18"/>
      <c r="D38" s="19" t="s">
        <v>16</v>
      </c>
      <c r="E38" s="18"/>
      <c r="F38" s="17"/>
      <c r="G38" s="18"/>
      <c r="H38" s="18"/>
      <c r="I38" s="19" t="s">
        <v>16</v>
      </c>
      <c r="J38" s="18"/>
      <c r="K38" s="17"/>
      <c r="L38" s="18"/>
      <c r="M38" s="18"/>
      <c r="N38" s="19" t="s">
        <v>16</v>
      </c>
      <c r="O38" s="20"/>
    </row>
    <row r="39" spans="1:15" ht="15" x14ac:dyDescent="0.35">
      <c r="A39" s="46" t="s">
        <v>0</v>
      </c>
      <c r="B39" s="47"/>
      <c r="C39" s="47"/>
      <c r="D39" s="47"/>
      <c r="E39" s="47"/>
      <c r="F39" s="46" t="s">
        <v>0</v>
      </c>
      <c r="G39" s="47"/>
      <c r="H39" s="47"/>
      <c r="I39" s="47"/>
      <c r="J39" s="47"/>
      <c r="K39" s="46" t="s">
        <v>0</v>
      </c>
      <c r="L39" s="47"/>
      <c r="M39" s="47"/>
      <c r="N39" s="47"/>
      <c r="O39" s="48"/>
    </row>
    <row r="40" spans="1:15" ht="15" x14ac:dyDescent="0.35">
      <c r="A40" s="1"/>
      <c r="B40" s="2"/>
      <c r="C40" s="2"/>
      <c r="D40" s="2"/>
      <c r="E40" s="2"/>
      <c r="F40" s="1"/>
      <c r="G40" s="2"/>
      <c r="H40" s="2"/>
      <c r="I40" s="2"/>
      <c r="J40" s="2"/>
      <c r="K40" s="1"/>
      <c r="L40" s="2"/>
      <c r="M40" s="2"/>
      <c r="N40" s="2"/>
      <c r="O40" s="3"/>
    </row>
    <row r="41" spans="1:15" ht="15" x14ac:dyDescent="0.35">
      <c r="A41" s="1" t="s">
        <v>1</v>
      </c>
      <c r="B41" s="2" t="s">
        <v>2</v>
      </c>
      <c r="C41" s="50" t="s">
        <v>78</v>
      </c>
      <c r="D41" s="50"/>
      <c r="E41" s="4">
        <v>25</v>
      </c>
      <c r="F41" s="1" t="s">
        <v>1</v>
      </c>
      <c r="G41" s="2" t="s">
        <v>2</v>
      </c>
      <c r="H41" s="50" t="s">
        <v>17</v>
      </c>
      <c r="I41" s="50"/>
      <c r="J41" s="4">
        <v>2</v>
      </c>
      <c r="K41" s="1" t="s">
        <v>1</v>
      </c>
      <c r="L41" s="2" t="s">
        <v>2</v>
      </c>
      <c r="M41" s="50" t="s">
        <v>18</v>
      </c>
      <c r="N41" s="50"/>
      <c r="O41" s="6">
        <v>3</v>
      </c>
    </row>
    <row r="42" spans="1:15" ht="15" x14ac:dyDescent="0.35">
      <c r="A42" s="1" t="s">
        <v>4</v>
      </c>
      <c r="B42" s="2"/>
      <c r="C42" s="2" t="s">
        <v>2</v>
      </c>
      <c r="D42" s="2"/>
      <c r="F42" s="1" t="s">
        <v>4</v>
      </c>
      <c r="G42" s="2"/>
      <c r="H42" s="2" t="s">
        <v>2</v>
      </c>
      <c r="I42" s="2"/>
      <c r="J42" s="2"/>
      <c r="K42" s="1" t="s">
        <v>4</v>
      </c>
      <c r="L42" s="2"/>
      <c r="M42" s="2" t="s">
        <v>2</v>
      </c>
      <c r="N42" s="2"/>
      <c r="O42" s="3"/>
    </row>
    <row r="43" spans="1:15" ht="15" x14ac:dyDescent="0.35">
      <c r="A43" s="1" t="s">
        <v>5</v>
      </c>
      <c r="B43" s="2"/>
      <c r="C43" s="2" t="s">
        <v>2</v>
      </c>
      <c r="D43" s="8">
        <v>100000</v>
      </c>
      <c r="E43" s="2"/>
      <c r="F43" s="1" t="s">
        <v>5</v>
      </c>
      <c r="G43" s="2"/>
      <c r="H43" s="2" t="s">
        <v>2</v>
      </c>
      <c r="I43" s="8">
        <f>'[3]KARNING 2021'!$C$225</f>
        <v>100000</v>
      </c>
      <c r="J43" s="2"/>
      <c r="K43" s="1" t="s">
        <v>5</v>
      </c>
      <c r="L43" s="2"/>
      <c r="M43" s="2" t="s">
        <v>2</v>
      </c>
      <c r="N43" s="8">
        <f>'[3]KARNING 2021'!$C$242</f>
        <v>100000</v>
      </c>
      <c r="O43" s="3"/>
    </row>
    <row r="44" spans="1:15" ht="15" x14ac:dyDescent="0.35">
      <c r="A44" s="1" t="s">
        <v>6</v>
      </c>
      <c r="B44" s="2"/>
      <c r="C44" s="2" t="s">
        <v>2</v>
      </c>
      <c r="D44" s="8">
        <v>25000</v>
      </c>
      <c r="E44" s="2"/>
      <c r="F44" s="1" t="s">
        <v>6</v>
      </c>
      <c r="G44" s="2"/>
      <c r="H44" s="2" t="s">
        <v>2</v>
      </c>
      <c r="I44" s="8">
        <f>'[3]KARNING 2021'!$D$225</f>
        <v>100000</v>
      </c>
      <c r="J44" s="2"/>
      <c r="K44" s="1" t="s">
        <v>6</v>
      </c>
      <c r="L44" s="2"/>
      <c r="M44" s="2" t="s">
        <v>2</v>
      </c>
      <c r="N44" s="8">
        <f>'[3]KARNING 2021'!$D$242</f>
        <v>25000</v>
      </c>
      <c r="O44" s="3"/>
    </row>
    <row r="45" spans="1:15" ht="15" x14ac:dyDescent="0.35">
      <c r="A45" s="1" t="s">
        <v>7</v>
      </c>
      <c r="B45" s="2"/>
      <c r="C45" s="2" t="s">
        <v>2</v>
      </c>
      <c r="D45" s="8">
        <v>50000</v>
      </c>
      <c r="E45" s="2"/>
      <c r="F45" s="1" t="s">
        <v>7</v>
      </c>
      <c r="G45" s="2"/>
      <c r="H45" s="2" t="s">
        <v>2</v>
      </c>
      <c r="I45" s="8">
        <f>[10]krnmei!$E$230</f>
        <v>500000</v>
      </c>
      <c r="J45" s="2"/>
      <c r="K45" s="1" t="s">
        <v>7</v>
      </c>
      <c r="L45" s="2"/>
      <c r="M45" s="2" t="s">
        <v>2</v>
      </c>
      <c r="N45" s="8">
        <f>'[3]KARNING 2021'!$E$242</f>
        <v>150000</v>
      </c>
      <c r="O45" s="3"/>
    </row>
    <row r="46" spans="1:15" ht="15" x14ac:dyDescent="0.35">
      <c r="A46" s="1" t="s">
        <v>8</v>
      </c>
      <c r="B46" s="2"/>
      <c r="C46" s="2" t="s">
        <v>2</v>
      </c>
      <c r="D46" s="8">
        <v>0</v>
      </c>
      <c r="E46" s="2"/>
      <c r="F46" s="1" t="s">
        <v>8</v>
      </c>
      <c r="G46" s="21">
        <v>0</v>
      </c>
      <c r="H46" s="2" t="s">
        <v>2</v>
      </c>
      <c r="I46" s="25">
        <v>0</v>
      </c>
      <c r="J46" s="2"/>
      <c r="K46" s="1" t="s">
        <v>8</v>
      </c>
      <c r="L46" s="2">
        <v>16</v>
      </c>
      <c r="M46" s="2" t="s">
        <v>2</v>
      </c>
      <c r="N46" s="25">
        <f>[37]krnmei!$I$242</f>
        <v>1200000</v>
      </c>
      <c r="O46" s="3"/>
    </row>
    <row r="47" spans="1:15" ht="15" x14ac:dyDescent="0.35">
      <c r="A47" s="1" t="s">
        <v>9</v>
      </c>
      <c r="B47" s="2"/>
      <c r="C47" s="2" t="s">
        <v>2</v>
      </c>
      <c r="D47" s="8">
        <v>0</v>
      </c>
      <c r="E47" s="2"/>
      <c r="F47" s="1" t="s">
        <v>9</v>
      </c>
      <c r="G47" s="2"/>
      <c r="H47" s="2" t="s">
        <v>2</v>
      </c>
      <c r="I47" s="26">
        <v>0</v>
      </c>
      <c r="J47" s="2"/>
      <c r="K47" s="1" t="s">
        <v>9</v>
      </c>
      <c r="L47" s="2"/>
      <c r="M47" s="2" t="s">
        <v>2</v>
      </c>
      <c r="N47" s="11">
        <f>[37]krnmei!$K$242</f>
        <v>592500</v>
      </c>
      <c r="O47" s="3"/>
    </row>
    <row r="48" spans="1:15" ht="15" x14ac:dyDescent="0.35">
      <c r="A48" s="1" t="s">
        <v>10</v>
      </c>
      <c r="B48" s="2"/>
      <c r="C48" s="2" t="s">
        <v>2</v>
      </c>
      <c r="D48" s="8">
        <v>0</v>
      </c>
      <c r="E48" s="2"/>
      <c r="F48" s="1" t="s">
        <v>10</v>
      </c>
      <c r="G48" s="2"/>
      <c r="H48" s="2" t="s">
        <v>2</v>
      </c>
      <c r="I48" s="8"/>
      <c r="J48" s="2"/>
      <c r="K48" s="1" t="s">
        <v>10</v>
      </c>
      <c r="L48" s="2"/>
      <c r="M48" s="2" t="s">
        <v>2</v>
      </c>
      <c r="N48" s="8">
        <f>[2]krnmei!$L$253</f>
        <v>0</v>
      </c>
      <c r="O48" s="3"/>
    </row>
    <row r="49" spans="1:15" ht="15" x14ac:dyDescent="0.35">
      <c r="A49" s="1" t="s">
        <v>11</v>
      </c>
      <c r="B49" s="2"/>
      <c r="C49" s="2" t="s">
        <v>2</v>
      </c>
      <c r="D49" s="8">
        <v>0</v>
      </c>
      <c r="E49" s="2"/>
      <c r="F49" s="1" t="s">
        <v>11</v>
      </c>
      <c r="G49" s="2"/>
      <c r="H49" s="2" t="s">
        <v>2</v>
      </c>
      <c r="I49" s="8">
        <f>[13]krnmei!$P$231</f>
        <v>0</v>
      </c>
      <c r="J49" s="2"/>
      <c r="K49" s="1" t="s">
        <v>11</v>
      </c>
      <c r="L49" s="2"/>
      <c r="M49" s="2" t="s">
        <v>2</v>
      </c>
      <c r="N49" s="8">
        <f>[14]krnmei!$P$242</f>
        <v>0</v>
      </c>
      <c r="O49" s="3"/>
    </row>
    <row r="50" spans="1:15" ht="15" x14ac:dyDescent="0.35">
      <c r="A50" s="1" t="s">
        <v>12</v>
      </c>
      <c r="B50" s="2"/>
      <c r="C50" s="2" t="s">
        <v>2</v>
      </c>
      <c r="D50" s="8">
        <v>25000</v>
      </c>
      <c r="E50" s="2"/>
      <c r="F50" s="1" t="s">
        <v>12</v>
      </c>
      <c r="G50" s="2"/>
      <c r="H50" s="2" t="s">
        <v>2</v>
      </c>
      <c r="I50" s="8">
        <f>[37]krnmei!$F$225</f>
        <v>500000</v>
      </c>
      <c r="J50" s="2"/>
      <c r="K50" s="1" t="s">
        <v>12</v>
      </c>
      <c r="L50" s="2"/>
      <c r="M50" s="2" t="s">
        <v>2</v>
      </c>
      <c r="N50" s="8">
        <f>'[3]KARNING 2021'!$F$242</f>
        <v>100000</v>
      </c>
      <c r="O50" s="3"/>
    </row>
    <row r="51" spans="1:15" ht="15" x14ac:dyDescent="0.35">
      <c r="A51" s="13" t="s">
        <v>13</v>
      </c>
      <c r="B51" s="5"/>
      <c r="C51" s="5" t="s">
        <v>2</v>
      </c>
      <c r="D51" s="24">
        <f>SUM(D43:D50)</f>
        <v>200000</v>
      </c>
      <c r="E51" s="2"/>
      <c r="F51" s="13" t="s">
        <v>13</v>
      </c>
      <c r="G51" s="5"/>
      <c r="H51" s="5" t="s">
        <v>2</v>
      </c>
      <c r="I51" s="24">
        <f>SUM(I43:I50)</f>
        <v>1200000</v>
      </c>
      <c r="J51" s="2"/>
      <c r="K51" s="13" t="s">
        <v>13</v>
      </c>
      <c r="L51" s="5"/>
      <c r="M51" s="5" t="s">
        <v>2</v>
      </c>
      <c r="N51" s="24">
        <f>SUM(N43:N50)</f>
        <v>2167500</v>
      </c>
      <c r="O51" s="3"/>
    </row>
    <row r="52" spans="1:15" ht="15" x14ac:dyDescent="0.35">
      <c r="A52" s="1" t="s">
        <v>14</v>
      </c>
      <c r="B52" s="2"/>
      <c r="C52" s="2" t="s">
        <v>2</v>
      </c>
      <c r="D52" s="8">
        <v>0</v>
      </c>
      <c r="E52" s="2"/>
      <c r="F52" s="1" t="s">
        <v>14</v>
      </c>
      <c r="G52" s="2"/>
      <c r="H52" s="2" t="s">
        <v>2</v>
      </c>
      <c r="I52" s="27">
        <f>[13]krnmei!$O$230</f>
        <v>0</v>
      </c>
      <c r="J52" s="2"/>
      <c r="K52" s="1" t="s">
        <v>14</v>
      </c>
      <c r="L52" s="2"/>
      <c r="M52" s="2" t="s">
        <v>2</v>
      </c>
      <c r="N52" s="27">
        <f>[37]krnmei!$J$242</f>
        <v>38300000</v>
      </c>
      <c r="O52" s="3"/>
    </row>
    <row r="53" spans="1:15" ht="15" x14ac:dyDescent="0.35">
      <c r="A53" s="1"/>
      <c r="B53" s="2"/>
      <c r="C53" s="15"/>
      <c r="D53" s="15" t="str">
        <f>D34</f>
        <v>Grogol, 02 Januari 2026</v>
      </c>
      <c r="E53" s="2"/>
      <c r="F53" s="1"/>
      <c r="G53" s="2"/>
      <c r="H53" s="15"/>
      <c r="I53" s="15" t="str">
        <f>D53</f>
        <v>Grogol, 02 Januari 2026</v>
      </c>
      <c r="J53" s="15"/>
      <c r="K53" s="1"/>
      <c r="L53" s="2"/>
      <c r="M53" s="15"/>
      <c r="N53" s="15" t="str">
        <f>I53</f>
        <v>Grogol, 02 Januari 2026</v>
      </c>
      <c r="O53" s="16"/>
    </row>
    <row r="54" spans="1:15" ht="15" x14ac:dyDescent="0.35">
      <c r="A54" s="1"/>
      <c r="B54" s="2"/>
      <c r="C54" s="2"/>
      <c r="D54" s="15" t="s">
        <v>15</v>
      </c>
      <c r="E54" s="15"/>
      <c r="F54" s="1"/>
      <c r="G54" s="2"/>
      <c r="H54" s="2"/>
      <c r="I54" s="15" t="s">
        <v>15</v>
      </c>
      <c r="J54" s="2"/>
      <c r="K54" s="1"/>
      <c r="L54" s="2"/>
      <c r="M54" s="2"/>
      <c r="N54" s="15" t="s">
        <v>15</v>
      </c>
      <c r="O54" s="3"/>
    </row>
    <row r="55" spans="1:15" ht="15" x14ac:dyDescent="0.35">
      <c r="A55" s="1"/>
      <c r="B55" s="2"/>
      <c r="C55" s="2"/>
      <c r="D55" s="15"/>
      <c r="E55" s="15"/>
      <c r="F55" s="1"/>
      <c r="G55" s="2"/>
      <c r="H55" s="2"/>
      <c r="I55" s="15"/>
      <c r="J55" s="2"/>
      <c r="K55" s="1"/>
      <c r="L55" s="2"/>
      <c r="M55" s="2"/>
      <c r="N55" s="15"/>
      <c r="O55" s="3"/>
    </row>
    <row r="56" spans="1:15" ht="15" x14ac:dyDescent="0.35">
      <c r="A56" s="1"/>
      <c r="B56" s="2"/>
      <c r="C56" s="2"/>
      <c r="D56" s="15"/>
      <c r="E56" s="2"/>
      <c r="F56" s="1"/>
      <c r="G56" s="2"/>
      <c r="H56" s="2"/>
      <c r="I56" s="15"/>
      <c r="J56" s="2"/>
      <c r="K56" s="1"/>
      <c r="L56" s="2"/>
      <c r="M56" s="2"/>
      <c r="N56" s="15"/>
      <c r="O56" s="3"/>
    </row>
    <row r="57" spans="1:15" ht="15.6" thickBot="1" x14ac:dyDescent="0.4">
      <c r="A57" s="17"/>
      <c r="B57" s="18"/>
      <c r="C57" s="18"/>
      <c r="D57" s="19" t="s">
        <v>16</v>
      </c>
      <c r="E57" s="18"/>
      <c r="F57" s="17"/>
      <c r="G57" s="18"/>
      <c r="H57" s="18"/>
      <c r="I57" s="19" t="s">
        <v>16</v>
      </c>
      <c r="J57" s="18"/>
      <c r="K57" s="17"/>
      <c r="L57" s="18"/>
      <c r="M57" s="18"/>
      <c r="N57" s="19" t="s">
        <v>16</v>
      </c>
      <c r="O57" s="20"/>
    </row>
    <row r="58" spans="1:15" ht="15" x14ac:dyDescent="0.35">
      <c r="A58" s="46" t="s">
        <v>0</v>
      </c>
      <c r="B58" s="47"/>
      <c r="C58" s="47"/>
      <c r="D58" s="47"/>
      <c r="E58" s="47"/>
      <c r="F58" s="46" t="s">
        <v>0</v>
      </c>
      <c r="G58" s="47"/>
      <c r="H58" s="47"/>
      <c r="I58" s="47"/>
      <c r="J58" s="47"/>
      <c r="K58" s="46" t="s">
        <v>0</v>
      </c>
      <c r="L58" s="47"/>
      <c r="M58" s="47"/>
      <c r="N58" s="47"/>
      <c r="O58" s="48"/>
    </row>
    <row r="59" spans="1:15" ht="15" x14ac:dyDescent="0.35">
      <c r="A59" s="1"/>
      <c r="B59" s="2"/>
      <c r="C59" s="2"/>
      <c r="D59" s="2"/>
      <c r="E59" s="4"/>
      <c r="F59" s="1"/>
      <c r="G59" s="2"/>
      <c r="H59" s="2"/>
      <c r="I59" s="2"/>
      <c r="J59" s="2"/>
      <c r="K59" s="1"/>
      <c r="L59" s="2"/>
      <c r="M59" s="2"/>
      <c r="N59" s="2"/>
      <c r="O59" s="3"/>
    </row>
    <row r="60" spans="1:15" ht="15" x14ac:dyDescent="0.35">
      <c r="A60" s="1" t="s">
        <v>1</v>
      </c>
      <c r="B60" s="2" t="s">
        <v>2</v>
      </c>
      <c r="C60" s="51" t="s">
        <v>76</v>
      </c>
      <c r="D60" s="51"/>
      <c r="E60" s="4">
        <v>55</v>
      </c>
      <c r="F60" s="1" t="s">
        <v>1</v>
      </c>
      <c r="G60" s="2" t="s">
        <v>2</v>
      </c>
      <c r="H60" s="50" t="s">
        <v>19</v>
      </c>
      <c r="I60" s="50"/>
      <c r="J60" s="4">
        <v>4</v>
      </c>
      <c r="K60" s="1" t="s">
        <v>1</v>
      </c>
      <c r="L60" s="2" t="s">
        <v>2</v>
      </c>
      <c r="M60" s="50" t="s">
        <v>20</v>
      </c>
      <c r="N60" s="50"/>
      <c r="O60" s="6">
        <v>5</v>
      </c>
    </row>
    <row r="61" spans="1:15" ht="15" x14ac:dyDescent="0.35">
      <c r="A61" s="1" t="s">
        <v>4</v>
      </c>
      <c r="B61" s="2"/>
      <c r="C61" s="2" t="s">
        <v>2</v>
      </c>
      <c r="D61" s="2"/>
      <c r="F61" s="1" t="s">
        <v>4</v>
      </c>
      <c r="G61" s="2"/>
      <c r="H61" s="2" t="s">
        <v>2</v>
      </c>
      <c r="I61" s="2"/>
      <c r="J61" s="2"/>
      <c r="K61" s="1" t="s">
        <v>4</v>
      </c>
      <c r="L61" s="2"/>
      <c r="M61" s="2" t="s">
        <v>2</v>
      </c>
      <c r="N61" s="2"/>
      <c r="O61" s="3"/>
    </row>
    <row r="62" spans="1:15" ht="15" x14ac:dyDescent="0.35">
      <c r="A62" s="1" t="s">
        <v>5</v>
      </c>
      <c r="B62" s="2"/>
      <c r="C62" s="2" t="s">
        <v>2</v>
      </c>
      <c r="D62" s="8">
        <f>[16]krnmei!$C$1399</f>
        <v>15000</v>
      </c>
      <c r="E62" s="2"/>
      <c r="F62" s="1" t="s">
        <v>5</v>
      </c>
      <c r="G62" s="2"/>
      <c r="H62" s="2" t="s">
        <v>2</v>
      </c>
      <c r="I62" s="8">
        <f>'[3]KARNING 2021'!$C$276</f>
        <v>100000</v>
      </c>
      <c r="J62" s="2"/>
      <c r="K62" s="1" t="s">
        <v>5</v>
      </c>
      <c r="L62" s="2"/>
      <c r="M62" s="2" t="s">
        <v>2</v>
      </c>
      <c r="N62" s="8">
        <f>'[3]KARNING 2021'!$C$293</f>
        <v>100000</v>
      </c>
      <c r="O62" s="3"/>
    </row>
    <row r="63" spans="1:15" ht="15" x14ac:dyDescent="0.35">
      <c r="A63" s="1" t="s">
        <v>6</v>
      </c>
      <c r="B63" s="2"/>
      <c r="C63" s="2" t="s">
        <v>2</v>
      </c>
      <c r="D63" s="8">
        <f>[16]krnmei!$D$1399</f>
        <v>10000</v>
      </c>
      <c r="E63" s="2"/>
      <c r="F63" s="1" t="s">
        <v>6</v>
      </c>
      <c r="G63" s="2"/>
      <c r="H63" s="2" t="s">
        <v>2</v>
      </c>
      <c r="I63" s="8">
        <f>[17]krnmei!$D$278</f>
        <v>100000</v>
      </c>
      <c r="J63" s="2"/>
      <c r="K63" s="1" t="s">
        <v>6</v>
      </c>
      <c r="L63" s="2"/>
      <c r="M63" s="2" t="s">
        <v>2</v>
      </c>
      <c r="N63" s="8">
        <f>[17]krnmei!$D$295</f>
        <v>100000</v>
      </c>
      <c r="O63" s="3"/>
    </row>
    <row r="64" spans="1:15" ht="15" x14ac:dyDescent="0.35">
      <c r="A64" s="1" t="s">
        <v>7</v>
      </c>
      <c r="B64" s="2"/>
      <c r="C64" s="2" t="s">
        <v>2</v>
      </c>
      <c r="D64" s="8">
        <f>[16]krnmei!$E$1399</f>
        <v>100000</v>
      </c>
      <c r="E64" s="2"/>
      <c r="F64" s="1" t="s">
        <v>7</v>
      </c>
      <c r="G64" s="2"/>
      <c r="H64" s="2" t="s">
        <v>2</v>
      </c>
      <c r="I64" s="8">
        <f>[5]krnmei!$E$280</f>
        <v>500000</v>
      </c>
      <c r="J64" s="2"/>
      <c r="K64" s="1" t="s">
        <v>7</v>
      </c>
      <c r="L64" s="2"/>
      <c r="M64" s="2" t="s">
        <v>2</v>
      </c>
      <c r="N64" s="8">
        <f>[5]krnmei!$E$297</f>
        <v>600000</v>
      </c>
      <c r="O64" s="3"/>
    </row>
    <row r="65" spans="1:15" ht="15" x14ac:dyDescent="0.35">
      <c r="A65" s="1" t="s">
        <v>8</v>
      </c>
      <c r="B65" s="2">
        <v>4</v>
      </c>
      <c r="C65" s="2" t="s">
        <v>2</v>
      </c>
      <c r="D65" s="8">
        <f>[18]krnmei!$I$1407</f>
        <v>1000000</v>
      </c>
      <c r="E65" s="2"/>
      <c r="F65" s="1" t="s">
        <v>8</v>
      </c>
      <c r="G65" s="21">
        <v>41</v>
      </c>
      <c r="H65" s="2" t="s">
        <v>2</v>
      </c>
      <c r="I65" s="8">
        <f>[9]krnmei!$I$286</f>
        <v>500000</v>
      </c>
      <c r="J65" s="2"/>
      <c r="K65" s="1" t="s">
        <v>8</v>
      </c>
      <c r="L65" s="2"/>
      <c r="M65" s="2" t="s">
        <v>2</v>
      </c>
      <c r="N65" s="8">
        <v>0</v>
      </c>
      <c r="O65" s="3"/>
    </row>
    <row r="66" spans="1:15" ht="15" x14ac:dyDescent="0.35">
      <c r="A66" s="1" t="s">
        <v>9</v>
      </c>
      <c r="B66" s="2"/>
      <c r="C66" s="2" t="s">
        <v>2</v>
      </c>
      <c r="D66" s="8">
        <f>[37]krnmei!$K$1398</f>
        <v>105000</v>
      </c>
      <c r="E66" s="2"/>
      <c r="F66" s="1" t="s">
        <v>9</v>
      </c>
      <c r="G66" s="2"/>
      <c r="H66" s="2" t="s">
        <v>2</v>
      </c>
      <c r="I66" s="11">
        <f>[37]krnmei!$K$276</f>
        <v>37500</v>
      </c>
      <c r="J66" s="2"/>
      <c r="K66" s="1" t="s">
        <v>9</v>
      </c>
      <c r="L66" s="2"/>
      <c r="M66" s="2" t="s">
        <v>2</v>
      </c>
      <c r="N66" s="8">
        <f>[4]krnmei!$J$292</f>
        <v>0</v>
      </c>
      <c r="O66" s="3"/>
    </row>
    <row r="67" spans="1:15" ht="15" x14ac:dyDescent="0.35">
      <c r="A67" s="1" t="s">
        <v>10</v>
      </c>
      <c r="B67" s="2"/>
      <c r="C67" s="2" t="s">
        <v>2</v>
      </c>
      <c r="D67" s="8">
        <v>0</v>
      </c>
      <c r="E67" s="2"/>
      <c r="F67" s="1" t="s">
        <v>10</v>
      </c>
      <c r="G67" s="2"/>
      <c r="H67" s="2" t="s">
        <v>2</v>
      </c>
      <c r="I67" s="8">
        <v>0</v>
      </c>
      <c r="J67" s="2"/>
      <c r="K67" s="1" t="s">
        <v>10</v>
      </c>
      <c r="L67" s="2"/>
      <c r="M67" s="2" t="s">
        <v>2</v>
      </c>
      <c r="N67" s="8">
        <v>0</v>
      </c>
      <c r="O67" s="3"/>
    </row>
    <row r="68" spans="1:15" ht="15" x14ac:dyDescent="0.35">
      <c r="A68" s="1" t="s">
        <v>11</v>
      </c>
      <c r="B68" s="2"/>
      <c r="C68" s="2" t="s">
        <v>2</v>
      </c>
      <c r="D68" s="9">
        <v>0</v>
      </c>
      <c r="E68" s="2"/>
      <c r="F68" s="1" t="s">
        <v>11</v>
      </c>
      <c r="G68" s="2"/>
      <c r="H68" s="2" t="s">
        <v>2</v>
      </c>
      <c r="I68" s="9">
        <v>0</v>
      </c>
      <c r="J68" s="2"/>
      <c r="K68" s="1" t="s">
        <v>11</v>
      </c>
      <c r="L68" s="2"/>
      <c r="M68" s="2" t="s">
        <v>2</v>
      </c>
      <c r="N68" s="9">
        <v>0</v>
      </c>
      <c r="O68" s="3"/>
    </row>
    <row r="69" spans="1:15" ht="15" x14ac:dyDescent="0.35">
      <c r="A69" s="1" t="s">
        <v>12</v>
      </c>
      <c r="B69" s="2"/>
      <c r="C69" s="2" t="s">
        <v>2</v>
      </c>
      <c r="D69" s="8">
        <f>[16]krnmei!$F$1399</f>
        <v>50000</v>
      </c>
      <c r="E69" s="2"/>
      <c r="F69" s="1" t="s">
        <v>12</v>
      </c>
      <c r="G69" s="2"/>
      <c r="H69" s="2" t="s">
        <v>2</v>
      </c>
      <c r="I69" s="8">
        <f>'[3]KARNING 2021'!$F$276</f>
        <v>200000</v>
      </c>
      <c r="J69" s="2"/>
      <c r="K69" s="1" t="s">
        <v>12</v>
      </c>
      <c r="L69" s="2"/>
      <c r="M69" s="2" t="s">
        <v>2</v>
      </c>
      <c r="N69" s="8">
        <v>1000000</v>
      </c>
      <c r="O69" s="3"/>
    </row>
    <row r="70" spans="1:15" ht="15" x14ac:dyDescent="0.35">
      <c r="A70" s="13" t="s">
        <v>13</v>
      </c>
      <c r="B70" s="5"/>
      <c r="C70" s="5" t="s">
        <v>2</v>
      </c>
      <c r="D70" s="24">
        <f>SUM(D62:D69)</f>
        <v>1280000</v>
      </c>
      <c r="E70" s="2"/>
      <c r="F70" s="13" t="s">
        <v>13</v>
      </c>
      <c r="G70" s="5"/>
      <c r="H70" s="5" t="s">
        <v>2</v>
      </c>
      <c r="I70" s="8">
        <f>SUM(I62:I69)</f>
        <v>1437500</v>
      </c>
      <c r="J70" s="2"/>
      <c r="K70" s="13" t="s">
        <v>13</v>
      </c>
      <c r="L70" s="5"/>
      <c r="M70" s="5" t="s">
        <v>2</v>
      </c>
      <c r="N70" s="28">
        <f>SUM(N62:N69)</f>
        <v>1800000</v>
      </c>
      <c r="O70" s="3"/>
    </row>
    <row r="71" spans="1:15" ht="15" x14ac:dyDescent="0.35">
      <c r="A71" s="1" t="s">
        <v>14</v>
      </c>
      <c r="B71" s="2"/>
      <c r="C71" s="2" t="s">
        <v>2</v>
      </c>
      <c r="D71" s="8">
        <f>[37]krnmei!$J$1398</f>
        <v>6000000</v>
      </c>
      <c r="E71" s="2"/>
      <c r="F71" s="1" t="s">
        <v>14</v>
      </c>
      <c r="G71" s="2"/>
      <c r="H71" s="2" t="s">
        <v>2</v>
      </c>
      <c r="I71" s="27">
        <f>[37]krnmei!$J$276</f>
        <v>2000000</v>
      </c>
      <c r="J71" s="2"/>
      <c r="K71" s="1" t="s">
        <v>14</v>
      </c>
      <c r="L71" s="2"/>
      <c r="M71" s="2" t="s">
        <v>2</v>
      </c>
      <c r="N71" s="8">
        <v>0</v>
      </c>
      <c r="O71" s="3"/>
    </row>
    <row r="72" spans="1:15" ht="15" x14ac:dyDescent="0.35">
      <c r="A72" s="1"/>
      <c r="B72" s="2"/>
      <c r="C72" s="15"/>
      <c r="D72" s="15" t="str">
        <f>D53</f>
        <v>Grogol, 02 Januari 2026</v>
      </c>
      <c r="E72" s="2"/>
      <c r="F72" s="1"/>
      <c r="G72" s="2"/>
      <c r="H72" s="15"/>
      <c r="I72" s="15" t="str">
        <f>I53</f>
        <v>Grogol, 02 Januari 2026</v>
      </c>
      <c r="J72" s="15"/>
      <c r="K72" s="1"/>
      <c r="L72" s="2"/>
      <c r="M72" s="15"/>
      <c r="N72" s="15" t="str">
        <f>I72</f>
        <v>Grogol, 02 Januari 2026</v>
      </c>
      <c r="O72" s="16"/>
    </row>
    <row r="73" spans="1:15" ht="15" x14ac:dyDescent="0.35">
      <c r="A73" s="1"/>
      <c r="B73" s="2"/>
      <c r="C73" s="2"/>
      <c r="D73" s="15" t="s">
        <v>15</v>
      </c>
      <c r="E73" s="15"/>
      <c r="F73" s="1"/>
      <c r="G73" s="2"/>
      <c r="H73" s="2"/>
      <c r="I73" s="15" t="s">
        <v>15</v>
      </c>
      <c r="J73" s="2"/>
      <c r="K73" s="1"/>
      <c r="L73" s="2"/>
      <c r="M73" s="2"/>
      <c r="N73" s="15" t="s">
        <v>15</v>
      </c>
      <c r="O73" s="3"/>
    </row>
    <row r="74" spans="1:15" ht="15" x14ac:dyDescent="0.35">
      <c r="A74" s="1"/>
      <c r="B74" s="2"/>
      <c r="C74" s="2"/>
      <c r="D74" s="15"/>
      <c r="E74" s="2"/>
      <c r="F74" s="1"/>
      <c r="G74" s="2"/>
      <c r="H74" s="2"/>
      <c r="I74" s="2"/>
      <c r="J74" s="2"/>
      <c r="K74" s="1"/>
      <c r="L74" s="2"/>
      <c r="M74" s="2"/>
      <c r="N74" s="15"/>
      <c r="O74" s="3"/>
    </row>
    <row r="75" spans="1:15" ht="15" x14ac:dyDescent="0.35">
      <c r="A75" s="1"/>
      <c r="B75" s="2"/>
      <c r="C75" s="2"/>
      <c r="D75" s="15"/>
      <c r="E75" s="2"/>
      <c r="F75" s="1"/>
      <c r="G75" s="2"/>
      <c r="H75" s="2"/>
      <c r="I75" s="15"/>
      <c r="J75" s="2"/>
      <c r="K75" s="1"/>
      <c r="L75" s="2"/>
      <c r="M75" s="2"/>
      <c r="N75" s="15"/>
      <c r="O75" s="3"/>
    </row>
    <row r="76" spans="1:15" ht="15.6" thickBot="1" x14ac:dyDescent="0.4">
      <c r="A76" s="17"/>
      <c r="B76" s="18"/>
      <c r="C76" s="18"/>
      <c r="D76" s="19" t="s">
        <v>16</v>
      </c>
      <c r="E76" s="18"/>
      <c r="F76" s="17"/>
      <c r="G76" s="18"/>
      <c r="H76" s="18"/>
      <c r="I76" s="19" t="s">
        <v>16</v>
      </c>
      <c r="J76" s="18"/>
      <c r="K76" s="17"/>
      <c r="L76" s="18"/>
      <c r="M76" s="18"/>
      <c r="N76" s="19" t="s">
        <v>16</v>
      </c>
      <c r="O76" s="20"/>
    </row>
    <row r="77" spans="1:15" ht="15" x14ac:dyDescent="0.35">
      <c r="A77" s="46" t="s">
        <v>0</v>
      </c>
      <c r="B77" s="47"/>
      <c r="C77" s="47"/>
      <c r="D77" s="47"/>
      <c r="E77" s="47"/>
      <c r="F77" s="46" t="s">
        <v>0</v>
      </c>
      <c r="G77" s="47"/>
      <c r="H77" s="47"/>
      <c r="I77" s="47"/>
      <c r="J77" s="47"/>
      <c r="K77" s="46" t="s">
        <v>0</v>
      </c>
      <c r="L77" s="47"/>
      <c r="M77" s="47"/>
      <c r="N77" s="47"/>
      <c r="O77" s="48"/>
    </row>
    <row r="78" spans="1:15" ht="15" x14ac:dyDescent="0.35">
      <c r="A78" s="1"/>
      <c r="B78" s="2"/>
      <c r="C78" s="2"/>
      <c r="D78" s="2"/>
      <c r="E78" s="2"/>
      <c r="F78" s="1"/>
      <c r="G78" s="2"/>
      <c r="H78" s="2"/>
      <c r="I78" s="2"/>
      <c r="J78" s="2"/>
      <c r="K78" s="1"/>
      <c r="L78" s="2"/>
      <c r="M78" s="2"/>
      <c r="N78" s="2"/>
      <c r="O78" s="3"/>
    </row>
    <row r="79" spans="1:15" ht="15" x14ac:dyDescent="0.35">
      <c r="A79" s="1" t="s">
        <v>1</v>
      </c>
      <c r="B79" s="2" t="s">
        <v>2</v>
      </c>
      <c r="C79" s="51" t="s">
        <v>21</v>
      </c>
      <c r="D79" s="51"/>
      <c r="E79" s="4">
        <v>6</v>
      </c>
      <c r="F79" s="1" t="s">
        <v>1</v>
      </c>
      <c r="G79" s="2" t="s">
        <v>2</v>
      </c>
      <c r="H79" s="50" t="s">
        <v>22</v>
      </c>
      <c r="I79" s="50"/>
      <c r="J79" s="4">
        <v>7</v>
      </c>
      <c r="K79" s="1" t="s">
        <v>1</v>
      </c>
      <c r="L79" s="2" t="s">
        <v>2</v>
      </c>
      <c r="M79" s="50" t="s">
        <v>77</v>
      </c>
      <c r="N79" s="50"/>
      <c r="O79" s="6">
        <v>56</v>
      </c>
    </row>
    <row r="80" spans="1:15" ht="15" x14ac:dyDescent="0.35">
      <c r="A80" s="1" t="s">
        <v>4</v>
      </c>
      <c r="B80" s="2"/>
      <c r="C80" s="2" t="s">
        <v>2</v>
      </c>
      <c r="D80" s="2"/>
      <c r="F80" s="1" t="s">
        <v>4</v>
      </c>
      <c r="G80" s="2"/>
      <c r="H80" s="2" t="s">
        <v>2</v>
      </c>
      <c r="I80" s="2"/>
      <c r="J80" s="2"/>
      <c r="K80" s="1" t="s">
        <v>4</v>
      </c>
      <c r="L80" s="2"/>
      <c r="M80" s="2" t="s">
        <v>2</v>
      </c>
      <c r="N80" s="2"/>
      <c r="O80" s="3"/>
    </row>
    <row r="81" spans="1:15" ht="15" x14ac:dyDescent="0.35">
      <c r="A81" s="1" t="s">
        <v>5</v>
      </c>
      <c r="B81" s="2"/>
      <c r="C81" s="2" t="s">
        <v>2</v>
      </c>
      <c r="D81" s="8">
        <f>'[3]KARNING 2021'!$C$310</f>
        <v>100000</v>
      </c>
      <c r="E81" s="2"/>
      <c r="F81" s="1" t="s">
        <v>5</v>
      </c>
      <c r="G81" s="2"/>
      <c r="H81" s="2" t="s">
        <v>2</v>
      </c>
      <c r="I81" s="8">
        <f>'[3]KARNING 2021'!$C$327</f>
        <v>100000</v>
      </c>
      <c r="J81" s="2"/>
      <c r="K81" s="1" t="s">
        <v>5</v>
      </c>
      <c r="L81" s="2"/>
      <c r="M81" s="2" t="s">
        <v>2</v>
      </c>
      <c r="N81" s="8">
        <f>[16]krnmei!$C$1416</f>
        <v>15000</v>
      </c>
      <c r="O81" s="3"/>
    </row>
    <row r="82" spans="1:15" ht="15" x14ac:dyDescent="0.35">
      <c r="A82" s="1" t="s">
        <v>6</v>
      </c>
      <c r="B82" s="2"/>
      <c r="C82" s="2" t="s">
        <v>2</v>
      </c>
      <c r="D82" s="8">
        <f>'[3]KARNING 2021'!$D$310</f>
        <v>10000</v>
      </c>
      <c r="E82" s="2"/>
      <c r="F82" s="1" t="s">
        <v>6</v>
      </c>
      <c r="G82" s="2"/>
      <c r="H82" s="2" t="s">
        <v>2</v>
      </c>
      <c r="I82" s="8">
        <f>'[3]KARNING 2021'!$D$327</f>
        <v>25000</v>
      </c>
      <c r="J82" s="2"/>
      <c r="K82" s="1" t="s">
        <v>6</v>
      </c>
      <c r="L82" s="2"/>
      <c r="M82" s="2" t="s">
        <v>2</v>
      </c>
      <c r="N82" s="8">
        <f>[16]krnmei!$D$1416</f>
        <v>10000</v>
      </c>
      <c r="O82" s="3"/>
    </row>
    <row r="83" spans="1:15" ht="15" x14ac:dyDescent="0.35">
      <c r="A83" s="1" t="s">
        <v>7</v>
      </c>
      <c r="B83" s="2"/>
      <c r="C83" s="2" t="s">
        <v>2</v>
      </c>
      <c r="D83" s="8">
        <f>'[3]KARNING 2021'!$E$310</f>
        <v>150000</v>
      </c>
      <c r="E83" s="2"/>
      <c r="F83" s="1" t="s">
        <v>23</v>
      </c>
      <c r="G83" s="2"/>
      <c r="H83" s="2" t="s">
        <v>2</v>
      </c>
      <c r="I83" s="8">
        <f>'[3]KARNING 2021'!$E$327</f>
        <v>200000</v>
      </c>
      <c r="J83" s="2"/>
      <c r="K83" s="1" t="s">
        <v>7</v>
      </c>
      <c r="L83" s="2"/>
      <c r="M83" s="2" t="s">
        <v>2</v>
      </c>
      <c r="N83" s="8">
        <f>[16]krnmei!$E$1416</f>
        <v>15000</v>
      </c>
      <c r="O83" s="3"/>
    </row>
    <row r="84" spans="1:15" ht="15" x14ac:dyDescent="0.35">
      <c r="A84" s="1" t="s">
        <v>8</v>
      </c>
      <c r="B84" s="2"/>
      <c r="C84" s="2" t="s">
        <v>2</v>
      </c>
      <c r="D84" s="8">
        <v>0</v>
      </c>
      <c r="E84" s="2"/>
      <c r="F84" s="1" t="s">
        <v>8</v>
      </c>
      <c r="G84" s="21">
        <v>23</v>
      </c>
      <c r="H84" s="2" t="s">
        <v>2</v>
      </c>
      <c r="I84" s="8">
        <f>'[3]KARNING 2021'!$I$327</f>
        <v>250000</v>
      </c>
      <c r="J84" s="2"/>
      <c r="K84" s="1" t="s">
        <v>8</v>
      </c>
      <c r="L84" s="21"/>
      <c r="M84" s="2" t="s">
        <v>2</v>
      </c>
      <c r="N84" s="8">
        <v>0</v>
      </c>
      <c r="O84" s="3"/>
    </row>
    <row r="85" spans="1:15" ht="15" x14ac:dyDescent="0.35">
      <c r="A85" s="1" t="s">
        <v>9</v>
      </c>
      <c r="B85" s="2"/>
      <c r="C85" s="2" t="s">
        <v>2</v>
      </c>
      <c r="D85" s="8">
        <v>0</v>
      </c>
      <c r="E85" s="2"/>
      <c r="F85" s="1" t="s">
        <v>9</v>
      </c>
      <c r="G85" s="2"/>
      <c r="H85" s="2" t="s">
        <v>2</v>
      </c>
      <c r="I85" s="11">
        <f>[37]krnmei!$K$327</f>
        <v>247500</v>
      </c>
      <c r="J85" s="2"/>
      <c r="K85" s="1" t="s">
        <v>9</v>
      </c>
      <c r="L85" s="2"/>
      <c r="M85" s="2" t="s">
        <v>2</v>
      </c>
      <c r="N85" s="11">
        <v>0</v>
      </c>
      <c r="O85" s="3"/>
    </row>
    <row r="86" spans="1:15" ht="15" x14ac:dyDescent="0.35">
      <c r="A86" s="1" t="s">
        <v>10</v>
      </c>
      <c r="B86" s="2"/>
      <c r="C86" s="2" t="s">
        <v>2</v>
      </c>
      <c r="D86" s="8">
        <v>0</v>
      </c>
      <c r="E86" s="2"/>
      <c r="F86" s="1" t="s">
        <v>10</v>
      </c>
      <c r="G86" s="2"/>
      <c r="H86" s="2" t="s">
        <v>2</v>
      </c>
      <c r="I86" s="8">
        <v>0</v>
      </c>
      <c r="J86" s="2"/>
      <c r="K86" s="1" t="s">
        <v>10</v>
      </c>
      <c r="L86" s="2"/>
      <c r="M86" s="2"/>
      <c r="N86" s="8">
        <v>0</v>
      </c>
      <c r="O86" s="3"/>
    </row>
    <row r="87" spans="1:15" ht="15" x14ac:dyDescent="0.35">
      <c r="A87" s="1" t="s">
        <v>11</v>
      </c>
      <c r="B87" s="2"/>
      <c r="C87" s="2" t="s">
        <v>2</v>
      </c>
      <c r="D87" s="41">
        <f>[12]krnmei!$P$321</f>
        <v>240000</v>
      </c>
      <c r="E87" s="2"/>
      <c r="F87" s="1" t="s">
        <v>11</v>
      </c>
      <c r="G87" s="2"/>
      <c r="H87" s="2" t="s">
        <v>2</v>
      </c>
      <c r="I87" s="9">
        <f>[37]krnmei!$P$327</f>
        <v>40000</v>
      </c>
      <c r="J87" s="2"/>
      <c r="K87" s="1" t="s">
        <v>11</v>
      </c>
      <c r="L87" s="2"/>
      <c r="M87" s="2" t="s">
        <v>2</v>
      </c>
      <c r="N87" s="8">
        <v>0</v>
      </c>
      <c r="O87" s="3"/>
    </row>
    <row r="88" spans="1:15" ht="15.6" thickBot="1" x14ac:dyDescent="0.4">
      <c r="A88" s="1" t="s">
        <v>12</v>
      </c>
      <c r="B88" s="2"/>
      <c r="C88" s="2" t="s">
        <v>2</v>
      </c>
      <c r="D88" s="29">
        <f>'[3]KARNING 2021'!$F$310</f>
        <v>100000</v>
      </c>
      <c r="E88" s="2"/>
      <c r="F88" s="1" t="s">
        <v>12</v>
      </c>
      <c r="G88" s="2"/>
      <c r="H88" s="2" t="s">
        <v>2</v>
      </c>
      <c r="I88" s="8">
        <v>0</v>
      </c>
      <c r="J88" s="2"/>
      <c r="K88" s="1" t="s">
        <v>12</v>
      </c>
      <c r="L88" s="2"/>
      <c r="M88" s="2" t="s">
        <v>2</v>
      </c>
      <c r="N88" s="8">
        <f>[16]krnmei!$F$1416</f>
        <v>10000</v>
      </c>
      <c r="O88" s="3"/>
    </row>
    <row r="89" spans="1:15" ht="15.6" thickTop="1" x14ac:dyDescent="0.35">
      <c r="A89" s="13" t="s">
        <v>13</v>
      </c>
      <c r="B89" s="5"/>
      <c r="C89" s="5" t="s">
        <v>2</v>
      </c>
      <c r="D89" s="8">
        <f>SUM(D81:D88)</f>
        <v>600000</v>
      </c>
      <c r="E89" s="2"/>
      <c r="F89" s="13" t="s">
        <v>13</v>
      </c>
      <c r="G89" s="5"/>
      <c r="H89" s="5" t="s">
        <v>2</v>
      </c>
      <c r="I89" s="8">
        <f>SUM(I81:I88)</f>
        <v>862500</v>
      </c>
      <c r="J89" s="2"/>
      <c r="K89" s="13" t="s">
        <v>13</v>
      </c>
      <c r="L89" s="5"/>
      <c r="M89" s="5" t="s">
        <v>2</v>
      </c>
      <c r="N89" s="24">
        <f>SUM(N81:N88)</f>
        <v>50000</v>
      </c>
      <c r="O89" s="3"/>
    </row>
    <row r="90" spans="1:15" ht="15" x14ac:dyDescent="0.35">
      <c r="A90" s="1" t="s">
        <v>14</v>
      </c>
      <c r="B90" s="2"/>
      <c r="C90" s="2" t="s">
        <v>2</v>
      </c>
      <c r="D90" s="30">
        <f>[12]krnmei!$O$321</f>
        <v>12000000</v>
      </c>
      <c r="E90" s="2"/>
      <c r="F90" s="1" t="s">
        <v>14</v>
      </c>
      <c r="G90" s="2"/>
      <c r="H90" s="2" t="s">
        <v>2</v>
      </c>
      <c r="I90" s="27">
        <f>[37]krnmei!$J$327</f>
        <v>18250000</v>
      </c>
      <c r="J90" s="2"/>
      <c r="K90" s="1" t="s">
        <v>14</v>
      </c>
      <c r="L90" s="2"/>
      <c r="M90" s="2" t="s">
        <v>2</v>
      </c>
      <c r="N90" s="27">
        <v>0</v>
      </c>
      <c r="O90" s="3"/>
    </row>
    <row r="91" spans="1:15" ht="15" x14ac:dyDescent="0.35">
      <c r="A91" s="1"/>
      <c r="B91" s="2"/>
      <c r="C91" s="15"/>
      <c r="D91" s="15" t="str">
        <f>D72</f>
        <v>Grogol, 02 Januari 2026</v>
      </c>
      <c r="E91" s="2"/>
      <c r="F91" s="1"/>
      <c r="G91" s="2"/>
      <c r="H91" s="49" t="str">
        <f>D91</f>
        <v>Grogol, 02 Januari 2026</v>
      </c>
      <c r="I91" s="49"/>
      <c r="J91" s="49"/>
      <c r="K91" s="1"/>
      <c r="L91" s="2"/>
      <c r="M91" s="15"/>
      <c r="N91" s="15" t="str">
        <f>H91</f>
        <v>Grogol, 02 Januari 2026</v>
      </c>
      <c r="O91" s="16"/>
    </row>
    <row r="92" spans="1:15" ht="15" x14ac:dyDescent="0.35">
      <c r="A92" s="1"/>
      <c r="B92" s="2"/>
      <c r="C92" s="2"/>
      <c r="D92" s="15" t="s">
        <v>15</v>
      </c>
      <c r="E92" s="15"/>
      <c r="F92" s="1"/>
      <c r="G92" s="2"/>
      <c r="H92" s="2"/>
      <c r="I92" s="15" t="s">
        <v>15</v>
      </c>
      <c r="J92" s="2"/>
      <c r="K92" s="1"/>
      <c r="L92" s="2"/>
      <c r="M92" s="2"/>
      <c r="N92" s="15" t="s">
        <v>15</v>
      </c>
      <c r="O92" s="3"/>
    </row>
    <row r="93" spans="1:15" ht="15" x14ac:dyDescent="0.35">
      <c r="A93" s="1"/>
      <c r="B93" s="2"/>
      <c r="C93" s="2"/>
      <c r="D93" s="15"/>
      <c r="E93" s="2"/>
      <c r="F93" s="1"/>
      <c r="G93" s="2"/>
      <c r="H93" s="2"/>
      <c r="I93" s="2"/>
      <c r="J93" s="2"/>
      <c r="K93" s="1"/>
      <c r="L93" s="2"/>
      <c r="M93" s="2"/>
      <c r="N93" s="15"/>
      <c r="O93" s="3"/>
    </row>
    <row r="94" spans="1:15" ht="15" x14ac:dyDescent="0.35">
      <c r="A94" s="1"/>
      <c r="B94" s="2"/>
      <c r="C94" s="2"/>
      <c r="D94" s="15"/>
      <c r="E94" s="2"/>
      <c r="F94" s="1"/>
      <c r="G94" s="2"/>
      <c r="H94" s="2"/>
      <c r="I94" s="2"/>
      <c r="J94" s="2"/>
      <c r="K94" s="1"/>
      <c r="L94" s="2"/>
      <c r="M94" s="2"/>
      <c r="N94" s="15"/>
      <c r="O94" s="3"/>
    </row>
    <row r="95" spans="1:15" ht="15.6" thickBot="1" x14ac:dyDescent="0.4">
      <c r="A95" s="17"/>
      <c r="B95" s="18"/>
      <c r="C95" s="18"/>
      <c r="D95" s="19" t="s">
        <v>16</v>
      </c>
      <c r="E95" s="18"/>
      <c r="F95" s="17"/>
      <c r="G95" s="18"/>
      <c r="H95" s="18"/>
      <c r="I95" s="19" t="s">
        <v>16</v>
      </c>
      <c r="J95" s="18"/>
      <c r="K95" s="17"/>
      <c r="L95" s="18"/>
      <c r="M95" s="18"/>
      <c r="N95" s="19" t="s">
        <v>16</v>
      </c>
      <c r="O95" s="20"/>
    </row>
    <row r="96" spans="1:15" ht="15" x14ac:dyDescent="0.35">
      <c r="A96" s="46" t="s">
        <v>0</v>
      </c>
      <c r="B96" s="47"/>
      <c r="C96" s="47"/>
      <c r="D96" s="47"/>
      <c r="E96" s="47"/>
      <c r="F96" s="46" t="s">
        <v>0</v>
      </c>
      <c r="G96" s="47"/>
      <c r="H96" s="47"/>
      <c r="I96" s="47"/>
      <c r="J96" s="47"/>
      <c r="K96" s="46" t="s">
        <v>0</v>
      </c>
      <c r="L96" s="47"/>
      <c r="M96" s="47"/>
      <c r="N96" s="47"/>
      <c r="O96" s="48"/>
    </row>
    <row r="97" spans="1:15" ht="15" x14ac:dyDescent="0.35">
      <c r="A97" s="1"/>
      <c r="B97" s="2"/>
      <c r="C97" s="2"/>
      <c r="D97" s="2"/>
      <c r="E97" s="2"/>
      <c r="F97" s="1"/>
      <c r="G97" s="2"/>
      <c r="H97" s="2"/>
      <c r="I97" s="2"/>
      <c r="J97" s="2"/>
      <c r="K97" s="1"/>
      <c r="L97" s="2"/>
      <c r="M97" s="2"/>
      <c r="N97" s="2"/>
      <c r="O97" s="3"/>
    </row>
    <row r="98" spans="1:15" ht="15" x14ac:dyDescent="0.35">
      <c r="A98" s="1" t="s">
        <v>1</v>
      </c>
      <c r="B98" s="2" t="s">
        <v>2</v>
      </c>
      <c r="C98" s="51" t="s">
        <v>24</v>
      </c>
      <c r="D98" s="51"/>
      <c r="E98" s="4">
        <v>8</v>
      </c>
      <c r="F98" s="1" t="s">
        <v>1</v>
      </c>
      <c r="G98" s="2" t="s">
        <v>2</v>
      </c>
      <c r="H98" s="50" t="s">
        <v>25</v>
      </c>
      <c r="I98" s="50"/>
      <c r="J98" s="4">
        <v>9</v>
      </c>
      <c r="K98" s="1" t="s">
        <v>1</v>
      </c>
      <c r="L98" s="2" t="s">
        <v>2</v>
      </c>
      <c r="M98" s="50" t="s">
        <v>26</v>
      </c>
      <c r="N98" s="50"/>
      <c r="O98" s="6">
        <v>10</v>
      </c>
    </row>
    <row r="99" spans="1:15" ht="15" x14ac:dyDescent="0.35">
      <c r="A99" s="1" t="s">
        <v>4</v>
      </c>
      <c r="B99" s="2"/>
      <c r="C99" s="2" t="s">
        <v>2</v>
      </c>
      <c r="D99" s="2"/>
      <c r="F99" s="1" t="s">
        <v>4</v>
      </c>
      <c r="G99" s="2"/>
      <c r="H99" s="2" t="s">
        <v>2</v>
      </c>
      <c r="I99" s="2"/>
      <c r="J99" s="2"/>
      <c r="K99" s="1" t="s">
        <v>4</v>
      </c>
      <c r="L99" s="2"/>
      <c r="M99" s="2" t="s">
        <v>2</v>
      </c>
      <c r="N99" s="2"/>
      <c r="O99" s="3"/>
    </row>
    <row r="100" spans="1:15" ht="15" x14ac:dyDescent="0.35">
      <c r="A100" s="1" t="s">
        <v>5</v>
      </c>
      <c r="B100" s="2"/>
      <c r="C100" s="2" t="s">
        <v>2</v>
      </c>
      <c r="D100" s="8">
        <f>'[3]KARNING 2021'!$C$361</f>
        <v>100000</v>
      </c>
      <c r="E100" s="2"/>
      <c r="F100" s="1" t="s">
        <v>5</v>
      </c>
      <c r="G100" s="2"/>
      <c r="H100" s="2" t="s">
        <v>2</v>
      </c>
      <c r="I100" s="8">
        <f>'[3]KARNING 2021'!$C$378</f>
        <v>100000</v>
      </c>
      <c r="J100" s="2"/>
      <c r="K100" s="1" t="s">
        <v>5</v>
      </c>
      <c r="L100" s="2"/>
      <c r="M100" s="2" t="s">
        <v>2</v>
      </c>
      <c r="N100" s="8">
        <f>'[3]KARNING 2021'!$C$395</f>
        <v>100000</v>
      </c>
      <c r="O100" s="3"/>
    </row>
    <row r="101" spans="1:15" ht="15" x14ac:dyDescent="0.35">
      <c r="A101" s="1" t="s">
        <v>6</v>
      </c>
      <c r="B101" s="2"/>
      <c r="C101" s="2" t="s">
        <v>2</v>
      </c>
      <c r="D101" s="8">
        <v>400000</v>
      </c>
      <c r="E101" s="2"/>
      <c r="F101" s="1" t="s">
        <v>6</v>
      </c>
      <c r="G101" s="2"/>
      <c r="H101" s="2" t="s">
        <v>2</v>
      </c>
      <c r="I101" s="8">
        <f>'[3]KARNING 2021'!$D$378</f>
        <v>5000</v>
      </c>
      <c r="J101" s="2"/>
      <c r="K101" s="1" t="s">
        <v>6</v>
      </c>
      <c r="L101" s="2"/>
      <c r="M101" s="2" t="s">
        <v>2</v>
      </c>
      <c r="N101" s="8">
        <f>'[3]KARNING 2021'!$D$395</f>
        <v>5000</v>
      </c>
      <c r="O101" s="3"/>
    </row>
    <row r="102" spans="1:15" ht="15" x14ac:dyDescent="0.35">
      <c r="A102" s="1" t="s">
        <v>7</v>
      </c>
      <c r="B102" s="2"/>
      <c r="C102" s="2" t="s">
        <v>2</v>
      </c>
      <c r="D102" s="8">
        <f>[19]krnmei!$E$362</f>
        <v>200000</v>
      </c>
      <c r="E102" s="2"/>
      <c r="F102" s="1" t="s">
        <v>7</v>
      </c>
      <c r="G102" s="2"/>
      <c r="H102" s="2" t="s">
        <v>2</v>
      </c>
      <c r="I102" s="8">
        <v>150000</v>
      </c>
      <c r="J102" s="2"/>
      <c r="K102" s="1" t="s">
        <v>7</v>
      </c>
      <c r="L102" s="2"/>
      <c r="M102" s="2" t="s">
        <v>2</v>
      </c>
      <c r="N102" s="8">
        <f>[5]krnmei!$E$399</f>
        <v>200000</v>
      </c>
      <c r="O102" s="3"/>
    </row>
    <row r="103" spans="1:15" ht="15" x14ac:dyDescent="0.35">
      <c r="A103" s="1" t="s">
        <v>8</v>
      </c>
      <c r="B103" s="21">
        <v>18</v>
      </c>
      <c r="C103" s="2" t="s">
        <v>2</v>
      </c>
      <c r="D103" s="25">
        <f>[20]krnmei!$I$368</f>
        <v>500000</v>
      </c>
      <c r="E103" s="2"/>
      <c r="F103" s="1" t="s">
        <v>8</v>
      </c>
      <c r="G103" s="21">
        <v>68</v>
      </c>
      <c r="H103" s="2" t="s">
        <v>2</v>
      </c>
      <c r="I103" s="8">
        <f>[21]krnmei!$I$383</f>
        <v>500000</v>
      </c>
      <c r="J103" s="2"/>
      <c r="K103" s="1" t="s">
        <v>8</v>
      </c>
      <c r="L103" s="21">
        <v>5</v>
      </c>
      <c r="M103" s="2" t="s">
        <v>2</v>
      </c>
      <c r="N103" s="8">
        <f>[18]krnmei!$I$404</f>
        <v>1000000</v>
      </c>
      <c r="O103" s="3"/>
    </row>
    <row r="104" spans="1:15" ht="15" x14ac:dyDescent="0.35">
      <c r="A104" s="1" t="s">
        <v>9</v>
      </c>
      <c r="B104" s="2"/>
      <c r="C104" s="2" t="s">
        <v>2</v>
      </c>
      <c r="D104" s="30">
        <f>[37]krnmei!$K$361</f>
        <v>172500</v>
      </c>
      <c r="E104" s="2"/>
      <c r="F104" s="1" t="s">
        <v>9</v>
      </c>
      <c r="G104" s="2"/>
      <c r="H104" s="2" t="s">
        <v>2</v>
      </c>
      <c r="I104" s="11">
        <f>[37]krnmei!$K$378</f>
        <v>336300</v>
      </c>
      <c r="J104" s="2"/>
      <c r="K104" s="1" t="s">
        <v>9</v>
      </c>
      <c r="L104" s="2"/>
      <c r="M104" s="2" t="s">
        <v>2</v>
      </c>
      <c r="N104" s="11">
        <f>[37]krnmei!$K$395</f>
        <v>90000</v>
      </c>
      <c r="O104" s="3"/>
    </row>
    <row r="105" spans="1:15" ht="15" x14ac:dyDescent="0.35">
      <c r="A105" s="1" t="s">
        <v>10</v>
      </c>
      <c r="B105" s="2"/>
      <c r="C105" s="2" t="s">
        <v>2</v>
      </c>
      <c r="D105" s="8">
        <v>0</v>
      </c>
      <c r="E105" s="2"/>
      <c r="F105" s="1" t="s">
        <v>10</v>
      </c>
      <c r="G105" s="2"/>
      <c r="H105" s="2" t="s">
        <v>2</v>
      </c>
      <c r="I105" s="8"/>
      <c r="J105" s="2"/>
      <c r="K105" s="1" t="s">
        <v>10</v>
      </c>
      <c r="L105" s="2"/>
      <c r="M105" s="2" t="s">
        <v>2</v>
      </c>
      <c r="N105" s="8">
        <v>0</v>
      </c>
      <c r="O105" s="3"/>
    </row>
    <row r="106" spans="1:15" ht="15" x14ac:dyDescent="0.35">
      <c r="A106" s="1" t="s">
        <v>11</v>
      </c>
      <c r="B106" s="2"/>
      <c r="C106" s="2" t="s">
        <v>2</v>
      </c>
      <c r="D106" s="8">
        <v>0</v>
      </c>
      <c r="E106" s="2"/>
      <c r="F106" s="1" t="s">
        <v>11</v>
      </c>
      <c r="G106" s="2"/>
      <c r="H106" s="2" t="s">
        <v>2</v>
      </c>
      <c r="I106" s="8">
        <v>0</v>
      </c>
      <c r="J106" s="2"/>
      <c r="K106" s="1" t="s">
        <v>11</v>
      </c>
      <c r="L106" s="2"/>
      <c r="M106" s="2" t="s">
        <v>2</v>
      </c>
      <c r="N106" s="8">
        <f>[14]krnmei!$P$395</f>
        <v>0</v>
      </c>
      <c r="O106" s="3"/>
    </row>
    <row r="107" spans="1:15" ht="15" x14ac:dyDescent="0.35">
      <c r="A107" s="1" t="s">
        <v>12</v>
      </c>
      <c r="B107" s="2"/>
      <c r="C107" s="2" t="s">
        <v>2</v>
      </c>
      <c r="D107" s="8">
        <v>500000</v>
      </c>
      <c r="E107" s="2"/>
      <c r="F107" s="1" t="s">
        <v>12</v>
      </c>
      <c r="G107" s="2"/>
      <c r="H107" s="2" t="s">
        <v>2</v>
      </c>
      <c r="I107" s="8">
        <f>'[3]KARNING 2021'!$F$378</f>
        <v>100000</v>
      </c>
      <c r="J107" s="2"/>
      <c r="K107" s="1" t="s">
        <v>12</v>
      </c>
      <c r="L107" s="2"/>
      <c r="M107" s="2" t="s">
        <v>2</v>
      </c>
      <c r="N107" s="8">
        <f>[14]krnmei!$F$395</f>
        <v>200000</v>
      </c>
      <c r="O107" s="3"/>
    </row>
    <row r="108" spans="1:15" ht="15" x14ac:dyDescent="0.35">
      <c r="A108" s="13" t="s">
        <v>13</v>
      </c>
      <c r="B108" s="5"/>
      <c r="C108" s="5" t="s">
        <v>2</v>
      </c>
      <c r="D108" s="8">
        <f>SUM(D100:D107)</f>
        <v>1872500</v>
      </c>
      <c r="E108" s="2"/>
      <c r="F108" s="13" t="s">
        <v>13</v>
      </c>
      <c r="G108" s="5"/>
      <c r="H108" s="5" t="s">
        <v>2</v>
      </c>
      <c r="I108" s="24">
        <f>SUM(I100:I107)</f>
        <v>1191300</v>
      </c>
      <c r="J108" s="2"/>
      <c r="K108" s="13" t="s">
        <v>13</v>
      </c>
      <c r="L108" s="5"/>
      <c r="M108" s="5" t="s">
        <v>2</v>
      </c>
      <c r="N108" s="8">
        <f>SUM(N100:N107)</f>
        <v>1595000</v>
      </c>
      <c r="O108" s="3"/>
    </row>
    <row r="109" spans="1:15" ht="15" x14ac:dyDescent="0.35">
      <c r="A109" s="1" t="s">
        <v>14</v>
      </c>
      <c r="B109" s="2"/>
      <c r="C109" s="2" t="s">
        <v>2</v>
      </c>
      <c r="D109" s="30">
        <f>[37]krnmei!$J$361</f>
        <v>11000000</v>
      </c>
      <c r="E109" s="2"/>
      <c r="F109" s="1" t="s">
        <v>14</v>
      </c>
      <c r="G109" s="2"/>
      <c r="H109" s="2" t="s">
        <v>2</v>
      </c>
      <c r="I109" s="27">
        <f>[37]krnmei!$J$378</f>
        <v>21920000</v>
      </c>
      <c r="J109" s="2"/>
      <c r="K109" s="1" t="s">
        <v>14</v>
      </c>
      <c r="L109" s="2"/>
      <c r="M109" s="2" t="s">
        <v>2</v>
      </c>
      <c r="N109" s="27">
        <f>[37]krnmei!$J$395</f>
        <v>5000000</v>
      </c>
      <c r="O109" s="3"/>
    </row>
    <row r="110" spans="1:15" ht="15" x14ac:dyDescent="0.35">
      <c r="A110" s="1"/>
      <c r="B110" s="2"/>
      <c r="C110" s="15"/>
      <c r="D110" s="15" t="str">
        <f>D91</f>
        <v>Grogol, 02 Januari 2026</v>
      </c>
      <c r="E110" s="2"/>
      <c r="F110" s="1"/>
      <c r="G110" s="2"/>
      <c r="H110" s="15"/>
      <c r="I110" s="15" t="str">
        <f>D110</f>
        <v>Grogol, 02 Januari 2026</v>
      </c>
      <c r="J110" s="15"/>
      <c r="K110" s="1"/>
      <c r="L110" s="2"/>
      <c r="M110" s="15"/>
      <c r="N110" s="15" t="str">
        <f>I110</f>
        <v>Grogol, 02 Januari 2026</v>
      </c>
      <c r="O110" s="16"/>
    </row>
    <row r="111" spans="1:15" ht="15" x14ac:dyDescent="0.35">
      <c r="A111" s="1"/>
      <c r="B111" s="2"/>
      <c r="C111" s="2"/>
      <c r="D111" s="15" t="s">
        <v>15</v>
      </c>
      <c r="E111" s="15"/>
      <c r="F111" s="1"/>
      <c r="G111" s="2"/>
      <c r="H111" s="2"/>
      <c r="I111" s="15" t="s">
        <v>15</v>
      </c>
      <c r="J111" s="2"/>
      <c r="K111" s="1"/>
      <c r="L111" s="2"/>
      <c r="M111" s="2"/>
      <c r="N111" s="15" t="s">
        <v>15</v>
      </c>
      <c r="O111" s="3"/>
    </row>
    <row r="112" spans="1:15" ht="15" x14ac:dyDescent="0.35">
      <c r="A112" s="1"/>
      <c r="B112" s="2"/>
      <c r="C112" s="2"/>
      <c r="D112" s="15"/>
      <c r="E112" s="2"/>
      <c r="F112" s="1"/>
      <c r="G112" s="2"/>
      <c r="H112" s="2"/>
      <c r="I112" s="15"/>
      <c r="J112" s="2"/>
      <c r="K112" s="1"/>
      <c r="L112" s="2"/>
      <c r="M112" s="2"/>
      <c r="N112" s="15"/>
      <c r="O112" s="3"/>
    </row>
    <row r="113" spans="1:15" ht="15" x14ac:dyDescent="0.35">
      <c r="A113" s="1"/>
      <c r="B113" s="2"/>
      <c r="C113" s="2"/>
      <c r="D113" s="15"/>
      <c r="E113" s="2"/>
      <c r="F113" s="1"/>
      <c r="G113" s="2"/>
      <c r="H113" s="2"/>
      <c r="I113" s="15"/>
      <c r="J113" s="2"/>
      <c r="K113" s="1"/>
      <c r="L113" s="2"/>
      <c r="M113" s="2"/>
      <c r="N113" s="15"/>
      <c r="O113" s="3"/>
    </row>
    <row r="114" spans="1:15" ht="15.6" thickBot="1" x14ac:dyDescent="0.4">
      <c r="A114" s="17"/>
      <c r="B114" s="18"/>
      <c r="C114" s="18"/>
      <c r="D114" s="19" t="s">
        <v>16</v>
      </c>
      <c r="E114" s="18"/>
      <c r="F114" s="17"/>
      <c r="G114" s="18"/>
      <c r="H114" s="18"/>
      <c r="I114" s="19" t="s">
        <v>16</v>
      </c>
      <c r="J114" s="18"/>
      <c r="K114" s="17"/>
      <c r="L114" s="18"/>
      <c r="M114" s="18"/>
      <c r="N114" s="19" t="s">
        <v>16</v>
      </c>
      <c r="O114" s="20"/>
    </row>
    <row r="115" spans="1:15" ht="15" x14ac:dyDescent="0.35">
      <c r="A115" s="46" t="s">
        <v>0</v>
      </c>
      <c r="B115" s="47"/>
      <c r="C115" s="47"/>
      <c r="D115" s="47"/>
      <c r="E115" s="47"/>
      <c r="F115" s="46" t="s">
        <v>0</v>
      </c>
      <c r="G115" s="47"/>
      <c r="H115" s="47"/>
      <c r="I115" s="47"/>
      <c r="J115" s="47"/>
      <c r="K115" s="46" t="s">
        <v>0</v>
      </c>
      <c r="L115" s="47"/>
      <c r="M115" s="47"/>
      <c r="N115" s="47"/>
      <c r="O115" s="48"/>
    </row>
    <row r="116" spans="1:15" ht="15" x14ac:dyDescent="0.35">
      <c r="A116" s="1"/>
      <c r="B116" s="2"/>
      <c r="C116" s="2"/>
      <c r="D116" s="2"/>
      <c r="E116" s="2"/>
      <c r="F116" s="1"/>
      <c r="G116" s="2"/>
      <c r="H116" s="2"/>
      <c r="I116" s="2"/>
      <c r="J116" s="2"/>
      <c r="K116" s="1"/>
      <c r="L116" s="2"/>
      <c r="M116" s="2"/>
      <c r="N116" s="2"/>
      <c r="O116" s="3"/>
    </row>
    <row r="117" spans="1:15" ht="15" x14ac:dyDescent="0.35">
      <c r="A117" s="1" t="s">
        <v>1</v>
      </c>
      <c r="B117" s="2" t="s">
        <v>2</v>
      </c>
      <c r="C117" s="50" t="s">
        <v>81</v>
      </c>
      <c r="D117" s="50"/>
      <c r="E117" s="4">
        <v>57</v>
      </c>
      <c r="F117" s="1" t="s">
        <v>1</v>
      </c>
      <c r="G117" s="2" t="s">
        <v>2</v>
      </c>
      <c r="H117" s="51"/>
      <c r="I117" s="51"/>
      <c r="J117" s="4"/>
      <c r="K117" s="1" t="s">
        <v>1</v>
      </c>
      <c r="L117" s="2" t="s">
        <v>2</v>
      </c>
      <c r="M117" s="50" t="s">
        <v>27</v>
      </c>
      <c r="N117" s="50"/>
      <c r="O117" s="6">
        <v>11</v>
      </c>
    </row>
    <row r="118" spans="1:15" ht="15" x14ac:dyDescent="0.35">
      <c r="A118" s="1" t="s">
        <v>4</v>
      </c>
      <c r="B118" s="2"/>
      <c r="C118" s="2" t="s">
        <v>2</v>
      </c>
      <c r="D118" s="2"/>
      <c r="F118" s="1" t="s">
        <v>4</v>
      </c>
      <c r="G118" s="2"/>
      <c r="H118" s="2" t="s">
        <v>2</v>
      </c>
      <c r="I118" s="2"/>
      <c r="J118" s="2"/>
      <c r="K118" s="1" t="s">
        <v>4</v>
      </c>
      <c r="L118" s="2"/>
      <c r="M118" s="2" t="s">
        <v>2</v>
      </c>
      <c r="N118" s="2"/>
      <c r="O118" s="3"/>
    </row>
    <row r="119" spans="1:15" ht="15" x14ac:dyDescent="0.35">
      <c r="A119" s="1" t="s">
        <v>5</v>
      </c>
      <c r="B119" s="2"/>
      <c r="C119" s="2" t="s">
        <v>2</v>
      </c>
      <c r="D119" s="8">
        <v>15000</v>
      </c>
      <c r="E119" s="2"/>
      <c r="F119" s="1" t="s">
        <v>5</v>
      </c>
      <c r="G119" s="2"/>
      <c r="H119" s="2" t="s">
        <v>2</v>
      </c>
      <c r="I119" s="8">
        <v>0</v>
      </c>
      <c r="J119" s="2"/>
      <c r="K119" s="1" t="s">
        <v>5</v>
      </c>
      <c r="L119" s="2"/>
      <c r="M119" s="2" t="s">
        <v>2</v>
      </c>
      <c r="N119" s="8">
        <f>'[3]KARNING 2021'!$C$446</f>
        <v>100000</v>
      </c>
      <c r="O119" s="3"/>
    </row>
    <row r="120" spans="1:15" ht="15" x14ac:dyDescent="0.35">
      <c r="A120" s="1" t="s">
        <v>6</v>
      </c>
      <c r="B120" s="2"/>
      <c r="C120" s="2" t="s">
        <v>2</v>
      </c>
      <c r="D120" s="8">
        <v>10000</v>
      </c>
      <c r="E120" s="2"/>
      <c r="F120" s="1" t="s">
        <v>6</v>
      </c>
      <c r="G120" s="2"/>
      <c r="H120" s="2" t="s">
        <v>2</v>
      </c>
      <c r="I120" s="8">
        <v>0</v>
      </c>
      <c r="J120" s="2"/>
      <c r="K120" s="1" t="s">
        <v>6</v>
      </c>
      <c r="L120" s="2"/>
      <c r="M120" s="2" t="s">
        <v>2</v>
      </c>
      <c r="N120" s="8">
        <f>'[3]KARNING 2021'!$D$446</f>
        <v>50000</v>
      </c>
      <c r="O120" s="3"/>
    </row>
    <row r="121" spans="1:15" ht="15" x14ac:dyDescent="0.35">
      <c r="A121" s="1" t="s">
        <v>7</v>
      </c>
      <c r="B121" s="2"/>
      <c r="C121" s="2" t="s">
        <v>2</v>
      </c>
      <c r="D121" s="8">
        <v>25000</v>
      </c>
      <c r="E121" s="2"/>
      <c r="F121" s="1" t="s">
        <v>7</v>
      </c>
      <c r="G121" s="2"/>
      <c r="H121" s="2" t="s">
        <v>2</v>
      </c>
      <c r="I121" s="8">
        <v>0</v>
      </c>
      <c r="J121" s="2"/>
      <c r="K121" s="1" t="s">
        <v>7</v>
      </c>
      <c r="L121" s="2"/>
      <c r="M121" s="2" t="s">
        <v>2</v>
      </c>
      <c r="N121" s="8">
        <f>'[3]KARNING 2021'!$E$446</f>
        <v>200000</v>
      </c>
      <c r="O121" s="3"/>
    </row>
    <row r="122" spans="1:15" ht="15" x14ac:dyDescent="0.35">
      <c r="A122" s="1" t="s">
        <v>8</v>
      </c>
      <c r="B122" s="2"/>
      <c r="C122" s="2" t="s">
        <v>2</v>
      </c>
      <c r="D122" s="8"/>
      <c r="E122" s="2"/>
      <c r="F122" s="1" t="s">
        <v>8</v>
      </c>
      <c r="G122" s="2">
        <v>0</v>
      </c>
      <c r="H122" s="2" t="s">
        <v>2</v>
      </c>
      <c r="I122" s="8">
        <v>0</v>
      </c>
      <c r="J122" s="2"/>
      <c r="K122" s="1" t="s">
        <v>8</v>
      </c>
      <c r="L122" s="21">
        <v>33</v>
      </c>
      <c r="M122" s="2" t="s">
        <v>2</v>
      </c>
      <c r="N122" s="8">
        <f>'[3]KARNING 2021'!$I$446</f>
        <v>500000</v>
      </c>
      <c r="O122" s="3"/>
    </row>
    <row r="123" spans="1:15" ht="15" x14ac:dyDescent="0.35">
      <c r="A123" s="1" t="s">
        <v>9</v>
      </c>
      <c r="B123" s="2"/>
      <c r="C123" s="2" t="s">
        <v>2</v>
      </c>
      <c r="D123" s="30"/>
      <c r="E123" s="2"/>
      <c r="F123" s="1" t="s">
        <v>9</v>
      </c>
      <c r="G123" s="2"/>
      <c r="H123" s="2" t="s">
        <v>2</v>
      </c>
      <c r="I123" s="8">
        <v>0</v>
      </c>
      <c r="J123" s="2"/>
      <c r="K123" s="1" t="s">
        <v>9</v>
      </c>
      <c r="L123" s="2"/>
      <c r="M123" s="2" t="s">
        <v>2</v>
      </c>
      <c r="N123" s="11">
        <f>[37]krnmei!$K$446</f>
        <v>435000</v>
      </c>
      <c r="O123" s="3"/>
    </row>
    <row r="124" spans="1:15" ht="15" x14ac:dyDescent="0.35">
      <c r="A124" s="1" t="s">
        <v>10</v>
      </c>
      <c r="B124" s="2"/>
      <c r="C124" s="2" t="s">
        <v>2</v>
      </c>
      <c r="D124" s="8"/>
      <c r="E124" s="2"/>
      <c r="F124" s="1" t="s">
        <v>10</v>
      </c>
      <c r="G124" s="2"/>
      <c r="H124" s="2" t="s">
        <v>2</v>
      </c>
      <c r="I124" s="8"/>
      <c r="J124" s="2"/>
      <c r="K124" s="1" t="s">
        <v>10</v>
      </c>
      <c r="L124" s="2"/>
      <c r="M124" s="2" t="s">
        <v>2</v>
      </c>
      <c r="N124" s="8"/>
      <c r="O124" s="3"/>
    </row>
    <row r="125" spans="1:15" ht="15" x14ac:dyDescent="0.35">
      <c r="A125" s="1" t="s">
        <v>11</v>
      </c>
      <c r="B125" s="2"/>
      <c r="C125" s="2" t="s">
        <v>2</v>
      </c>
      <c r="D125" s="8"/>
      <c r="E125" s="2"/>
      <c r="F125" s="1" t="s">
        <v>11</v>
      </c>
      <c r="G125" s="2"/>
      <c r="H125" s="2" t="s">
        <v>2</v>
      </c>
      <c r="I125" s="9"/>
      <c r="J125" s="2"/>
      <c r="K125" s="1" t="s">
        <v>11</v>
      </c>
      <c r="L125" s="2"/>
      <c r="M125" s="2" t="s">
        <v>2</v>
      </c>
      <c r="N125" s="9">
        <v>0</v>
      </c>
      <c r="O125" s="3"/>
    </row>
    <row r="126" spans="1:15" ht="15" x14ac:dyDescent="0.35">
      <c r="A126" s="1" t="s">
        <v>12</v>
      </c>
      <c r="B126" s="2"/>
      <c r="C126" s="2" t="s">
        <v>2</v>
      </c>
      <c r="D126" s="8">
        <v>50000</v>
      </c>
      <c r="E126" s="2"/>
      <c r="F126" s="1" t="s">
        <v>12</v>
      </c>
      <c r="G126" s="2"/>
      <c r="H126" s="2" t="s">
        <v>2</v>
      </c>
      <c r="I126" s="8">
        <v>0</v>
      </c>
      <c r="J126" s="2"/>
      <c r="K126" s="1" t="s">
        <v>12</v>
      </c>
      <c r="L126" s="2"/>
      <c r="M126" s="2" t="s">
        <v>2</v>
      </c>
      <c r="N126" s="8">
        <f>'[3]KARNING 2021'!$F$446</f>
        <v>100000</v>
      </c>
      <c r="O126" s="3"/>
    </row>
    <row r="127" spans="1:15" ht="15" x14ac:dyDescent="0.35">
      <c r="A127" s="13" t="s">
        <v>13</v>
      </c>
      <c r="B127" s="5"/>
      <c r="C127" s="5" t="s">
        <v>2</v>
      </c>
      <c r="D127" s="24">
        <f>SUM(D119:D126)</f>
        <v>100000</v>
      </c>
      <c r="E127" s="2"/>
      <c r="F127" s="13" t="s">
        <v>13</v>
      </c>
      <c r="G127" s="5"/>
      <c r="H127" s="5" t="s">
        <v>2</v>
      </c>
      <c r="I127" s="8">
        <f>SUM(I119:I126)</f>
        <v>0</v>
      </c>
      <c r="J127" s="2"/>
      <c r="K127" s="13" t="s">
        <v>13</v>
      </c>
      <c r="L127" s="5"/>
      <c r="M127" s="5" t="s">
        <v>2</v>
      </c>
      <c r="N127" s="24">
        <f>SUM(N119:N126)</f>
        <v>1385000</v>
      </c>
      <c r="O127" s="3"/>
    </row>
    <row r="128" spans="1:15" ht="15" x14ac:dyDescent="0.35">
      <c r="A128" s="1" t="s">
        <v>14</v>
      </c>
      <c r="B128" s="2"/>
      <c r="C128" s="2" t="s">
        <v>2</v>
      </c>
      <c r="D128" s="31"/>
      <c r="E128" s="2"/>
      <c r="F128" s="1" t="s">
        <v>14</v>
      </c>
      <c r="G128" s="2"/>
      <c r="H128" s="2" t="s">
        <v>2</v>
      </c>
      <c r="I128" s="25">
        <v>0</v>
      </c>
      <c r="J128" s="2"/>
      <c r="K128" s="1" t="s">
        <v>14</v>
      </c>
      <c r="L128" s="2"/>
      <c r="M128" s="2" t="s">
        <v>2</v>
      </c>
      <c r="N128" s="27">
        <f>[37]krnmei!$J$446</f>
        <v>28500000</v>
      </c>
      <c r="O128" s="3"/>
    </row>
    <row r="129" spans="1:15" ht="15" x14ac:dyDescent="0.35">
      <c r="A129" s="1"/>
      <c r="B129" s="2"/>
      <c r="C129" s="15"/>
      <c r="D129" s="15" t="str">
        <f>D110</f>
        <v>Grogol, 02 Januari 2026</v>
      </c>
      <c r="E129" s="2"/>
      <c r="F129" s="1"/>
      <c r="G129" s="2"/>
      <c r="H129" s="15"/>
      <c r="I129" s="15" t="str">
        <f>D110</f>
        <v>Grogol, 02 Januari 2026</v>
      </c>
      <c r="J129" s="15"/>
      <c r="K129" s="1"/>
      <c r="L129" s="2"/>
      <c r="M129" s="15"/>
      <c r="N129" s="15" t="str">
        <f>D110</f>
        <v>Grogol, 02 Januari 2026</v>
      </c>
      <c r="O129" s="16"/>
    </row>
    <row r="130" spans="1:15" ht="15" x14ac:dyDescent="0.35">
      <c r="A130" s="1"/>
      <c r="B130" s="2"/>
      <c r="C130" s="2"/>
      <c r="D130" s="15" t="s">
        <v>15</v>
      </c>
      <c r="E130" s="15"/>
      <c r="F130" s="1"/>
      <c r="G130" s="2"/>
      <c r="H130" s="2"/>
      <c r="I130" s="15" t="s">
        <v>15</v>
      </c>
      <c r="J130" s="2"/>
      <c r="K130" s="1"/>
      <c r="L130" s="2"/>
      <c r="M130" s="2"/>
      <c r="N130" s="15" t="s">
        <v>15</v>
      </c>
      <c r="O130" s="3"/>
    </row>
    <row r="131" spans="1:15" ht="15" x14ac:dyDescent="0.35">
      <c r="A131" s="1"/>
      <c r="B131" s="2"/>
      <c r="C131" s="2"/>
      <c r="D131" s="15"/>
      <c r="E131" s="2"/>
      <c r="F131" s="1"/>
      <c r="G131" s="2"/>
      <c r="H131" s="2"/>
      <c r="I131" s="15"/>
      <c r="J131" s="2"/>
      <c r="K131" s="1"/>
      <c r="L131" s="2"/>
      <c r="M131" s="2"/>
      <c r="N131" s="15"/>
      <c r="O131" s="3"/>
    </row>
    <row r="132" spans="1:15" ht="15" x14ac:dyDescent="0.35">
      <c r="A132" s="1"/>
      <c r="B132" s="2"/>
      <c r="C132" s="2"/>
      <c r="D132" s="15"/>
      <c r="E132" s="2"/>
      <c r="F132" s="1"/>
      <c r="G132" s="2"/>
      <c r="H132" s="2"/>
      <c r="I132" s="15"/>
      <c r="J132" s="2"/>
      <c r="K132" s="1"/>
      <c r="L132" s="2"/>
      <c r="M132" s="2"/>
      <c r="N132" s="15"/>
      <c r="O132" s="3"/>
    </row>
    <row r="133" spans="1:15" ht="15.6" thickBot="1" x14ac:dyDescent="0.4">
      <c r="A133" s="17"/>
      <c r="B133" s="18"/>
      <c r="C133" s="18"/>
      <c r="D133" s="19" t="s">
        <v>16</v>
      </c>
      <c r="E133" s="18"/>
      <c r="F133" s="17"/>
      <c r="G133" s="18"/>
      <c r="H133" s="18"/>
      <c r="I133" s="19" t="s">
        <v>16</v>
      </c>
      <c r="J133" s="18"/>
      <c r="K133" s="17"/>
      <c r="L133" s="18"/>
      <c r="M133" s="18"/>
      <c r="N133" s="19" t="s">
        <v>16</v>
      </c>
      <c r="O133" s="20"/>
    </row>
    <row r="134" spans="1:15" ht="15" x14ac:dyDescent="0.35">
      <c r="A134" s="46" t="s">
        <v>0</v>
      </c>
      <c r="B134" s="47"/>
      <c r="C134" s="47"/>
      <c r="D134" s="47"/>
      <c r="E134" s="47"/>
      <c r="F134" s="46" t="s">
        <v>0</v>
      </c>
      <c r="G134" s="47"/>
      <c r="H134" s="47"/>
      <c r="I134" s="47"/>
      <c r="J134" s="47"/>
      <c r="K134" s="46" t="s">
        <v>0</v>
      </c>
      <c r="L134" s="47"/>
      <c r="M134" s="47"/>
      <c r="N134" s="47"/>
      <c r="O134" s="48"/>
    </row>
    <row r="135" spans="1:15" ht="15" x14ac:dyDescent="0.35">
      <c r="A135" s="1"/>
      <c r="B135" s="2"/>
      <c r="C135" s="2"/>
      <c r="D135" s="2"/>
      <c r="E135" s="2"/>
      <c r="F135" s="1"/>
      <c r="G135" s="2"/>
      <c r="H135" s="2"/>
      <c r="I135" s="2"/>
      <c r="J135" s="2"/>
      <c r="K135" s="1"/>
      <c r="L135" s="2"/>
      <c r="M135" s="2"/>
      <c r="N135" s="2"/>
      <c r="O135" s="3"/>
    </row>
    <row r="136" spans="1:15" ht="15" x14ac:dyDescent="0.35">
      <c r="A136" s="1" t="s">
        <v>1</v>
      </c>
      <c r="B136" s="2" t="s">
        <v>2</v>
      </c>
      <c r="C136" s="2"/>
      <c r="D136" s="5"/>
      <c r="E136" s="4"/>
      <c r="F136" s="1" t="s">
        <v>1</v>
      </c>
      <c r="G136" s="2" t="s">
        <v>2</v>
      </c>
      <c r="H136" s="51" t="s">
        <v>28</v>
      </c>
      <c r="I136" s="51"/>
      <c r="J136" s="4">
        <v>12</v>
      </c>
      <c r="K136" s="1" t="s">
        <v>1</v>
      </c>
      <c r="L136" s="2" t="s">
        <v>2</v>
      </c>
      <c r="M136" s="50" t="s">
        <v>79</v>
      </c>
      <c r="N136" s="50"/>
      <c r="O136" s="6">
        <v>43</v>
      </c>
    </row>
    <row r="137" spans="1:15" ht="15" x14ac:dyDescent="0.35">
      <c r="A137" s="1" t="s">
        <v>4</v>
      </c>
      <c r="B137" s="2"/>
      <c r="C137" s="2" t="s">
        <v>2</v>
      </c>
      <c r="D137" s="9"/>
      <c r="E137" s="2"/>
      <c r="F137" s="1" t="s">
        <v>4</v>
      </c>
      <c r="G137" s="2"/>
      <c r="H137" s="2" t="s">
        <v>2</v>
      </c>
      <c r="I137" s="2"/>
      <c r="J137" s="2"/>
      <c r="K137" s="1" t="s">
        <v>4</v>
      </c>
      <c r="L137" s="2"/>
      <c r="M137" s="2" t="s">
        <v>2</v>
      </c>
      <c r="N137" s="2"/>
      <c r="O137" s="3"/>
    </row>
    <row r="138" spans="1:15" ht="15" x14ac:dyDescent="0.35">
      <c r="A138" s="1" t="s">
        <v>5</v>
      </c>
      <c r="B138" s="2"/>
      <c r="C138" s="2" t="s">
        <v>2</v>
      </c>
      <c r="D138" s="8">
        <v>0</v>
      </c>
      <c r="E138" s="2"/>
      <c r="F138" s="1" t="s">
        <v>5</v>
      </c>
      <c r="G138" s="2"/>
      <c r="H138" s="2" t="s">
        <v>2</v>
      </c>
      <c r="I138" s="8">
        <v>0</v>
      </c>
      <c r="J138" s="2"/>
      <c r="K138" s="1" t="s">
        <v>5</v>
      </c>
      <c r="L138" s="2"/>
      <c r="M138" s="2" t="s">
        <v>2</v>
      </c>
      <c r="N138" s="25">
        <f>'[3]KARNING 2021'!$C$497</f>
        <v>100000</v>
      </c>
      <c r="O138" s="3"/>
    </row>
    <row r="139" spans="1:15" ht="15" x14ac:dyDescent="0.35">
      <c r="A139" s="1" t="s">
        <v>6</v>
      </c>
      <c r="B139" s="2"/>
      <c r="C139" s="2" t="s">
        <v>2</v>
      </c>
      <c r="D139" s="8">
        <v>0</v>
      </c>
      <c r="E139" s="2"/>
      <c r="F139" s="1" t="s">
        <v>6</v>
      </c>
      <c r="G139" s="2"/>
      <c r="H139" s="2" t="s">
        <v>2</v>
      </c>
      <c r="I139" s="8">
        <v>0</v>
      </c>
      <c r="J139" s="2"/>
      <c r="K139" s="1" t="s">
        <v>6</v>
      </c>
      <c r="L139" s="2"/>
      <c r="M139" s="2" t="s">
        <v>2</v>
      </c>
      <c r="N139" s="25">
        <f>'[3]KARNING 2021'!$D$497</f>
        <v>10000</v>
      </c>
      <c r="O139" s="3"/>
    </row>
    <row r="140" spans="1:15" ht="15" x14ac:dyDescent="0.35">
      <c r="A140" s="1" t="s">
        <v>7</v>
      </c>
      <c r="B140" s="2"/>
      <c r="C140" s="2" t="s">
        <v>2</v>
      </c>
      <c r="D140" s="8">
        <v>0</v>
      </c>
      <c r="E140" s="2"/>
      <c r="F140" s="1" t="s">
        <v>7</v>
      </c>
      <c r="G140" s="2"/>
      <c r="H140" s="2" t="s">
        <v>2</v>
      </c>
      <c r="I140" s="8">
        <v>0</v>
      </c>
      <c r="J140" s="2"/>
      <c r="K140" s="1" t="s">
        <v>7</v>
      </c>
      <c r="L140" s="2"/>
      <c r="M140" s="2" t="s">
        <v>2</v>
      </c>
      <c r="N140" s="25">
        <f>'[3]KARNING 2021'!$E$497</f>
        <v>50000</v>
      </c>
      <c r="O140" s="3"/>
    </row>
    <row r="141" spans="1:15" ht="15" x14ac:dyDescent="0.35">
      <c r="A141" s="1" t="s">
        <v>8</v>
      </c>
      <c r="B141" s="21">
        <v>0</v>
      </c>
      <c r="C141" s="2" t="s">
        <v>2</v>
      </c>
      <c r="D141" s="22">
        <v>0</v>
      </c>
      <c r="E141" s="2"/>
      <c r="F141" s="1" t="s">
        <v>8</v>
      </c>
      <c r="G141" s="2">
        <v>0</v>
      </c>
      <c r="H141" s="2" t="s">
        <v>2</v>
      </c>
      <c r="I141" s="8">
        <v>0</v>
      </c>
      <c r="J141" s="2"/>
      <c r="K141" s="1" t="s">
        <v>8</v>
      </c>
      <c r="L141" s="21">
        <v>25</v>
      </c>
      <c r="M141" s="2" t="s">
        <v>2</v>
      </c>
      <c r="N141" s="40">
        <f>[17]krnmei!$I$499</f>
        <v>150000</v>
      </c>
      <c r="O141" s="3"/>
    </row>
    <row r="142" spans="1:15" ht="15" x14ac:dyDescent="0.35">
      <c r="A142" s="1" t="s">
        <v>9</v>
      </c>
      <c r="B142" s="2"/>
      <c r="C142" s="2" t="s">
        <v>2</v>
      </c>
      <c r="D142" s="11">
        <v>0</v>
      </c>
      <c r="E142" s="2"/>
      <c r="F142" s="1" t="s">
        <v>9</v>
      </c>
      <c r="G142" s="2"/>
      <c r="H142" s="2" t="s">
        <v>2</v>
      </c>
      <c r="I142" s="8">
        <v>0</v>
      </c>
      <c r="J142" s="2"/>
      <c r="K142" s="1" t="s">
        <v>9</v>
      </c>
      <c r="L142" s="2"/>
      <c r="M142" s="2" t="s">
        <v>2</v>
      </c>
      <c r="N142" s="11">
        <f>[37]krnmei!$K$497</f>
        <v>527565</v>
      </c>
      <c r="O142" s="3"/>
    </row>
    <row r="143" spans="1:15" ht="15" x14ac:dyDescent="0.35">
      <c r="A143" s="1" t="s">
        <v>10</v>
      </c>
      <c r="B143" s="2">
        <v>0</v>
      </c>
      <c r="C143" s="2" t="s">
        <v>2</v>
      </c>
      <c r="D143" s="9">
        <v>0</v>
      </c>
      <c r="E143" s="2"/>
      <c r="F143" s="1" t="s">
        <v>10</v>
      </c>
      <c r="G143" s="2">
        <v>0</v>
      </c>
      <c r="H143" s="2" t="s">
        <v>2</v>
      </c>
      <c r="I143" s="8">
        <v>0</v>
      </c>
      <c r="J143" s="2"/>
      <c r="K143" s="1" t="s">
        <v>10</v>
      </c>
      <c r="L143" s="2"/>
      <c r="M143" s="2" t="s">
        <v>2</v>
      </c>
      <c r="N143" s="8">
        <v>0</v>
      </c>
      <c r="O143" s="3"/>
    </row>
    <row r="144" spans="1:15" ht="15" x14ac:dyDescent="0.35">
      <c r="A144" s="1" t="s">
        <v>11</v>
      </c>
      <c r="B144" s="2"/>
      <c r="C144" s="2" t="s">
        <v>2</v>
      </c>
      <c r="D144" s="22">
        <v>0</v>
      </c>
      <c r="E144" s="2"/>
      <c r="F144" s="1" t="s">
        <v>11</v>
      </c>
      <c r="G144" s="2"/>
      <c r="H144" s="2" t="s">
        <v>2</v>
      </c>
      <c r="I144" s="8">
        <v>0</v>
      </c>
      <c r="J144" s="2"/>
      <c r="K144" s="1" t="s">
        <v>11</v>
      </c>
      <c r="L144" s="2"/>
      <c r="M144" s="2" t="s">
        <v>2</v>
      </c>
      <c r="N144" s="22">
        <v>0</v>
      </c>
      <c r="O144" s="3"/>
    </row>
    <row r="145" spans="1:15" ht="15" x14ac:dyDescent="0.35">
      <c r="A145" s="1" t="s">
        <v>12</v>
      </c>
      <c r="B145" s="2"/>
      <c r="C145" s="2" t="s">
        <v>2</v>
      </c>
      <c r="D145" s="9">
        <v>0</v>
      </c>
      <c r="E145" s="2"/>
      <c r="F145" s="1" t="s">
        <v>12</v>
      </c>
      <c r="G145" s="2"/>
      <c r="H145" s="2" t="s">
        <v>2</v>
      </c>
      <c r="I145" s="8">
        <v>0</v>
      </c>
      <c r="J145" s="2"/>
      <c r="K145" s="1" t="s">
        <v>12</v>
      </c>
      <c r="L145" s="2"/>
      <c r="M145" s="2" t="s">
        <v>2</v>
      </c>
      <c r="N145" s="25">
        <v>0</v>
      </c>
      <c r="O145" s="3"/>
    </row>
    <row r="146" spans="1:15" ht="15" x14ac:dyDescent="0.35">
      <c r="A146" s="13" t="s">
        <v>13</v>
      </c>
      <c r="B146" s="5"/>
      <c r="C146" s="5" t="s">
        <v>2</v>
      </c>
      <c r="D146" s="14">
        <f>SUM(D138:D145)</f>
        <v>0</v>
      </c>
      <c r="E146" s="2"/>
      <c r="F146" s="13" t="s">
        <v>13</v>
      </c>
      <c r="G146" s="5"/>
      <c r="H146" s="5" t="s">
        <v>2</v>
      </c>
      <c r="I146" s="8">
        <f>SUM(I138:I145)</f>
        <v>0</v>
      </c>
      <c r="J146" s="2"/>
      <c r="K146" s="13" t="s">
        <v>13</v>
      </c>
      <c r="L146" s="5"/>
      <c r="M146" s="5" t="s">
        <v>2</v>
      </c>
      <c r="N146" s="24">
        <f>SUM(N138:N145)</f>
        <v>837565</v>
      </c>
      <c r="O146" s="3"/>
    </row>
    <row r="147" spans="1:15" ht="15" x14ac:dyDescent="0.35">
      <c r="A147" s="1" t="s">
        <v>14</v>
      </c>
      <c r="B147" s="2"/>
      <c r="C147" s="2" t="s">
        <v>2</v>
      </c>
      <c r="D147" s="27">
        <v>0</v>
      </c>
      <c r="E147" s="2"/>
      <c r="F147" s="1" t="s">
        <v>14</v>
      </c>
      <c r="G147" s="2"/>
      <c r="H147" s="2" t="s">
        <v>2</v>
      </c>
      <c r="I147" s="8">
        <v>0</v>
      </c>
      <c r="J147" s="2"/>
      <c r="K147" s="1" t="s">
        <v>14</v>
      </c>
      <c r="L147" s="2"/>
      <c r="M147" s="2" t="s">
        <v>2</v>
      </c>
      <c r="N147" s="27">
        <f>[37]krnmei!$J$497</f>
        <v>35021000</v>
      </c>
      <c r="O147" s="3"/>
    </row>
    <row r="148" spans="1:15" ht="15" x14ac:dyDescent="0.35">
      <c r="A148" s="1"/>
      <c r="B148" s="2"/>
      <c r="C148" s="15"/>
      <c r="D148" s="15" t="str">
        <f>D129</f>
        <v>Grogol, 02 Januari 2026</v>
      </c>
      <c r="E148" s="2"/>
      <c r="F148" s="1"/>
      <c r="G148" s="15"/>
      <c r="H148" s="15"/>
      <c r="I148" s="15" t="str">
        <f>I129</f>
        <v>Grogol, 02 Januari 2026</v>
      </c>
      <c r="J148" s="2"/>
      <c r="K148" s="1"/>
      <c r="L148" s="15"/>
      <c r="M148" s="15"/>
      <c r="N148" s="15" t="str">
        <f>N129</f>
        <v>Grogol, 02 Januari 2026</v>
      </c>
      <c r="O148" s="3"/>
    </row>
    <row r="149" spans="1:15" ht="15" x14ac:dyDescent="0.35">
      <c r="A149" s="1"/>
      <c r="B149" s="2"/>
      <c r="C149" s="2"/>
      <c r="D149" s="15" t="s">
        <v>15</v>
      </c>
      <c r="E149" s="15"/>
      <c r="F149" s="1"/>
      <c r="G149" s="2"/>
      <c r="H149" s="2"/>
      <c r="I149" s="15" t="s">
        <v>15</v>
      </c>
      <c r="J149" s="15"/>
      <c r="K149" s="1"/>
      <c r="L149" s="2"/>
      <c r="M149" s="2"/>
      <c r="N149" s="15" t="s">
        <v>15</v>
      </c>
      <c r="O149" s="16"/>
    </row>
    <row r="150" spans="1:15" ht="15" x14ac:dyDescent="0.35">
      <c r="A150" s="1"/>
      <c r="B150" s="2"/>
      <c r="C150" s="2"/>
      <c r="D150" s="15"/>
      <c r="E150" s="2"/>
      <c r="F150" s="1"/>
      <c r="G150" s="2"/>
      <c r="H150" s="2"/>
      <c r="I150" s="15"/>
      <c r="J150" s="2"/>
      <c r="K150" s="1"/>
      <c r="L150" s="2"/>
      <c r="M150" s="2"/>
      <c r="N150" s="15"/>
      <c r="O150" s="3"/>
    </row>
    <row r="151" spans="1:15" ht="15" x14ac:dyDescent="0.35">
      <c r="A151" s="1"/>
      <c r="B151" s="2"/>
      <c r="C151" s="2"/>
      <c r="D151" s="15"/>
      <c r="E151" s="2"/>
      <c r="F151" s="1"/>
      <c r="G151" s="2"/>
      <c r="H151" s="2"/>
      <c r="I151" s="15"/>
      <c r="J151" s="2"/>
      <c r="K151" s="1"/>
      <c r="L151" s="2"/>
      <c r="M151" s="2"/>
      <c r="N151" s="15"/>
      <c r="O151" s="3"/>
    </row>
    <row r="152" spans="1:15" ht="15.6" thickBot="1" x14ac:dyDescent="0.4">
      <c r="A152" s="17"/>
      <c r="B152" s="18"/>
      <c r="C152" s="18"/>
      <c r="D152" s="19" t="s">
        <v>16</v>
      </c>
      <c r="E152" s="18"/>
      <c r="F152" s="17"/>
      <c r="G152" s="18"/>
      <c r="H152" s="18"/>
      <c r="I152" s="19" t="s">
        <v>16</v>
      </c>
      <c r="J152" s="18"/>
      <c r="K152" s="17"/>
      <c r="L152" s="18"/>
      <c r="M152" s="18"/>
      <c r="N152" s="19" t="s">
        <v>16</v>
      </c>
      <c r="O152" s="20"/>
    </row>
    <row r="153" spans="1:15" ht="15" x14ac:dyDescent="0.35">
      <c r="A153" s="46" t="s">
        <v>0</v>
      </c>
      <c r="B153" s="47"/>
      <c r="C153" s="47"/>
      <c r="D153" s="47"/>
      <c r="E153" s="47"/>
      <c r="F153" s="46" t="s">
        <v>0</v>
      </c>
      <c r="G153" s="47"/>
      <c r="H153" s="47"/>
      <c r="I153" s="47"/>
      <c r="J153" s="47"/>
      <c r="K153" s="46" t="s">
        <v>0</v>
      </c>
      <c r="L153" s="47"/>
      <c r="M153" s="47"/>
      <c r="N153" s="47"/>
      <c r="O153" s="48"/>
    </row>
    <row r="154" spans="1:15" ht="15" x14ac:dyDescent="0.35">
      <c r="F154" s="1"/>
      <c r="G154" s="2"/>
      <c r="H154" s="2"/>
      <c r="I154" s="2"/>
      <c r="J154" s="2"/>
      <c r="K154" s="1"/>
      <c r="L154" s="2"/>
      <c r="M154" s="2"/>
      <c r="N154" s="2"/>
      <c r="O154" s="3"/>
    </row>
    <row r="155" spans="1:15" ht="15" x14ac:dyDescent="0.35">
      <c r="A155" s="1" t="s">
        <v>1</v>
      </c>
      <c r="B155" s="2" t="s">
        <v>2</v>
      </c>
      <c r="C155" s="51" t="s">
        <v>29</v>
      </c>
      <c r="D155" s="51"/>
      <c r="E155" s="4">
        <v>13</v>
      </c>
      <c r="F155" s="1" t="s">
        <v>1</v>
      </c>
      <c r="G155" s="2" t="s">
        <v>2</v>
      </c>
      <c r="H155" s="51"/>
      <c r="I155" s="51"/>
      <c r="J155" s="4"/>
      <c r="K155" s="1" t="s">
        <v>1</v>
      </c>
      <c r="L155" s="2" t="s">
        <v>2</v>
      </c>
      <c r="M155" s="51" t="s">
        <v>30</v>
      </c>
      <c r="N155" s="51"/>
      <c r="O155" s="6">
        <v>14</v>
      </c>
    </row>
    <row r="156" spans="1:15" ht="15" x14ac:dyDescent="0.35">
      <c r="A156" s="1" t="s">
        <v>4</v>
      </c>
      <c r="B156" s="2"/>
      <c r="C156" s="2" t="s">
        <v>2</v>
      </c>
      <c r="D156" s="2"/>
      <c r="F156" s="1" t="s">
        <v>4</v>
      </c>
      <c r="G156" s="2"/>
      <c r="H156" s="2" t="s">
        <v>2</v>
      </c>
      <c r="I156" s="2"/>
      <c r="J156" s="2"/>
      <c r="K156" s="1" t="s">
        <v>4</v>
      </c>
      <c r="L156" s="2"/>
      <c r="M156" s="2" t="s">
        <v>2</v>
      </c>
      <c r="N156" s="2"/>
      <c r="O156" s="3"/>
    </row>
    <row r="157" spans="1:15" ht="15" x14ac:dyDescent="0.35">
      <c r="A157" s="1" t="s">
        <v>5</v>
      </c>
      <c r="B157" s="2"/>
      <c r="C157" s="2" t="s">
        <v>2</v>
      </c>
      <c r="D157" s="25">
        <f>[22]krnmei!$C$516</f>
        <v>100000</v>
      </c>
      <c r="E157" s="2"/>
      <c r="F157" s="1" t="s">
        <v>66</v>
      </c>
      <c r="G157" s="2"/>
      <c r="H157" s="2" t="s">
        <v>2</v>
      </c>
      <c r="I157" s="25"/>
      <c r="J157" s="2"/>
      <c r="K157" s="1" t="s">
        <v>5</v>
      </c>
      <c r="L157" s="2"/>
      <c r="M157" s="2" t="s">
        <v>2</v>
      </c>
      <c r="N157" s="8">
        <f>'[3]KARNING 2021'!$C$548</f>
        <v>100000</v>
      </c>
      <c r="O157" s="3"/>
    </row>
    <row r="158" spans="1:15" ht="15" x14ac:dyDescent="0.35">
      <c r="A158" s="1" t="s">
        <v>6</v>
      </c>
      <c r="B158" s="2"/>
      <c r="C158" s="2" t="s">
        <v>2</v>
      </c>
      <c r="D158" s="25">
        <f>[22]krnmei!$D$516</f>
        <v>5000</v>
      </c>
      <c r="E158" s="2"/>
      <c r="F158" s="1" t="s">
        <v>6</v>
      </c>
      <c r="G158" s="2"/>
      <c r="H158" s="2" t="s">
        <v>2</v>
      </c>
      <c r="I158" s="25"/>
      <c r="J158" s="2"/>
      <c r="K158" s="1" t="s">
        <v>6</v>
      </c>
      <c r="L158" s="2"/>
      <c r="M158" s="2" t="s">
        <v>2</v>
      </c>
      <c r="N158" s="8">
        <f>'[3]KARNING 2021'!$D$548</f>
        <v>25000</v>
      </c>
      <c r="O158" s="3"/>
    </row>
    <row r="159" spans="1:15" ht="15" x14ac:dyDescent="0.35">
      <c r="A159" s="1" t="s">
        <v>7</v>
      </c>
      <c r="B159" s="2"/>
      <c r="C159" s="2" t="s">
        <v>2</v>
      </c>
      <c r="D159" s="8">
        <f>[22]krnmei!$E$516</f>
        <v>100000</v>
      </c>
      <c r="E159" s="2"/>
      <c r="F159" s="1" t="s">
        <v>7</v>
      </c>
      <c r="G159" s="2"/>
      <c r="H159" s="2" t="s">
        <v>2</v>
      </c>
      <c r="I159" s="25">
        <v>0</v>
      </c>
      <c r="J159" s="2"/>
      <c r="K159" s="1" t="s">
        <v>7</v>
      </c>
      <c r="L159" s="2"/>
      <c r="M159" s="2" t="s">
        <v>2</v>
      </c>
      <c r="N159" s="8">
        <f>[23]krnmei!$E$552</f>
        <v>300000</v>
      </c>
      <c r="O159" s="3"/>
    </row>
    <row r="160" spans="1:15" ht="15" x14ac:dyDescent="0.35">
      <c r="A160" s="1" t="s">
        <v>8</v>
      </c>
      <c r="B160" s="21">
        <v>26</v>
      </c>
      <c r="C160" s="2" t="s">
        <v>2</v>
      </c>
      <c r="D160" s="25">
        <v>400000</v>
      </c>
      <c r="E160" s="2"/>
      <c r="F160" s="1" t="s">
        <v>8</v>
      </c>
      <c r="G160" s="2">
        <v>0</v>
      </c>
      <c r="H160" s="2" t="s">
        <v>2</v>
      </c>
      <c r="I160" s="8">
        <v>0</v>
      </c>
      <c r="J160" s="2"/>
      <c r="K160" s="1" t="s">
        <v>8</v>
      </c>
      <c r="L160" s="2">
        <v>46</v>
      </c>
      <c r="M160" s="2" t="s">
        <v>2</v>
      </c>
      <c r="N160" s="8">
        <v>500000</v>
      </c>
      <c r="O160" s="3"/>
    </row>
    <row r="161" spans="1:15" ht="15" x14ac:dyDescent="0.35">
      <c r="A161" s="1" t="s">
        <v>9</v>
      </c>
      <c r="B161" s="2"/>
      <c r="C161" s="2" t="s">
        <v>2</v>
      </c>
      <c r="D161" s="11">
        <f>[37]krnmei!$K$514</f>
        <v>327000</v>
      </c>
      <c r="E161" s="2"/>
      <c r="F161" s="1" t="s">
        <v>9</v>
      </c>
      <c r="G161" s="2"/>
      <c r="H161" s="2" t="s">
        <v>2</v>
      </c>
      <c r="I161" s="11">
        <v>0</v>
      </c>
      <c r="J161" s="2"/>
      <c r="K161" s="1" t="s">
        <v>9</v>
      </c>
      <c r="L161" s="2"/>
      <c r="M161" s="2" t="s">
        <v>2</v>
      </c>
      <c r="N161" s="11">
        <f>[37]krnmei!$K$548</f>
        <v>285000</v>
      </c>
      <c r="O161" s="3"/>
    </row>
    <row r="162" spans="1:15" ht="15" x14ac:dyDescent="0.35">
      <c r="A162" s="1" t="s">
        <v>10</v>
      </c>
      <c r="B162" s="2"/>
      <c r="C162" s="2" t="s">
        <v>2</v>
      </c>
      <c r="D162" s="9">
        <v>0</v>
      </c>
      <c r="E162" s="2"/>
      <c r="F162" s="1" t="s">
        <v>10</v>
      </c>
      <c r="G162" s="2">
        <v>0</v>
      </c>
      <c r="H162" s="2" t="s">
        <v>2</v>
      </c>
      <c r="I162" s="8">
        <v>0</v>
      </c>
      <c r="J162" s="2"/>
      <c r="K162" s="1" t="s">
        <v>10</v>
      </c>
      <c r="L162" s="21"/>
      <c r="M162" s="2" t="s">
        <v>2</v>
      </c>
      <c r="N162" s="8"/>
      <c r="O162" s="3"/>
    </row>
    <row r="163" spans="1:15" ht="15" x14ac:dyDescent="0.35">
      <c r="A163" s="1" t="s">
        <v>11</v>
      </c>
      <c r="B163" s="2"/>
      <c r="C163" s="2" t="s">
        <v>2</v>
      </c>
      <c r="D163" s="8">
        <v>0</v>
      </c>
      <c r="E163" s="2"/>
      <c r="F163" s="1" t="s">
        <v>11</v>
      </c>
      <c r="G163" s="2"/>
      <c r="H163" s="2" t="s">
        <v>2</v>
      </c>
      <c r="I163" s="9">
        <v>0</v>
      </c>
      <c r="J163" s="2"/>
      <c r="K163" s="1" t="s">
        <v>11</v>
      </c>
      <c r="L163" s="2"/>
      <c r="M163" s="2" t="s">
        <v>2</v>
      </c>
      <c r="N163" s="27">
        <v>0</v>
      </c>
      <c r="O163" s="3"/>
    </row>
    <row r="164" spans="1:15" ht="15" x14ac:dyDescent="0.35">
      <c r="A164" s="1" t="s">
        <v>12</v>
      </c>
      <c r="B164" s="2"/>
      <c r="C164" s="2" t="s">
        <v>2</v>
      </c>
      <c r="D164" s="7">
        <v>0</v>
      </c>
      <c r="E164" s="2"/>
      <c r="F164" s="1" t="s">
        <v>12</v>
      </c>
      <c r="G164" s="2"/>
      <c r="H164" s="2" t="s">
        <v>2</v>
      </c>
      <c r="I164" s="7">
        <v>0</v>
      </c>
      <c r="J164" s="2"/>
      <c r="K164" s="1" t="s">
        <v>12</v>
      </c>
      <c r="L164" s="2"/>
      <c r="M164" s="2" t="s">
        <v>2</v>
      </c>
      <c r="N164" s="8">
        <f>'[3]KARNING 2021'!$F$548</f>
        <v>50000</v>
      </c>
      <c r="O164" s="3"/>
    </row>
    <row r="165" spans="1:15" ht="15" x14ac:dyDescent="0.35">
      <c r="A165" s="13" t="s">
        <v>13</v>
      </c>
      <c r="B165" s="5"/>
      <c r="C165" s="5" t="s">
        <v>2</v>
      </c>
      <c r="D165" s="24">
        <f>SUM(D157:D164)</f>
        <v>932000</v>
      </c>
      <c r="E165" s="2"/>
      <c r="F165" s="13" t="s">
        <v>13</v>
      </c>
      <c r="G165" s="5"/>
      <c r="H165" s="5" t="s">
        <v>2</v>
      </c>
      <c r="I165" s="24">
        <v>0</v>
      </c>
      <c r="J165" s="2"/>
      <c r="K165" s="13" t="s">
        <v>13</v>
      </c>
      <c r="L165" s="5"/>
      <c r="M165" s="5" t="s">
        <v>2</v>
      </c>
      <c r="N165" s="24">
        <f>SUM(N157:N164)</f>
        <v>1260000</v>
      </c>
      <c r="O165" s="3"/>
    </row>
    <row r="166" spans="1:15" ht="15" x14ac:dyDescent="0.35">
      <c r="A166" s="1" t="s">
        <v>14</v>
      </c>
      <c r="B166" s="2"/>
      <c r="C166" s="2" t="s">
        <v>2</v>
      </c>
      <c r="D166" s="25">
        <f>[37]krnmei!$J$514</f>
        <v>21400000</v>
      </c>
      <c r="E166" s="2"/>
      <c r="F166" s="1" t="s">
        <v>14</v>
      </c>
      <c r="G166" s="2"/>
      <c r="H166" s="2" t="s">
        <v>2</v>
      </c>
      <c r="I166" s="27">
        <v>0</v>
      </c>
      <c r="J166" s="2"/>
      <c r="K166" s="1" t="s">
        <v>14</v>
      </c>
      <c r="L166" s="2"/>
      <c r="M166" s="2" t="s">
        <v>2</v>
      </c>
      <c r="N166" s="25">
        <f>[37]krnmei!$J$548+4500000</f>
        <v>23000000</v>
      </c>
      <c r="O166" s="3"/>
    </row>
    <row r="167" spans="1:15" ht="15" x14ac:dyDescent="0.35">
      <c r="A167" s="1"/>
      <c r="B167" s="2"/>
      <c r="C167" s="15"/>
      <c r="D167" s="15" t="str">
        <f>D148</f>
        <v>Grogol, 02 Januari 2026</v>
      </c>
      <c r="E167" s="2"/>
      <c r="F167" s="1"/>
      <c r="G167" s="2"/>
      <c r="H167" s="15"/>
      <c r="I167" s="15" t="str">
        <f>D167</f>
        <v>Grogol, 02 Januari 2026</v>
      </c>
      <c r="J167" s="15"/>
      <c r="K167" s="1"/>
      <c r="L167" s="2"/>
      <c r="M167" s="15"/>
      <c r="N167" s="15" t="str">
        <f>I167</f>
        <v>Grogol, 02 Januari 2026</v>
      </c>
      <c r="O167" s="16"/>
    </row>
    <row r="168" spans="1:15" ht="15" x14ac:dyDescent="0.35">
      <c r="A168" s="1"/>
      <c r="B168" s="2"/>
      <c r="C168" s="2"/>
      <c r="D168" s="15" t="s">
        <v>15</v>
      </c>
      <c r="E168" s="15"/>
      <c r="F168" s="1"/>
      <c r="G168" s="2"/>
      <c r="H168" s="2"/>
      <c r="I168" s="15" t="s">
        <v>15</v>
      </c>
      <c r="J168" s="2"/>
      <c r="K168" s="1"/>
      <c r="L168" s="2"/>
      <c r="M168" s="2"/>
      <c r="N168" s="15" t="s">
        <v>15</v>
      </c>
      <c r="O168" s="3"/>
    </row>
    <row r="169" spans="1:15" ht="15" x14ac:dyDescent="0.35">
      <c r="A169" s="1"/>
      <c r="B169" s="2"/>
      <c r="C169" s="2"/>
      <c r="D169" s="15"/>
      <c r="E169" s="2"/>
      <c r="F169" s="1"/>
      <c r="G169" s="2"/>
      <c r="H169" s="2"/>
      <c r="I169" s="15"/>
      <c r="J169" s="2"/>
      <c r="K169" s="1"/>
      <c r="L169" s="2"/>
      <c r="M169" s="2"/>
      <c r="N169" s="15"/>
      <c r="O169" s="3"/>
    </row>
    <row r="170" spans="1:15" ht="15" x14ac:dyDescent="0.35">
      <c r="A170" s="1"/>
      <c r="B170" s="2"/>
      <c r="C170" s="2"/>
      <c r="D170" s="15"/>
      <c r="E170" s="2"/>
      <c r="F170" s="1"/>
      <c r="G170" s="2"/>
      <c r="H170" s="2"/>
      <c r="I170" s="15"/>
      <c r="J170" s="2"/>
      <c r="K170" s="1"/>
      <c r="L170" s="2"/>
      <c r="M170" s="2"/>
      <c r="N170" s="15"/>
      <c r="O170" s="3"/>
    </row>
    <row r="171" spans="1:15" ht="15.6" thickBot="1" x14ac:dyDescent="0.4">
      <c r="A171" s="17"/>
      <c r="B171" s="18"/>
      <c r="C171" s="18"/>
      <c r="D171" s="19" t="s">
        <v>16</v>
      </c>
      <c r="E171" s="18"/>
      <c r="F171" s="17"/>
      <c r="G171" s="18"/>
      <c r="H171" s="18"/>
      <c r="I171" s="19" t="s">
        <v>16</v>
      </c>
      <c r="J171" s="18"/>
      <c r="K171" s="17"/>
      <c r="L171" s="18"/>
      <c r="M171" s="18"/>
      <c r="N171" s="19" t="s">
        <v>16</v>
      </c>
      <c r="O171" s="20"/>
    </row>
    <row r="172" spans="1:15" ht="15" x14ac:dyDescent="0.35">
      <c r="A172" s="46" t="s">
        <v>0</v>
      </c>
      <c r="B172" s="47"/>
      <c r="C172" s="47"/>
      <c r="D172" s="47"/>
      <c r="E172" s="47"/>
      <c r="F172" s="46" t="s">
        <v>0</v>
      </c>
      <c r="G172" s="47"/>
      <c r="H172" s="47"/>
      <c r="I172" s="47"/>
      <c r="J172" s="47"/>
      <c r="K172" s="46" t="s">
        <v>0</v>
      </c>
      <c r="L172" s="47"/>
      <c r="M172" s="47"/>
      <c r="N172" s="47"/>
      <c r="O172" s="48"/>
    </row>
    <row r="173" spans="1:15" ht="15" x14ac:dyDescent="0.35">
      <c r="A173" s="1"/>
      <c r="B173" s="2"/>
      <c r="C173" s="2"/>
      <c r="D173" s="2"/>
      <c r="E173" s="2"/>
      <c r="F173" s="1"/>
      <c r="G173" s="2"/>
      <c r="H173" s="2"/>
      <c r="I173" s="2"/>
      <c r="J173" s="2"/>
      <c r="K173" s="1"/>
      <c r="L173" s="2"/>
      <c r="M173" s="2"/>
      <c r="N173" s="2"/>
      <c r="O173" s="3"/>
    </row>
    <row r="174" spans="1:15" ht="15" x14ac:dyDescent="0.35">
      <c r="A174" s="1" t="s">
        <v>1</v>
      </c>
      <c r="B174" s="2" t="s">
        <v>2</v>
      </c>
      <c r="C174" s="50" t="s">
        <v>31</v>
      </c>
      <c r="D174" s="50"/>
      <c r="E174" s="4">
        <v>15</v>
      </c>
      <c r="F174" s="1" t="s">
        <v>1</v>
      </c>
      <c r="G174" s="2" t="s">
        <v>2</v>
      </c>
      <c r="H174" s="50" t="s">
        <v>32</v>
      </c>
      <c r="I174" s="50"/>
      <c r="J174" s="4">
        <v>16</v>
      </c>
      <c r="K174" s="1" t="s">
        <v>1</v>
      </c>
      <c r="L174" s="2" t="s">
        <v>2</v>
      </c>
      <c r="M174" s="50" t="s">
        <v>33</v>
      </c>
      <c r="N174" s="50"/>
      <c r="O174" s="6">
        <v>17</v>
      </c>
    </row>
    <row r="175" spans="1:15" ht="15" x14ac:dyDescent="0.35">
      <c r="A175" s="1" t="s">
        <v>4</v>
      </c>
      <c r="B175" s="2"/>
      <c r="C175" s="2" t="s">
        <v>2</v>
      </c>
      <c r="D175" s="2"/>
      <c r="F175" s="1" t="s">
        <v>4</v>
      </c>
      <c r="G175" s="2"/>
      <c r="H175" s="2" t="s">
        <v>2</v>
      </c>
      <c r="I175" s="2"/>
      <c r="J175" s="2"/>
      <c r="K175" s="1" t="s">
        <v>4</v>
      </c>
      <c r="L175" s="2"/>
      <c r="M175" s="2" t="s">
        <v>2</v>
      </c>
      <c r="N175" s="2"/>
      <c r="O175" s="3"/>
    </row>
    <row r="176" spans="1:15" ht="15" x14ac:dyDescent="0.35">
      <c r="A176" s="1" t="s">
        <v>5</v>
      </c>
      <c r="B176" s="2"/>
      <c r="C176" s="2" t="s">
        <v>2</v>
      </c>
      <c r="D176" s="8">
        <f>'[3]KARNING 2021'!$C$565</f>
        <v>100000</v>
      </c>
      <c r="E176" s="2"/>
      <c r="F176" s="1" t="s">
        <v>5</v>
      </c>
      <c r="G176" s="2"/>
      <c r="H176" s="2" t="s">
        <v>2</v>
      </c>
      <c r="I176" s="8">
        <f>'[3]KARNING 2021'!$C$582</f>
        <v>100000</v>
      </c>
      <c r="J176" s="2"/>
      <c r="K176" s="1" t="s">
        <v>5</v>
      </c>
      <c r="L176" s="2"/>
      <c r="M176" s="2" t="s">
        <v>2</v>
      </c>
      <c r="N176" s="8">
        <v>100000</v>
      </c>
      <c r="O176" s="3"/>
    </row>
    <row r="177" spans="1:15" ht="15" x14ac:dyDescent="0.35">
      <c r="A177" s="1" t="s">
        <v>6</v>
      </c>
      <c r="B177" s="2"/>
      <c r="C177" s="2" t="s">
        <v>2</v>
      </c>
      <c r="D177" s="8">
        <f>[17]krnmei!$D$567</f>
        <v>100000</v>
      </c>
      <c r="E177" s="2"/>
      <c r="F177" s="1" t="s">
        <v>6</v>
      </c>
      <c r="G177" s="2"/>
      <c r="H177" s="2" t="s">
        <v>2</v>
      </c>
      <c r="I177" s="8">
        <f>'[3]KARNING 2021'!$D$582</f>
        <v>25000</v>
      </c>
      <c r="J177" s="2"/>
      <c r="K177" s="1" t="s">
        <v>6</v>
      </c>
      <c r="L177" s="2"/>
      <c r="M177" s="2" t="s">
        <v>2</v>
      </c>
      <c r="N177" s="8">
        <v>25000</v>
      </c>
      <c r="O177" s="3"/>
    </row>
    <row r="178" spans="1:15" ht="15" x14ac:dyDescent="0.35">
      <c r="A178" s="1" t="s">
        <v>7</v>
      </c>
      <c r="B178" s="2"/>
      <c r="C178" s="2" t="s">
        <v>2</v>
      </c>
      <c r="D178" s="8">
        <f>'[3]KARNING 2021'!$E$565</f>
        <v>300000</v>
      </c>
      <c r="E178" s="2"/>
      <c r="F178" s="1" t="s">
        <v>7</v>
      </c>
      <c r="G178" s="2"/>
      <c r="H178" s="2" t="s">
        <v>2</v>
      </c>
      <c r="I178" s="8">
        <f>[4]krnmei!$F$581</f>
        <v>0</v>
      </c>
      <c r="J178" s="2"/>
      <c r="K178" s="1" t="s">
        <v>7</v>
      </c>
      <c r="L178" s="2"/>
      <c r="M178" s="2" t="s">
        <v>2</v>
      </c>
      <c r="N178" s="8">
        <v>100000</v>
      </c>
      <c r="O178" s="3"/>
    </row>
    <row r="179" spans="1:15" ht="15" x14ac:dyDescent="0.35">
      <c r="A179" s="1" t="s">
        <v>8</v>
      </c>
      <c r="B179" s="21">
        <v>41</v>
      </c>
      <c r="C179" s="2" t="s">
        <v>2</v>
      </c>
      <c r="D179" s="8">
        <f>[37]krnmei!$I$565</f>
        <v>2000000</v>
      </c>
      <c r="E179" s="2"/>
      <c r="F179" s="1" t="s">
        <v>8</v>
      </c>
      <c r="G179" s="21">
        <v>0</v>
      </c>
      <c r="H179" s="2" t="s">
        <v>2</v>
      </c>
      <c r="I179" s="8">
        <v>0</v>
      </c>
      <c r="J179" s="2"/>
      <c r="K179" s="1" t="s">
        <v>8</v>
      </c>
      <c r="L179" s="2">
        <v>8</v>
      </c>
      <c r="M179" s="2" t="s">
        <v>2</v>
      </c>
      <c r="N179" s="8">
        <f>[25]krnmei!$I$1063</f>
        <v>400000</v>
      </c>
      <c r="O179" s="3"/>
    </row>
    <row r="180" spans="1:15" ht="15" x14ac:dyDescent="0.35">
      <c r="A180" s="1" t="s">
        <v>9</v>
      </c>
      <c r="B180" s="2"/>
      <c r="C180" s="2" t="s">
        <v>2</v>
      </c>
      <c r="D180" s="11">
        <f>[37]krnmei!$K$565</f>
        <v>390000</v>
      </c>
      <c r="E180" s="2"/>
      <c r="F180" s="1" t="s">
        <v>9</v>
      </c>
      <c r="G180" s="2"/>
      <c r="H180" s="2" t="s">
        <v>2</v>
      </c>
      <c r="I180" s="11">
        <v>0</v>
      </c>
      <c r="J180" s="2"/>
      <c r="K180" s="1" t="s">
        <v>9</v>
      </c>
      <c r="L180" s="2"/>
      <c r="M180" s="2" t="s">
        <v>2</v>
      </c>
      <c r="N180" s="30">
        <f>[37]krnmei!$K$1058</f>
        <v>180000</v>
      </c>
      <c r="O180" s="3"/>
    </row>
    <row r="181" spans="1:15" ht="15" x14ac:dyDescent="0.35">
      <c r="A181" s="1" t="s">
        <v>10</v>
      </c>
      <c r="B181" s="2">
        <v>0</v>
      </c>
      <c r="C181" s="2" t="s">
        <v>2</v>
      </c>
      <c r="D181" s="8">
        <v>0</v>
      </c>
      <c r="E181" s="2"/>
      <c r="F181" s="1" t="s">
        <v>10</v>
      </c>
      <c r="G181" s="2">
        <v>0</v>
      </c>
      <c r="H181" s="2" t="s">
        <v>2</v>
      </c>
      <c r="I181" s="8">
        <v>0</v>
      </c>
      <c r="J181" s="2"/>
      <c r="K181" s="1" t="s">
        <v>10</v>
      </c>
      <c r="L181" s="2"/>
      <c r="M181" s="2" t="s">
        <v>2</v>
      </c>
      <c r="N181" s="8"/>
      <c r="O181" s="3"/>
    </row>
    <row r="182" spans="1:15" ht="15" x14ac:dyDescent="0.35">
      <c r="A182" s="1" t="s">
        <v>11</v>
      </c>
      <c r="B182" s="2"/>
      <c r="C182" s="2" t="s">
        <v>2</v>
      </c>
      <c r="D182" s="9">
        <v>0</v>
      </c>
      <c r="E182" s="2"/>
      <c r="F182" s="1" t="s">
        <v>11</v>
      </c>
      <c r="G182" s="2"/>
      <c r="H182" s="2" t="s">
        <v>2</v>
      </c>
      <c r="I182" s="9">
        <f>[26]krnmei!$P$587</f>
        <v>0</v>
      </c>
      <c r="J182" s="2"/>
      <c r="K182" s="1" t="s">
        <v>11</v>
      </c>
      <c r="L182" s="2"/>
      <c r="M182" s="2" t="s">
        <v>2</v>
      </c>
      <c r="N182" s="8">
        <v>0</v>
      </c>
      <c r="O182" s="3"/>
    </row>
    <row r="183" spans="1:15" ht="15" x14ac:dyDescent="0.35">
      <c r="A183" s="1" t="s">
        <v>12</v>
      </c>
      <c r="B183" s="2"/>
      <c r="C183" s="2" t="s">
        <v>2</v>
      </c>
      <c r="D183" s="8">
        <f>[1]krnmei!$F$566</f>
        <v>1000000</v>
      </c>
      <c r="E183" s="2"/>
      <c r="F183" s="1" t="s">
        <v>12</v>
      </c>
      <c r="G183" s="2"/>
      <c r="H183" s="2" t="s">
        <v>2</v>
      </c>
      <c r="I183" s="8">
        <f>[4]krnmei!$F$581</f>
        <v>0</v>
      </c>
      <c r="J183" s="2"/>
      <c r="K183" s="1" t="s">
        <v>12</v>
      </c>
      <c r="L183" s="2"/>
      <c r="M183" s="2" t="s">
        <v>2</v>
      </c>
      <c r="N183" s="8">
        <v>0</v>
      </c>
      <c r="O183" s="3"/>
    </row>
    <row r="184" spans="1:15" ht="15" x14ac:dyDescent="0.35">
      <c r="A184" s="13" t="s">
        <v>13</v>
      </c>
      <c r="B184" s="5"/>
      <c r="C184" s="5" t="s">
        <v>2</v>
      </c>
      <c r="D184" s="24">
        <f>SUM(D176:D183)</f>
        <v>3890000</v>
      </c>
      <c r="E184" s="2"/>
      <c r="F184" s="13" t="s">
        <v>13</v>
      </c>
      <c r="G184" s="5"/>
      <c r="H184" s="5" t="s">
        <v>2</v>
      </c>
      <c r="I184" s="8">
        <f>SUM(I176:I183)</f>
        <v>125000</v>
      </c>
      <c r="J184" s="2"/>
      <c r="K184" s="13" t="s">
        <v>13</v>
      </c>
      <c r="L184" s="5"/>
      <c r="M184" s="5" t="s">
        <v>2</v>
      </c>
      <c r="N184" s="8">
        <f>SUM(N176:N183)</f>
        <v>805000</v>
      </c>
      <c r="O184" s="3"/>
    </row>
    <row r="185" spans="1:15" ht="15" x14ac:dyDescent="0.35">
      <c r="A185" s="1" t="s">
        <v>14</v>
      </c>
      <c r="B185" s="2"/>
      <c r="C185" s="2" t="s">
        <v>2</v>
      </c>
      <c r="D185" s="25">
        <f>[37]krnmei!$J$565</f>
        <v>24000000</v>
      </c>
      <c r="E185" s="2"/>
      <c r="F185" s="1" t="s">
        <v>14</v>
      </c>
      <c r="G185" s="2"/>
      <c r="H185" s="2" t="s">
        <v>2</v>
      </c>
      <c r="I185" s="8">
        <f>[7]krnmei!$J$592</f>
        <v>0</v>
      </c>
      <c r="J185" s="2"/>
      <c r="K185" s="1" t="s">
        <v>14</v>
      </c>
      <c r="L185" s="2"/>
      <c r="M185" s="2" t="s">
        <v>2</v>
      </c>
      <c r="N185" s="8">
        <f>[37]krnmei!$J$1058</f>
        <v>16600000</v>
      </c>
      <c r="O185" s="3"/>
    </row>
    <row r="186" spans="1:15" ht="15" x14ac:dyDescent="0.35">
      <c r="A186" s="1"/>
      <c r="B186" s="2"/>
      <c r="C186" s="15"/>
      <c r="D186" s="15" t="str">
        <f>D167</f>
        <v>Grogol, 02 Januari 2026</v>
      </c>
      <c r="E186" s="2"/>
      <c r="F186" s="1"/>
      <c r="G186" s="2"/>
      <c r="H186" s="15"/>
      <c r="I186" s="15" t="str">
        <f>D167</f>
        <v>Grogol, 02 Januari 2026</v>
      </c>
      <c r="J186" s="15"/>
      <c r="K186" s="1"/>
      <c r="L186" s="2"/>
      <c r="M186" s="15"/>
      <c r="N186" s="15" t="str">
        <f>D167</f>
        <v>Grogol, 02 Januari 2026</v>
      </c>
      <c r="O186" s="16"/>
    </row>
    <row r="187" spans="1:15" ht="15" x14ac:dyDescent="0.35">
      <c r="A187" s="1"/>
      <c r="B187" s="2"/>
      <c r="C187" s="2"/>
      <c r="D187" s="15" t="s">
        <v>15</v>
      </c>
      <c r="E187" s="15"/>
      <c r="F187" s="1"/>
      <c r="G187" s="2"/>
      <c r="H187" s="2"/>
      <c r="I187" s="15" t="s">
        <v>15</v>
      </c>
      <c r="J187" s="2"/>
      <c r="K187" s="1"/>
      <c r="L187" s="2"/>
      <c r="M187" s="2"/>
      <c r="N187" s="15" t="s">
        <v>15</v>
      </c>
      <c r="O187" s="3"/>
    </row>
    <row r="188" spans="1:15" ht="15" x14ac:dyDescent="0.35">
      <c r="A188" s="1"/>
      <c r="B188" s="2"/>
      <c r="C188" s="2"/>
      <c r="D188" s="15"/>
      <c r="E188" s="2"/>
      <c r="F188" s="1"/>
      <c r="G188" s="2"/>
      <c r="H188" s="2"/>
      <c r="I188" s="15"/>
      <c r="J188" s="2"/>
      <c r="K188" s="1"/>
      <c r="L188" s="2"/>
      <c r="M188" s="2"/>
      <c r="N188" s="15"/>
      <c r="O188" s="3"/>
    </row>
    <row r="189" spans="1:15" ht="15" x14ac:dyDescent="0.35">
      <c r="A189" s="1"/>
      <c r="B189" s="2"/>
      <c r="C189" s="2"/>
      <c r="D189" s="15"/>
      <c r="E189" s="2"/>
      <c r="F189" s="1"/>
      <c r="G189" s="2"/>
      <c r="H189" s="2"/>
      <c r="I189" s="15"/>
      <c r="J189" s="2"/>
      <c r="K189" s="1"/>
      <c r="L189" s="2"/>
      <c r="M189" s="2"/>
      <c r="N189" s="15"/>
      <c r="O189" s="3"/>
    </row>
    <row r="190" spans="1:15" ht="15.6" thickBot="1" x14ac:dyDescent="0.4">
      <c r="A190" s="17"/>
      <c r="B190" s="18"/>
      <c r="C190" s="18"/>
      <c r="D190" s="19" t="s">
        <v>16</v>
      </c>
      <c r="E190" s="20"/>
      <c r="F190" s="17"/>
      <c r="G190" s="18"/>
      <c r="H190" s="18"/>
      <c r="I190" s="19" t="s">
        <v>16</v>
      </c>
      <c r="J190" s="18"/>
      <c r="K190" s="17"/>
      <c r="L190" s="18"/>
      <c r="M190" s="18"/>
      <c r="N190" s="19" t="s">
        <v>16</v>
      </c>
      <c r="O190" s="20"/>
    </row>
    <row r="191" spans="1:15" ht="15" x14ac:dyDescent="0.35">
      <c r="A191" s="46" t="s">
        <v>0</v>
      </c>
      <c r="B191" s="47"/>
      <c r="C191" s="47"/>
      <c r="D191" s="47"/>
      <c r="E191" s="47"/>
      <c r="F191" s="46" t="s">
        <v>0</v>
      </c>
      <c r="G191" s="47"/>
      <c r="H191" s="47"/>
      <c r="I191" s="47"/>
      <c r="J191" s="47"/>
      <c r="K191" s="46" t="s">
        <v>0</v>
      </c>
      <c r="L191" s="47"/>
      <c r="M191" s="47"/>
      <c r="N191" s="47"/>
      <c r="O191" s="48"/>
    </row>
    <row r="192" spans="1:15" ht="15" x14ac:dyDescent="0.35">
      <c r="A192" s="1"/>
      <c r="B192" s="2"/>
      <c r="C192" s="2"/>
      <c r="D192" s="2"/>
      <c r="E192" s="2"/>
      <c r="F192" s="1"/>
      <c r="G192" s="2"/>
      <c r="H192" s="2"/>
      <c r="I192" s="2"/>
      <c r="J192" s="2"/>
      <c r="K192" s="1"/>
      <c r="L192" s="2"/>
      <c r="M192" s="2"/>
      <c r="N192" s="2"/>
      <c r="O192" s="3"/>
    </row>
    <row r="193" spans="1:15" ht="15" x14ac:dyDescent="0.35">
      <c r="A193" s="1" t="s">
        <v>1</v>
      </c>
      <c r="B193" s="2" t="s">
        <v>2</v>
      </c>
      <c r="C193" s="5" t="str">
        <f>[27]krnmei!$B$1123</f>
        <v>DEWI RATRI KALINGGA</v>
      </c>
      <c r="D193" s="5"/>
      <c r="E193" s="4">
        <v>42</v>
      </c>
      <c r="F193" s="1" t="s">
        <v>1</v>
      </c>
      <c r="G193" s="2" t="s">
        <v>2</v>
      </c>
      <c r="H193" s="50" t="s">
        <v>75</v>
      </c>
      <c r="I193" s="50"/>
      <c r="J193" s="4">
        <v>54</v>
      </c>
      <c r="K193" s="1" t="s">
        <v>1</v>
      </c>
      <c r="L193" s="2" t="s">
        <v>2</v>
      </c>
      <c r="M193" s="5" t="s">
        <v>34</v>
      </c>
      <c r="N193" s="5"/>
      <c r="O193" s="6">
        <v>22</v>
      </c>
    </row>
    <row r="194" spans="1:15" ht="15" x14ac:dyDescent="0.35">
      <c r="A194" s="1" t="s">
        <v>4</v>
      </c>
      <c r="B194" s="2"/>
      <c r="C194" s="2" t="s">
        <v>2</v>
      </c>
      <c r="D194" s="2"/>
      <c r="F194" s="1" t="s">
        <v>4</v>
      </c>
      <c r="G194" s="2"/>
      <c r="H194" s="2" t="s">
        <v>2</v>
      </c>
      <c r="I194" s="2"/>
      <c r="J194" s="2"/>
      <c r="K194" s="1" t="s">
        <v>4</v>
      </c>
      <c r="L194" s="2"/>
      <c r="M194" s="2" t="s">
        <v>2</v>
      </c>
      <c r="N194" s="2"/>
      <c r="O194" s="3"/>
    </row>
    <row r="195" spans="1:15" ht="15" x14ac:dyDescent="0.35">
      <c r="A195" s="1" t="s">
        <v>5</v>
      </c>
      <c r="B195" s="2"/>
      <c r="C195" s="2" t="s">
        <v>2</v>
      </c>
      <c r="D195" s="8">
        <f>[27]krnmei!$C$1129</f>
        <v>15000</v>
      </c>
      <c r="E195" s="2"/>
      <c r="F195" s="1" t="s">
        <v>5</v>
      </c>
      <c r="G195" s="2"/>
      <c r="H195" s="2" t="s">
        <v>2</v>
      </c>
      <c r="I195" s="8">
        <f>[1]krnmei!$C$1381</f>
        <v>10000</v>
      </c>
      <c r="J195" s="2"/>
      <c r="K195" s="1" t="s">
        <v>5</v>
      </c>
      <c r="L195" s="2"/>
      <c r="M195" s="2" t="s">
        <v>2</v>
      </c>
      <c r="N195" s="7">
        <f>[28]krnmei!$C$656</f>
        <v>100000</v>
      </c>
      <c r="O195" s="3"/>
    </row>
    <row r="196" spans="1:15" ht="15" x14ac:dyDescent="0.35">
      <c r="A196" s="1" t="s">
        <v>6</v>
      </c>
      <c r="B196" s="2"/>
      <c r="C196" s="2" t="s">
        <v>2</v>
      </c>
      <c r="D196" s="8">
        <f>[29]krnmei!$D$1126</f>
        <v>10000</v>
      </c>
      <c r="E196" s="2"/>
      <c r="F196" s="1" t="s">
        <v>6</v>
      </c>
      <c r="G196" s="2"/>
      <c r="H196" s="2" t="s">
        <v>2</v>
      </c>
      <c r="I196" s="8">
        <f>[1]krnmei!$D$1381</f>
        <v>30000</v>
      </c>
      <c r="J196" s="2"/>
      <c r="K196" s="1" t="s">
        <v>6</v>
      </c>
      <c r="L196" s="2"/>
      <c r="M196" s="2" t="s">
        <v>2</v>
      </c>
      <c r="N196" s="7">
        <f>[5]krnmei!$D$654</f>
        <v>100000</v>
      </c>
      <c r="O196" s="3"/>
    </row>
    <row r="197" spans="1:15" ht="15" x14ac:dyDescent="0.35">
      <c r="A197" s="1" t="s">
        <v>7</v>
      </c>
      <c r="B197" s="2"/>
      <c r="C197" s="2" t="s">
        <v>2</v>
      </c>
      <c r="D197" s="8">
        <f>[5]krnmei!$E$1130</f>
        <v>100000</v>
      </c>
      <c r="E197" s="2"/>
      <c r="F197" s="1" t="s">
        <v>7</v>
      </c>
      <c r="G197" s="2"/>
      <c r="H197" s="2" t="s">
        <v>2</v>
      </c>
      <c r="I197" s="8">
        <f>[1]krnmei!$E$1382</f>
        <v>50000</v>
      </c>
      <c r="J197" s="2"/>
      <c r="K197" s="1" t="s">
        <v>7</v>
      </c>
      <c r="L197" s="2"/>
      <c r="M197" s="2" t="s">
        <v>2</v>
      </c>
      <c r="N197" s="7">
        <f>[5]krnmei!$E$654</f>
        <v>200000</v>
      </c>
      <c r="O197" s="3"/>
    </row>
    <row r="198" spans="1:15" ht="15" x14ac:dyDescent="0.35">
      <c r="A198" s="1" t="s">
        <v>8</v>
      </c>
      <c r="B198" s="2">
        <v>24</v>
      </c>
      <c r="C198" s="2" t="s">
        <v>2</v>
      </c>
      <c r="D198" s="8">
        <v>500000</v>
      </c>
      <c r="E198" s="2"/>
      <c r="F198" s="1" t="s">
        <v>8</v>
      </c>
      <c r="G198" s="2"/>
      <c r="H198" s="2" t="s">
        <v>2</v>
      </c>
      <c r="I198" s="8"/>
      <c r="J198" s="2"/>
      <c r="K198" s="1" t="s">
        <v>8</v>
      </c>
      <c r="L198" s="2"/>
      <c r="M198" s="2" t="s">
        <v>2</v>
      </c>
      <c r="N198" s="2">
        <v>0</v>
      </c>
      <c r="O198" s="3"/>
    </row>
    <row r="199" spans="1:15" ht="15" x14ac:dyDescent="0.35">
      <c r="A199" s="1" t="s">
        <v>9</v>
      </c>
      <c r="B199" s="2"/>
      <c r="C199" s="2" t="s">
        <v>2</v>
      </c>
      <c r="D199" s="30">
        <f>[37]krnmei!$K$1126</f>
        <v>108375</v>
      </c>
      <c r="E199" s="2"/>
      <c r="F199" s="1" t="s">
        <v>9</v>
      </c>
      <c r="G199" s="2"/>
      <c r="H199" s="2" t="s">
        <v>2</v>
      </c>
      <c r="I199" s="30">
        <f>[18]krnmei!$K$1390</f>
        <v>0</v>
      </c>
      <c r="J199" s="2"/>
      <c r="K199" s="1" t="s">
        <v>9</v>
      </c>
      <c r="L199" s="2"/>
      <c r="M199" s="2" t="s">
        <v>2</v>
      </c>
      <c r="N199" s="2">
        <v>0</v>
      </c>
      <c r="O199" s="3"/>
    </row>
    <row r="200" spans="1:15" ht="15" x14ac:dyDescent="0.35">
      <c r="A200" s="1" t="s">
        <v>10</v>
      </c>
      <c r="B200" s="2"/>
      <c r="C200" s="2" t="s">
        <v>2</v>
      </c>
      <c r="D200" s="8"/>
      <c r="E200" s="2"/>
      <c r="F200" s="1" t="s">
        <v>10</v>
      </c>
      <c r="G200" s="2"/>
      <c r="H200" s="2" t="s">
        <v>2</v>
      </c>
      <c r="I200" s="8"/>
      <c r="J200" s="2"/>
      <c r="K200" s="1" t="s">
        <v>10</v>
      </c>
      <c r="L200" s="2"/>
      <c r="M200" s="2" t="s">
        <v>2</v>
      </c>
      <c r="N200" s="2">
        <v>0</v>
      </c>
      <c r="O200" s="3"/>
    </row>
    <row r="201" spans="1:15" ht="15" x14ac:dyDescent="0.35">
      <c r="A201" s="1" t="s">
        <v>11</v>
      </c>
      <c r="B201" s="2"/>
      <c r="C201" s="2" t="s">
        <v>2</v>
      </c>
      <c r="D201" s="8">
        <v>0</v>
      </c>
      <c r="E201" s="2"/>
      <c r="F201" s="1" t="s">
        <v>11</v>
      </c>
      <c r="G201" s="2"/>
      <c r="H201" s="2" t="s">
        <v>2</v>
      </c>
      <c r="I201" s="9">
        <f>[7]krnmei!$P$1391</f>
        <v>120000</v>
      </c>
      <c r="J201" s="2"/>
      <c r="K201" s="1" t="s">
        <v>11</v>
      </c>
      <c r="L201" s="2"/>
      <c r="M201" s="2" t="s">
        <v>2</v>
      </c>
      <c r="N201" s="2">
        <v>0</v>
      </c>
      <c r="O201" s="3"/>
    </row>
    <row r="202" spans="1:15" ht="15" x14ac:dyDescent="0.35">
      <c r="A202" s="1" t="s">
        <v>12</v>
      </c>
      <c r="B202" s="2"/>
      <c r="C202" s="2" t="s">
        <v>2</v>
      </c>
      <c r="D202" s="8">
        <v>225000</v>
      </c>
      <c r="E202" s="2"/>
      <c r="F202" s="1" t="s">
        <v>12</v>
      </c>
      <c r="G202" s="2"/>
      <c r="H202" s="2" t="s">
        <v>2</v>
      </c>
      <c r="I202" s="8">
        <f>[1]krnmei!$F$1382</f>
        <v>10000</v>
      </c>
      <c r="J202" s="2"/>
      <c r="K202" s="1" t="s">
        <v>12</v>
      </c>
      <c r="L202" s="2"/>
      <c r="M202" s="2" t="s">
        <v>2</v>
      </c>
      <c r="N202" s="7">
        <f>[5]krnmei!$F$654</f>
        <v>400000</v>
      </c>
      <c r="O202" s="3"/>
    </row>
    <row r="203" spans="1:15" ht="15" x14ac:dyDescent="0.35">
      <c r="A203" s="13" t="s">
        <v>13</v>
      </c>
      <c r="B203" s="5"/>
      <c r="C203" s="5" t="s">
        <v>2</v>
      </c>
      <c r="D203" s="8">
        <f>SUM(D195:D202)</f>
        <v>958375</v>
      </c>
      <c r="E203" s="2"/>
      <c r="F203" s="13" t="s">
        <v>13</v>
      </c>
      <c r="G203" s="5"/>
      <c r="H203" s="5" t="s">
        <v>2</v>
      </c>
      <c r="I203" s="14">
        <f>SUM(I195:I202)</f>
        <v>220000</v>
      </c>
      <c r="J203" s="2"/>
      <c r="K203" s="13" t="s">
        <v>13</v>
      </c>
      <c r="L203" s="5"/>
      <c r="M203" s="5" t="s">
        <v>2</v>
      </c>
      <c r="N203" s="14">
        <f>SUM(N195:N202)</f>
        <v>800000</v>
      </c>
      <c r="O203" s="3"/>
    </row>
    <row r="204" spans="1:15" ht="15" x14ac:dyDescent="0.35">
      <c r="A204" s="1" t="s">
        <v>14</v>
      </c>
      <c r="B204" s="2"/>
      <c r="C204" s="2" t="s">
        <v>2</v>
      </c>
      <c r="D204" s="8">
        <f>[37]krnmei!$J$1126</f>
        <v>6725000</v>
      </c>
      <c r="E204" s="2"/>
      <c r="F204" s="1" t="s">
        <v>14</v>
      </c>
      <c r="G204" s="2"/>
      <c r="H204" s="2" t="s">
        <v>2</v>
      </c>
      <c r="I204" s="7">
        <f>[7]krnmei!$O$1391</f>
        <v>6000000</v>
      </c>
      <c r="J204" s="2"/>
      <c r="K204" s="1" t="s">
        <v>14</v>
      </c>
      <c r="L204" s="2"/>
      <c r="M204" s="2" t="s">
        <v>2</v>
      </c>
      <c r="N204" s="7">
        <v>0</v>
      </c>
      <c r="O204" s="3"/>
    </row>
    <row r="205" spans="1:15" ht="15" x14ac:dyDescent="0.35">
      <c r="A205" s="1"/>
      <c r="B205" s="2"/>
      <c r="C205" s="15"/>
      <c r="D205" s="15" t="str">
        <f>D186</f>
        <v>Grogol, 02 Januari 2026</v>
      </c>
      <c r="E205" s="2"/>
      <c r="F205" s="1"/>
      <c r="G205" s="2"/>
      <c r="H205" s="15"/>
      <c r="I205" s="15" t="str">
        <f>D205</f>
        <v>Grogol, 02 Januari 2026</v>
      </c>
      <c r="J205" s="15"/>
      <c r="K205" s="1"/>
      <c r="L205" s="2"/>
      <c r="M205" s="15"/>
      <c r="N205" s="15" t="str">
        <f>I205</f>
        <v>Grogol, 02 Januari 2026</v>
      </c>
      <c r="O205" s="16"/>
    </row>
    <row r="206" spans="1:15" ht="15" x14ac:dyDescent="0.35">
      <c r="A206" s="1"/>
      <c r="B206" s="2"/>
      <c r="C206" s="2"/>
      <c r="D206" s="15" t="s">
        <v>15</v>
      </c>
      <c r="E206" s="15"/>
      <c r="F206" s="1"/>
      <c r="G206" s="2"/>
      <c r="H206" s="2"/>
      <c r="I206" s="15" t="s">
        <v>15</v>
      </c>
      <c r="J206" s="2"/>
      <c r="K206" s="1"/>
      <c r="L206" s="2"/>
      <c r="M206" s="2"/>
      <c r="N206" s="15" t="s">
        <v>15</v>
      </c>
      <c r="O206" s="3"/>
    </row>
    <row r="207" spans="1:15" ht="15" x14ac:dyDescent="0.35">
      <c r="A207" s="1"/>
      <c r="B207" s="2"/>
      <c r="C207" s="2"/>
      <c r="D207" s="15"/>
      <c r="E207" s="2"/>
      <c r="F207" s="1"/>
      <c r="G207" s="2"/>
      <c r="H207" s="2"/>
      <c r="I207" s="15"/>
      <c r="J207" s="2"/>
      <c r="K207" s="1"/>
      <c r="L207" s="2"/>
      <c r="M207" s="2"/>
      <c r="N207" s="15"/>
      <c r="O207" s="3"/>
    </row>
    <row r="208" spans="1:15" ht="15" x14ac:dyDescent="0.35">
      <c r="A208" s="1"/>
      <c r="B208" s="2"/>
      <c r="C208" s="2"/>
      <c r="D208" s="15"/>
      <c r="E208" s="2"/>
      <c r="F208" s="1"/>
      <c r="G208" s="2"/>
      <c r="H208" s="2"/>
      <c r="I208" s="15"/>
      <c r="J208" s="2"/>
      <c r="K208" s="1"/>
      <c r="L208" s="2"/>
      <c r="M208" s="2"/>
      <c r="N208" s="15"/>
      <c r="O208" s="3"/>
    </row>
    <row r="209" spans="1:15" ht="15.6" thickBot="1" x14ac:dyDescent="0.4">
      <c r="A209" s="17"/>
      <c r="B209" s="18"/>
      <c r="C209" s="18"/>
      <c r="D209" s="19" t="s">
        <v>16</v>
      </c>
      <c r="E209" s="18"/>
      <c r="F209" s="17"/>
      <c r="G209" s="18"/>
      <c r="H209" s="18"/>
      <c r="I209" s="19" t="s">
        <v>16</v>
      </c>
      <c r="J209" s="18"/>
      <c r="K209" s="17"/>
      <c r="L209" s="18"/>
      <c r="M209" s="18"/>
      <c r="N209" s="19" t="s">
        <v>16</v>
      </c>
      <c r="O209" s="20"/>
    </row>
    <row r="210" spans="1:15" ht="15" x14ac:dyDescent="0.35">
      <c r="A210" s="46" t="s">
        <v>0</v>
      </c>
      <c r="B210" s="47"/>
      <c r="C210" s="47"/>
      <c r="D210" s="47"/>
      <c r="E210" s="47"/>
      <c r="F210" s="46" t="s">
        <v>0</v>
      </c>
      <c r="G210" s="47"/>
      <c r="H210" s="47"/>
      <c r="I210" s="47"/>
      <c r="J210" s="47"/>
      <c r="K210" s="46" t="s">
        <v>0</v>
      </c>
      <c r="L210" s="47"/>
      <c r="M210" s="47"/>
      <c r="N210" s="47"/>
      <c r="O210" s="48"/>
    </row>
    <row r="211" spans="1:15" ht="15" x14ac:dyDescent="0.35">
      <c r="A211" s="1"/>
      <c r="B211" s="2"/>
      <c r="C211" s="2"/>
      <c r="D211" s="2"/>
      <c r="E211" s="2"/>
      <c r="F211" s="1"/>
      <c r="G211" s="2"/>
      <c r="H211" s="2"/>
      <c r="I211" s="2"/>
      <c r="J211" s="2"/>
      <c r="K211" s="1"/>
      <c r="L211" s="2"/>
      <c r="M211" s="2"/>
      <c r="N211" s="2"/>
      <c r="O211" s="3"/>
    </row>
    <row r="212" spans="1:15" ht="15" x14ac:dyDescent="0.35">
      <c r="A212" s="1" t="s">
        <v>1</v>
      </c>
      <c r="B212" s="2" t="s">
        <v>2</v>
      </c>
      <c r="C212" s="50" t="str">
        <f>[17]krnmei!$B$1174</f>
        <v>SRI WAHYUNINGSIH</v>
      </c>
      <c r="D212" s="50"/>
      <c r="E212" s="4">
        <v>45</v>
      </c>
      <c r="F212" s="1" t="s">
        <v>1</v>
      </c>
      <c r="G212" s="2" t="s">
        <v>2</v>
      </c>
      <c r="H212" s="50" t="s">
        <v>35</v>
      </c>
      <c r="I212" s="50"/>
      <c r="J212" s="4">
        <v>30</v>
      </c>
      <c r="K212" s="1" t="s">
        <v>1</v>
      </c>
      <c r="L212" s="2" t="s">
        <v>2</v>
      </c>
      <c r="M212" s="52" t="s">
        <v>70</v>
      </c>
      <c r="N212" s="52"/>
      <c r="O212" s="6">
        <v>29</v>
      </c>
    </row>
    <row r="213" spans="1:15" ht="15" x14ac:dyDescent="0.35">
      <c r="A213" s="1" t="s">
        <v>4</v>
      </c>
      <c r="B213" s="2"/>
      <c r="C213" s="2" t="s">
        <v>2</v>
      </c>
      <c r="D213" s="2"/>
      <c r="F213" s="1" t="s">
        <v>4</v>
      </c>
      <c r="G213" s="2"/>
      <c r="H213" s="2" t="s">
        <v>2</v>
      </c>
      <c r="I213" s="2"/>
      <c r="J213" s="2"/>
      <c r="K213" s="1" t="s">
        <v>4</v>
      </c>
      <c r="L213" s="2"/>
      <c r="M213" s="2" t="s">
        <v>2</v>
      </c>
      <c r="N213" s="2"/>
      <c r="O213" s="3"/>
    </row>
    <row r="214" spans="1:15" ht="15" x14ac:dyDescent="0.35">
      <c r="A214" s="1" t="s">
        <v>5</v>
      </c>
      <c r="B214" s="2"/>
      <c r="C214" s="2" t="s">
        <v>2</v>
      </c>
      <c r="D214" s="8">
        <f>'[3]KARNING 2021'!$C$667</f>
        <v>100000</v>
      </c>
      <c r="E214" s="2"/>
      <c r="F214" s="1" t="s">
        <v>83</v>
      </c>
      <c r="G214" s="2"/>
      <c r="H214" s="2" t="s">
        <v>2</v>
      </c>
      <c r="I214" s="8">
        <f>[18]krnmei!$C$693</f>
        <v>15000</v>
      </c>
      <c r="J214" s="2"/>
      <c r="K214" s="1" t="s">
        <v>82</v>
      </c>
      <c r="L214" s="2"/>
      <c r="M214" s="2" t="s">
        <v>2</v>
      </c>
      <c r="N214" s="8">
        <v>100000</v>
      </c>
      <c r="O214" s="3"/>
    </row>
    <row r="215" spans="1:15" ht="15" x14ac:dyDescent="0.35">
      <c r="A215" s="1" t="s">
        <v>6</v>
      </c>
      <c r="B215" s="2"/>
      <c r="C215" s="2" t="s">
        <v>2</v>
      </c>
      <c r="D215" s="8">
        <f>'[3]KARNING 2021'!$D$667</f>
        <v>25000</v>
      </c>
      <c r="E215" s="2"/>
      <c r="F215" s="1" t="s">
        <v>6</v>
      </c>
      <c r="G215" s="2"/>
      <c r="H215" s="2" t="s">
        <v>2</v>
      </c>
      <c r="I215" s="8">
        <f>'[3]KARNING 2021'!$D$684</f>
        <v>10000</v>
      </c>
      <c r="J215" s="2"/>
      <c r="K215" s="1" t="s">
        <v>6</v>
      </c>
      <c r="L215" s="2"/>
      <c r="M215" s="2" t="s">
        <v>2</v>
      </c>
      <c r="N215" s="8">
        <v>50000</v>
      </c>
      <c r="O215" s="3"/>
    </row>
    <row r="216" spans="1:15" ht="15" x14ac:dyDescent="0.35">
      <c r="A216" s="1" t="s">
        <v>7</v>
      </c>
      <c r="B216" s="2"/>
      <c r="C216" s="2" t="s">
        <v>2</v>
      </c>
      <c r="D216" s="8">
        <f>[30]krnmei!$E$1183+50000</f>
        <v>100000</v>
      </c>
      <c r="E216" s="2"/>
      <c r="F216" s="1" t="s">
        <v>7</v>
      </c>
      <c r="G216" s="2"/>
      <c r="H216" s="2" t="s">
        <v>2</v>
      </c>
      <c r="I216" s="8">
        <f>[10]krnmei!$E$689</f>
        <v>200000</v>
      </c>
      <c r="J216" s="2"/>
      <c r="K216" s="1" t="s">
        <v>7</v>
      </c>
      <c r="L216" s="2"/>
      <c r="M216" s="2" t="s">
        <v>2</v>
      </c>
      <c r="N216" s="8">
        <v>100000</v>
      </c>
      <c r="O216" s="3"/>
    </row>
    <row r="217" spans="1:15" ht="15" x14ac:dyDescent="0.35">
      <c r="A217" s="1" t="s">
        <v>8</v>
      </c>
      <c r="B217" s="21"/>
      <c r="C217" s="2" t="s">
        <v>2</v>
      </c>
      <c r="D217" s="25"/>
      <c r="E217" s="2"/>
      <c r="F217" s="1" t="s">
        <v>8</v>
      </c>
      <c r="G217" s="21">
        <v>6</v>
      </c>
      <c r="H217" s="2" t="s">
        <v>2</v>
      </c>
      <c r="I217" s="8">
        <f>[31]krnmei!$I$691</f>
        <v>1500000</v>
      </c>
      <c r="J217" s="2"/>
      <c r="K217" s="1" t="s">
        <v>8</v>
      </c>
      <c r="L217" s="21">
        <v>0</v>
      </c>
      <c r="M217" s="2"/>
      <c r="N217" s="25">
        <v>0</v>
      </c>
      <c r="O217" s="3"/>
    </row>
    <row r="218" spans="1:15" ht="15" x14ac:dyDescent="0.35">
      <c r="A218" s="1" t="s">
        <v>9</v>
      </c>
      <c r="B218" s="2"/>
      <c r="C218" s="2" t="s">
        <v>2</v>
      </c>
      <c r="D218" s="25">
        <v>0</v>
      </c>
      <c r="E218" s="2"/>
      <c r="F218" s="1" t="s">
        <v>9</v>
      </c>
      <c r="G218" s="2"/>
      <c r="H218" s="2" t="s">
        <v>2</v>
      </c>
      <c r="I218" s="11">
        <f>[37]krnmei!$K$684</f>
        <v>187500</v>
      </c>
      <c r="J218" s="2"/>
      <c r="K218" s="1" t="s">
        <v>9</v>
      </c>
      <c r="L218" s="2"/>
      <c r="M218" s="2" t="s">
        <v>2</v>
      </c>
      <c r="N218" s="11">
        <v>0</v>
      </c>
      <c r="O218" s="3"/>
    </row>
    <row r="219" spans="1:15" ht="15" x14ac:dyDescent="0.35">
      <c r="A219" s="1" t="s">
        <v>10</v>
      </c>
      <c r="B219" s="2"/>
      <c r="C219" s="2" t="s">
        <v>2</v>
      </c>
      <c r="D219" s="8">
        <v>0</v>
      </c>
      <c r="E219" s="2"/>
      <c r="F219" s="1" t="s">
        <v>10</v>
      </c>
      <c r="G219" s="2"/>
      <c r="H219" s="2" t="s">
        <v>2</v>
      </c>
      <c r="I219" s="8">
        <v>0</v>
      </c>
      <c r="J219" s="2"/>
      <c r="K219" s="1" t="s">
        <v>10</v>
      </c>
      <c r="L219" s="2">
        <v>0</v>
      </c>
      <c r="M219" s="2" t="s">
        <v>2</v>
      </c>
      <c r="N219" s="8">
        <v>0</v>
      </c>
      <c r="O219" s="3"/>
    </row>
    <row r="220" spans="1:15" ht="15" x14ac:dyDescent="0.35">
      <c r="A220" s="1" t="s">
        <v>11</v>
      </c>
      <c r="B220" s="2"/>
      <c r="C220" s="2" t="s">
        <v>2</v>
      </c>
      <c r="D220" s="25">
        <v>0</v>
      </c>
      <c r="E220" s="2"/>
      <c r="F220" s="1" t="s">
        <v>11</v>
      </c>
      <c r="G220" s="2"/>
      <c r="H220" s="2" t="s">
        <v>2</v>
      </c>
      <c r="I220" s="9">
        <f>-I2190</f>
        <v>0</v>
      </c>
      <c r="J220" s="2"/>
      <c r="K220" s="1" t="s">
        <v>11</v>
      </c>
      <c r="L220" s="2"/>
      <c r="M220" s="2" t="s">
        <v>2</v>
      </c>
      <c r="N220" s="8">
        <v>0</v>
      </c>
      <c r="O220" s="3"/>
    </row>
    <row r="221" spans="1:15" ht="15" x14ac:dyDescent="0.35">
      <c r="A221" s="1" t="s">
        <v>12</v>
      </c>
      <c r="B221" s="2"/>
      <c r="C221" s="2" t="s">
        <v>2</v>
      </c>
      <c r="D221" s="7">
        <f>[17]krnmei!$F$1179</f>
        <v>25000</v>
      </c>
      <c r="E221" s="2"/>
      <c r="F221" s="1" t="s">
        <v>12</v>
      </c>
      <c r="G221" s="2"/>
      <c r="H221" s="2" t="s">
        <v>2</v>
      </c>
      <c r="I221" s="8">
        <f>[4]krnmei!$F$684</f>
        <v>0</v>
      </c>
      <c r="J221" s="2"/>
      <c r="K221" s="1" t="s">
        <v>12</v>
      </c>
      <c r="L221" s="2"/>
      <c r="M221" s="2" t="s">
        <v>2</v>
      </c>
      <c r="N221" s="8">
        <v>50000</v>
      </c>
      <c r="O221" s="3"/>
    </row>
    <row r="222" spans="1:15" ht="15" x14ac:dyDescent="0.35">
      <c r="A222" s="13" t="s">
        <v>13</v>
      </c>
      <c r="B222" s="5"/>
      <c r="C222" s="5" t="s">
        <v>2</v>
      </c>
      <c r="D222" s="24">
        <f>SUM(D214:D221)</f>
        <v>250000</v>
      </c>
      <c r="E222" s="2"/>
      <c r="F222" s="13" t="s">
        <v>13</v>
      </c>
      <c r="G222" s="5"/>
      <c r="H222" s="5" t="s">
        <v>2</v>
      </c>
      <c r="I222" s="24">
        <f>SUM(I214:I221)</f>
        <v>1912500</v>
      </c>
      <c r="J222" s="2"/>
      <c r="K222" s="13" t="s">
        <v>13</v>
      </c>
      <c r="L222" s="5"/>
      <c r="M222" s="5" t="s">
        <v>2</v>
      </c>
      <c r="N222" s="24">
        <f>SUM(N214:N221)</f>
        <v>300000</v>
      </c>
      <c r="O222" s="3"/>
    </row>
    <row r="223" spans="1:15" ht="15" x14ac:dyDescent="0.35">
      <c r="A223" s="1" t="s">
        <v>14</v>
      </c>
      <c r="B223" s="2"/>
      <c r="C223" s="2" t="s">
        <v>2</v>
      </c>
      <c r="D223" s="25">
        <v>0</v>
      </c>
      <c r="E223" s="2"/>
      <c r="F223" s="1" t="s">
        <v>14</v>
      </c>
      <c r="G223" s="2"/>
      <c r="H223" s="2" t="s">
        <v>2</v>
      </c>
      <c r="I223" s="25">
        <f>[37]krnmei!$J$684</f>
        <v>11000000</v>
      </c>
      <c r="J223" s="2"/>
      <c r="K223" s="1" t="s">
        <v>14</v>
      </c>
      <c r="L223" s="2"/>
      <c r="M223" s="2" t="s">
        <v>2</v>
      </c>
      <c r="N223" s="25">
        <v>0</v>
      </c>
      <c r="O223" s="3"/>
    </row>
    <row r="224" spans="1:15" ht="15" x14ac:dyDescent="0.35">
      <c r="A224" s="1"/>
      <c r="B224" s="2"/>
      <c r="C224" s="15"/>
      <c r="D224" s="15" t="str">
        <f>D205</f>
        <v>Grogol, 02 Januari 2026</v>
      </c>
      <c r="E224" s="2"/>
      <c r="F224" s="1"/>
      <c r="G224" s="2"/>
      <c r="H224" s="15"/>
      <c r="I224" s="15" t="str">
        <f>D224</f>
        <v>Grogol, 02 Januari 2026</v>
      </c>
      <c r="J224" s="15"/>
      <c r="K224" s="1"/>
      <c r="L224" s="2"/>
      <c r="M224" s="15"/>
      <c r="N224" s="15" t="str">
        <f>I224</f>
        <v>Grogol, 02 Januari 2026</v>
      </c>
      <c r="O224" s="16"/>
    </row>
    <row r="225" spans="1:15" ht="15" x14ac:dyDescent="0.35">
      <c r="A225" s="1"/>
      <c r="B225" s="2"/>
      <c r="C225" s="2"/>
      <c r="D225" s="15" t="s">
        <v>15</v>
      </c>
      <c r="E225" s="15"/>
      <c r="F225" s="1"/>
      <c r="G225" s="2"/>
      <c r="H225" s="2"/>
      <c r="I225" s="15" t="s">
        <v>15</v>
      </c>
      <c r="J225" s="2"/>
      <c r="K225" s="1"/>
      <c r="L225" s="2"/>
      <c r="M225" s="2"/>
      <c r="N225" s="15" t="s">
        <v>15</v>
      </c>
      <c r="O225" s="3"/>
    </row>
    <row r="226" spans="1:15" ht="15" x14ac:dyDescent="0.35">
      <c r="A226" s="1"/>
      <c r="B226" s="2"/>
      <c r="C226" s="2"/>
      <c r="D226" s="15"/>
      <c r="E226" s="2"/>
      <c r="F226" s="1"/>
      <c r="G226" s="2"/>
      <c r="H226" s="2"/>
      <c r="I226" s="15"/>
      <c r="J226" s="2"/>
      <c r="K226" s="1"/>
      <c r="L226" s="2"/>
      <c r="M226" s="2"/>
      <c r="N226" s="15"/>
      <c r="O226" s="3"/>
    </row>
    <row r="227" spans="1:15" ht="15" x14ac:dyDescent="0.35">
      <c r="A227" s="1"/>
      <c r="B227" s="2"/>
      <c r="C227" s="2"/>
      <c r="D227" s="15"/>
      <c r="E227" s="2"/>
      <c r="F227" s="1"/>
      <c r="G227" s="2"/>
      <c r="H227" s="2"/>
      <c r="I227" s="15"/>
      <c r="J227" s="2"/>
      <c r="K227" s="1"/>
      <c r="L227" s="2"/>
      <c r="M227" s="2"/>
      <c r="N227" s="15"/>
      <c r="O227" s="3"/>
    </row>
    <row r="228" spans="1:15" ht="15.6" thickBot="1" x14ac:dyDescent="0.4">
      <c r="A228" s="17"/>
      <c r="B228" s="18"/>
      <c r="C228" s="18"/>
      <c r="D228" s="19" t="s">
        <v>16</v>
      </c>
      <c r="E228" s="18"/>
      <c r="F228" s="17"/>
      <c r="G228" s="18"/>
      <c r="H228" s="18"/>
      <c r="I228" s="19" t="s">
        <v>16</v>
      </c>
      <c r="J228" s="18"/>
      <c r="K228" s="17"/>
      <c r="L228" s="18"/>
      <c r="M228" s="18"/>
      <c r="N228" s="19" t="s">
        <v>16</v>
      </c>
      <c r="O228" s="20"/>
    </row>
    <row r="229" spans="1:15" ht="15" x14ac:dyDescent="0.35">
      <c r="A229" s="46" t="s">
        <v>0</v>
      </c>
      <c r="B229" s="47"/>
      <c r="C229" s="47"/>
      <c r="D229" s="47"/>
      <c r="E229" s="47"/>
      <c r="F229" s="46" t="s">
        <v>0</v>
      </c>
      <c r="G229" s="47"/>
      <c r="H229" s="47"/>
      <c r="I229" s="47"/>
      <c r="J229" s="47"/>
      <c r="K229" s="46" t="s">
        <v>0</v>
      </c>
      <c r="L229" s="47"/>
      <c r="M229" s="47"/>
      <c r="N229" s="47"/>
      <c r="O229" s="48"/>
    </row>
    <row r="230" spans="1:15" ht="15" x14ac:dyDescent="0.35">
      <c r="A230" s="1"/>
      <c r="B230" s="2"/>
      <c r="C230" s="2"/>
      <c r="D230" s="2"/>
      <c r="E230" s="2"/>
      <c r="F230" s="1"/>
      <c r="G230" s="2"/>
      <c r="H230" s="2"/>
      <c r="I230" s="2"/>
      <c r="J230" s="2"/>
      <c r="K230" s="1"/>
      <c r="L230" s="2"/>
      <c r="M230" s="2"/>
      <c r="N230" s="2"/>
      <c r="O230" s="3"/>
    </row>
    <row r="231" spans="1:15" ht="15" x14ac:dyDescent="0.35">
      <c r="A231" s="1" t="s">
        <v>1</v>
      </c>
      <c r="B231" s="2" t="s">
        <v>2</v>
      </c>
      <c r="C231" s="5"/>
      <c r="D231" s="5" t="str">
        <f>[17]krnmei!$B$1157</f>
        <v>FAHIMAH D</v>
      </c>
      <c r="E231" s="4">
        <v>21</v>
      </c>
      <c r="F231" s="1" t="s">
        <v>1</v>
      </c>
      <c r="G231" s="2" t="s">
        <v>2</v>
      </c>
      <c r="H231" s="51" t="s">
        <v>36</v>
      </c>
      <c r="I231" s="51"/>
      <c r="J231" s="4">
        <v>31</v>
      </c>
      <c r="K231" s="1" t="s">
        <v>1</v>
      </c>
      <c r="L231" s="2" t="s">
        <v>2</v>
      </c>
      <c r="M231" s="51" t="s">
        <v>37</v>
      </c>
      <c r="N231" s="51"/>
      <c r="O231" s="6">
        <v>32</v>
      </c>
    </row>
    <row r="232" spans="1:15" ht="15" x14ac:dyDescent="0.35">
      <c r="A232" s="1" t="s">
        <v>4</v>
      </c>
      <c r="B232" s="2"/>
      <c r="C232" s="2" t="s">
        <v>2</v>
      </c>
      <c r="D232" s="2"/>
      <c r="F232" s="1" t="s">
        <v>4</v>
      </c>
      <c r="G232" s="2"/>
      <c r="H232" s="2" t="s">
        <v>2</v>
      </c>
      <c r="I232" s="2"/>
      <c r="J232" s="2"/>
      <c r="K232" s="1" t="s">
        <v>4</v>
      </c>
      <c r="L232" s="2"/>
      <c r="M232" s="2" t="s">
        <v>2</v>
      </c>
      <c r="N232" s="2"/>
      <c r="O232" s="3"/>
    </row>
    <row r="233" spans="1:15" ht="15" x14ac:dyDescent="0.35">
      <c r="A233" s="1" t="s">
        <v>5</v>
      </c>
      <c r="B233" s="2"/>
      <c r="C233" s="2" t="s">
        <v>2</v>
      </c>
      <c r="D233" s="8">
        <f>[17]krnmei!$C$1162</f>
        <v>100000</v>
      </c>
      <c r="E233" s="2"/>
      <c r="F233" s="1" t="s">
        <v>5</v>
      </c>
      <c r="G233" s="2"/>
      <c r="H233" s="2" t="s">
        <v>2</v>
      </c>
      <c r="I233" s="8">
        <f>[18]krnmei!$C$744</f>
        <v>15000</v>
      </c>
      <c r="J233" s="2"/>
      <c r="K233" s="1" t="s">
        <v>5</v>
      </c>
      <c r="L233" s="2"/>
      <c r="M233" s="2" t="s">
        <v>2</v>
      </c>
      <c r="N233" s="8">
        <f>'[3]KARNING 2021'!$C$752</f>
        <v>10000</v>
      </c>
      <c r="O233" s="3"/>
    </row>
    <row r="234" spans="1:15" ht="15" x14ac:dyDescent="0.35">
      <c r="A234" s="1" t="s">
        <v>6</v>
      </c>
      <c r="B234" s="2"/>
      <c r="C234" s="2" t="s">
        <v>2</v>
      </c>
      <c r="D234" s="8">
        <v>100000</v>
      </c>
      <c r="E234" s="2"/>
      <c r="F234" s="1" t="s">
        <v>6</v>
      </c>
      <c r="G234" s="2"/>
      <c r="H234" s="2" t="s">
        <v>2</v>
      </c>
      <c r="I234" s="8">
        <f>'[3]KARNING 2021'!$D$735</f>
        <v>5000</v>
      </c>
      <c r="J234" s="2"/>
      <c r="K234" s="1" t="s">
        <v>6</v>
      </c>
      <c r="L234" s="2"/>
      <c r="M234" s="2" t="s">
        <v>2</v>
      </c>
      <c r="N234" s="8">
        <f>'[3]KARNING 2021'!$D$752</f>
        <v>15000</v>
      </c>
      <c r="O234" s="3"/>
    </row>
    <row r="235" spans="1:15" ht="15" x14ac:dyDescent="0.35">
      <c r="A235" s="1" t="s">
        <v>7</v>
      </c>
      <c r="B235" s="2"/>
      <c r="C235" s="2" t="s">
        <v>2</v>
      </c>
      <c r="D235" s="8">
        <f>[17]krnmei!$E$1162</f>
        <v>50000</v>
      </c>
      <c r="E235" s="2"/>
      <c r="F235" s="1" t="s">
        <v>7</v>
      </c>
      <c r="G235" s="2"/>
      <c r="H235" s="2" t="s">
        <v>2</v>
      </c>
      <c r="I235" s="8">
        <f>'[3]KARNING 2021'!$E$735</f>
        <v>150000</v>
      </c>
      <c r="J235" s="2"/>
      <c r="K235" s="1" t="s">
        <v>7</v>
      </c>
      <c r="L235" s="2"/>
      <c r="M235" s="2" t="s">
        <v>2</v>
      </c>
      <c r="N235" s="8">
        <v>0</v>
      </c>
      <c r="O235" s="3"/>
    </row>
    <row r="236" spans="1:15" ht="15" x14ac:dyDescent="0.35">
      <c r="A236" s="1" t="s">
        <v>8</v>
      </c>
      <c r="B236" s="21"/>
      <c r="C236" s="2" t="s">
        <v>2</v>
      </c>
      <c r="D236" s="8">
        <v>0</v>
      </c>
      <c r="E236" s="2"/>
      <c r="F236" s="1" t="s">
        <v>8</v>
      </c>
      <c r="G236" s="2">
        <v>36</v>
      </c>
      <c r="H236" s="2" t="s">
        <v>2</v>
      </c>
      <c r="I236" s="8">
        <f>[32]krnmei!$I$736</f>
        <v>250000</v>
      </c>
      <c r="J236" s="2"/>
      <c r="K236" s="1" t="s">
        <v>8</v>
      </c>
      <c r="L236" s="2">
        <v>62</v>
      </c>
      <c r="M236" s="2" t="s">
        <v>2</v>
      </c>
      <c r="N236" s="8">
        <f>[4]krnmei!$I$752</f>
        <v>200000</v>
      </c>
      <c r="O236" s="3"/>
    </row>
    <row r="237" spans="1:15" ht="15" x14ac:dyDescent="0.35">
      <c r="A237" s="1" t="s">
        <v>9</v>
      </c>
      <c r="B237" s="2"/>
      <c r="C237" s="2" t="s">
        <v>2</v>
      </c>
      <c r="D237" s="30">
        <f>[11]krnmei!$K$1169</f>
        <v>0</v>
      </c>
      <c r="E237" s="2"/>
      <c r="F237" s="1" t="s">
        <v>9</v>
      </c>
      <c r="G237" s="2"/>
      <c r="H237" s="2" t="s">
        <v>2</v>
      </c>
      <c r="I237" s="30">
        <f>[37]krnmei!$K$735</f>
        <v>93750</v>
      </c>
      <c r="J237" s="2"/>
      <c r="K237" s="1" t="s">
        <v>9</v>
      </c>
      <c r="L237" s="2"/>
      <c r="M237" s="2" t="s">
        <v>2</v>
      </c>
      <c r="N237" s="11">
        <f>[37]krnmei!$K$752</f>
        <v>104250</v>
      </c>
      <c r="O237" s="3"/>
    </row>
    <row r="238" spans="1:15" ht="15" x14ac:dyDescent="0.35">
      <c r="A238" s="1" t="s">
        <v>10</v>
      </c>
      <c r="B238" s="2"/>
      <c r="C238" s="2" t="s">
        <v>2</v>
      </c>
      <c r="D238" s="8">
        <v>0</v>
      </c>
      <c r="E238" s="2"/>
      <c r="F238" s="1" t="s">
        <v>10</v>
      </c>
      <c r="G238" s="2">
        <v>0</v>
      </c>
      <c r="H238" s="2" t="s">
        <v>2</v>
      </c>
      <c r="I238" s="8">
        <v>0</v>
      </c>
      <c r="J238" s="2"/>
      <c r="K238" s="1" t="s">
        <v>10</v>
      </c>
      <c r="L238" s="21">
        <v>0</v>
      </c>
      <c r="M238" s="2" t="s">
        <v>2</v>
      </c>
      <c r="N238" s="8"/>
      <c r="O238" s="3"/>
    </row>
    <row r="239" spans="1:15" ht="15" x14ac:dyDescent="0.35">
      <c r="A239" s="1" t="s">
        <v>11</v>
      </c>
      <c r="B239" s="2"/>
      <c r="C239" s="2" t="s">
        <v>2</v>
      </c>
      <c r="D239" s="9">
        <f>[12]krnmei!$P$1171</f>
        <v>160000</v>
      </c>
      <c r="E239" s="2"/>
      <c r="F239" s="1" t="s">
        <v>11</v>
      </c>
      <c r="G239" s="2"/>
      <c r="H239" s="2" t="s">
        <v>2</v>
      </c>
      <c r="I239" s="9">
        <v>0</v>
      </c>
      <c r="J239" s="2"/>
      <c r="K239" s="1" t="s">
        <v>11</v>
      </c>
      <c r="L239" s="2"/>
      <c r="M239" s="2" t="s">
        <v>2</v>
      </c>
      <c r="N239" s="22">
        <v>0</v>
      </c>
      <c r="O239" s="3"/>
    </row>
    <row r="240" spans="1:15" ht="15" x14ac:dyDescent="0.35">
      <c r="A240" s="1" t="s">
        <v>12</v>
      </c>
      <c r="B240" s="2"/>
      <c r="C240" s="2" t="s">
        <v>2</v>
      </c>
      <c r="D240" s="8">
        <f>[17]krnmei!$F$1162</f>
        <v>50000</v>
      </c>
      <c r="E240" s="2"/>
      <c r="F240" s="1" t="s">
        <v>12</v>
      </c>
      <c r="G240" s="2"/>
      <c r="H240" s="2" t="s">
        <v>2</v>
      </c>
      <c r="I240" s="8">
        <f>'[3]KARNING 2021'!$F$735</f>
        <v>30000</v>
      </c>
      <c r="J240" s="2"/>
      <c r="K240" s="1" t="s">
        <v>12</v>
      </c>
      <c r="L240" s="2"/>
      <c r="M240" s="2" t="s">
        <v>2</v>
      </c>
      <c r="N240" s="8">
        <v>0</v>
      </c>
      <c r="O240" s="3"/>
    </row>
    <row r="241" spans="1:15" ht="15" x14ac:dyDescent="0.35">
      <c r="A241" s="13" t="s">
        <v>13</v>
      </c>
      <c r="B241" s="5"/>
      <c r="C241" s="5" t="s">
        <v>2</v>
      </c>
      <c r="D241" s="24">
        <f>SUM(D233:D240)</f>
        <v>460000</v>
      </c>
      <c r="E241" s="2"/>
      <c r="F241" s="13" t="s">
        <v>13</v>
      </c>
      <c r="G241" s="5"/>
      <c r="H241" s="5" t="s">
        <v>2</v>
      </c>
      <c r="I241" s="24">
        <f>SUM(I233:I240)</f>
        <v>543750</v>
      </c>
      <c r="J241" s="2"/>
      <c r="K241" s="13" t="s">
        <v>13</v>
      </c>
      <c r="L241" s="5"/>
      <c r="M241" s="5" t="s">
        <v>2</v>
      </c>
      <c r="N241" s="24">
        <f>SUM(N233:N240)</f>
        <v>329250</v>
      </c>
      <c r="O241" s="3"/>
    </row>
    <row r="242" spans="1:15" ht="15" x14ac:dyDescent="0.35">
      <c r="A242" s="1" t="s">
        <v>14</v>
      </c>
      <c r="B242" s="2"/>
      <c r="C242" s="2" t="s">
        <v>2</v>
      </c>
      <c r="D242" s="25">
        <f>[12]krnmei!$O$1171</f>
        <v>8000000</v>
      </c>
      <c r="E242" s="2"/>
      <c r="F242" s="1" t="s">
        <v>14</v>
      </c>
      <c r="G242" s="2"/>
      <c r="H242" s="2" t="s">
        <v>2</v>
      </c>
      <c r="I242" s="25">
        <f>[37]krnmei!$J$735</f>
        <v>6000000</v>
      </c>
      <c r="J242" s="2"/>
      <c r="K242" s="1" t="s">
        <v>14</v>
      </c>
      <c r="L242" s="2"/>
      <c r="M242" s="2" t="s">
        <v>2</v>
      </c>
      <c r="N242" s="27">
        <f>[37]krnmei!$J$752</f>
        <v>6750000</v>
      </c>
      <c r="O242" s="3"/>
    </row>
    <row r="243" spans="1:15" ht="15" x14ac:dyDescent="0.35">
      <c r="A243" s="1"/>
      <c r="B243" s="2"/>
      <c r="C243" s="15"/>
      <c r="D243" s="15" t="str">
        <f>D224</f>
        <v>Grogol, 02 Januari 2026</v>
      </c>
      <c r="E243" s="2"/>
      <c r="F243" s="1"/>
      <c r="G243" s="2"/>
      <c r="H243" s="15"/>
      <c r="I243" s="15" t="str">
        <f>D243</f>
        <v>Grogol, 02 Januari 2026</v>
      </c>
      <c r="J243" s="15"/>
      <c r="K243" s="1"/>
      <c r="L243" s="2"/>
      <c r="M243" s="15"/>
      <c r="N243" s="15" t="str">
        <f>I243</f>
        <v>Grogol, 02 Januari 2026</v>
      </c>
      <c r="O243" s="16"/>
    </row>
    <row r="244" spans="1:15" ht="15" x14ac:dyDescent="0.35">
      <c r="A244" s="1"/>
      <c r="B244" s="2"/>
      <c r="C244" s="2"/>
      <c r="D244" s="15" t="s">
        <v>15</v>
      </c>
      <c r="E244" s="15"/>
      <c r="F244" s="1"/>
      <c r="G244" s="2"/>
      <c r="H244" s="2"/>
      <c r="I244" s="15" t="s">
        <v>15</v>
      </c>
      <c r="J244" s="2"/>
      <c r="K244" s="1"/>
      <c r="L244" s="2"/>
      <c r="M244" s="2"/>
      <c r="N244" s="15" t="s">
        <v>15</v>
      </c>
      <c r="O244" s="3"/>
    </row>
    <row r="245" spans="1:15" ht="15" x14ac:dyDescent="0.35">
      <c r="A245" s="1"/>
      <c r="B245" s="2"/>
      <c r="C245" s="2"/>
      <c r="D245" s="15"/>
      <c r="E245" s="2"/>
      <c r="F245" s="1"/>
      <c r="G245" s="2"/>
      <c r="H245" s="2"/>
      <c r="I245" s="15"/>
      <c r="J245" s="2"/>
      <c r="K245" s="1"/>
      <c r="L245" s="2"/>
      <c r="M245" s="2"/>
      <c r="N245" s="15"/>
      <c r="O245" s="3"/>
    </row>
    <row r="246" spans="1:15" ht="15" x14ac:dyDescent="0.35">
      <c r="A246" s="1"/>
      <c r="B246" s="2"/>
      <c r="C246" s="2"/>
      <c r="D246" s="15"/>
      <c r="E246" s="2"/>
      <c r="F246" s="1"/>
      <c r="G246" s="2"/>
      <c r="H246" s="2"/>
      <c r="I246" s="15"/>
      <c r="J246" s="2"/>
      <c r="K246" s="1"/>
      <c r="L246" s="2"/>
      <c r="M246" s="2"/>
      <c r="N246" s="15"/>
      <c r="O246" s="3"/>
    </row>
    <row r="247" spans="1:15" ht="15.6" thickBot="1" x14ac:dyDescent="0.4">
      <c r="A247" s="17"/>
      <c r="B247" s="18"/>
      <c r="C247" s="18"/>
      <c r="D247" s="19" t="s">
        <v>16</v>
      </c>
      <c r="E247" s="18"/>
      <c r="F247" s="17"/>
      <c r="G247" s="18"/>
      <c r="H247" s="18"/>
      <c r="I247" s="19" t="s">
        <v>16</v>
      </c>
      <c r="J247" s="18"/>
      <c r="K247" s="17"/>
      <c r="L247" s="18"/>
      <c r="M247" s="18"/>
      <c r="N247" s="19" t="s">
        <v>16</v>
      </c>
      <c r="O247" s="20"/>
    </row>
    <row r="248" spans="1:15" ht="15" x14ac:dyDescent="0.35">
      <c r="A248" s="46" t="s">
        <v>0</v>
      </c>
      <c r="B248" s="47"/>
      <c r="C248" s="47"/>
      <c r="D248" s="47"/>
      <c r="E248" s="47"/>
      <c r="F248" s="46" t="s">
        <v>0</v>
      </c>
      <c r="G248" s="47"/>
      <c r="H248" s="47"/>
      <c r="I248" s="47"/>
      <c r="J248" s="47"/>
      <c r="K248" s="46" t="s">
        <v>0</v>
      </c>
      <c r="L248" s="47"/>
      <c r="M248" s="47"/>
      <c r="N248" s="47"/>
      <c r="O248" s="48"/>
    </row>
    <row r="249" spans="1:15" ht="15" x14ac:dyDescent="0.35">
      <c r="A249" s="1"/>
      <c r="B249" s="2"/>
      <c r="C249" s="2"/>
      <c r="D249" s="2"/>
      <c r="E249" s="2"/>
      <c r="F249" s="1"/>
      <c r="G249" s="2"/>
      <c r="H249" s="2"/>
      <c r="I249" s="2"/>
      <c r="J249" s="2"/>
      <c r="K249" s="1"/>
      <c r="L249" s="2"/>
      <c r="M249" s="2"/>
      <c r="N249" s="2"/>
      <c r="O249" s="3"/>
    </row>
    <row r="250" spans="1:15" ht="15" x14ac:dyDescent="0.35">
      <c r="A250" s="1" t="s">
        <v>1</v>
      </c>
      <c r="B250" s="2" t="s">
        <v>2</v>
      </c>
      <c r="C250" s="51" t="s">
        <v>38</v>
      </c>
      <c r="D250" s="51"/>
      <c r="E250" s="4">
        <v>33</v>
      </c>
      <c r="F250" s="1" t="s">
        <v>1</v>
      </c>
      <c r="G250" s="2" t="s">
        <v>2</v>
      </c>
      <c r="H250" s="50" t="s">
        <v>39</v>
      </c>
      <c r="I250" s="50"/>
      <c r="J250" s="4">
        <v>34</v>
      </c>
      <c r="K250" s="1" t="s">
        <v>1</v>
      </c>
      <c r="L250" s="2" t="s">
        <v>2</v>
      </c>
      <c r="M250" s="50" t="s">
        <v>40</v>
      </c>
      <c r="N250" s="50"/>
      <c r="O250" s="6">
        <v>35</v>
      </c>
    </row>
    <row r="251" spans="1:15" ht="15" x14ac:dyDescent="0.35">
      <c r="A251" s="1" t="s">
        <v>4</v>
      </c>
      <c r="B251" s="2"/>
      <c r="C251" s="2" t="s">
        <v>2</v>
      </c>
      <c r="D251" s="2"/>
      <c r="F251" s="1" t="s">
        <v>4</v>
      </c>
      <c r="G251" s="2"/>
      <c r="H251" s="2" t="s">
        <v>2</v>
      </c>
      <c r="I251" s="2"/>
      <c r="J251" s="2"/>
      <c r="K251" s="1" t="s">
        <v>4</v>
      </c>
      <c r="L251" s="2"/>
      <c r="M251" s="2" t="s">
        <v>2</v>
      </c>
      <c r="N251" s="2"/>
      <c r="O251" s="3"/>
    </row>
    <row r="252" spans="1:15" ht="15" x14ac:dyDescent="0.35">
      <c r="A252" s="1" t="s">
        <v>5</v>
      </c>
      <c r="B252" s="2"/>
      <c r="C252" s="2" t="s">
        <v>2</v>
      </c>
      <c r="D252" s="8">
        <f>'[3]KARNING 2021'!$C$769</f>
        <v>15000</v>
      </c>
      <c r="E252" s="2"/>
      <c r="F252" s="1" t="s">
        <v>5</v>
      </c>
      <c r="G252" s="2"/>
      <c r="H252" s="2" t="s">
        <v>2</v>
      </c>
      <c r="I252" s="8">
        <f>'[3]KARNING 2021'!$C$786</f>
        <v>15000</v>
      </c>
      <c r="J252" s="2"/>
      <c r="K252" s="1" t="s">
        <v>5</v>
      </c>
      <c r="L252" s="2"/>
      <c r="M252" s="2" t="s">
        <v>2</v>
      </c>
      <c r="N252" s="8">
        <f>'[3]KARNING 2021'!$C$803</f>
        <v>15000</v>
      </c>
      <c r="O252" s="3"/>
    </row>
    <row r="253" spans="1:15" ht="15" x14ac:dyDescent="0.35">
      <c r="A253" s="1" t="s">
        <v>6</v>
      </c>
      <c r="B253" s="2"/>
      <c r="C253" s="2" t="s">
        <v>2</v>
      </c>
      <c r="D253" s="8">
        <v>0</v>
      </c>
      <c r="E253" s="2"/>
      <c r="F253" s="1" t="s">
        <v>6</v>
      </c>
      <c r="G253" s="2"/>
      <c r="H253" s="2" t="s">
        <v>2</v>
      </c>
      <c r="I253" s="8">
        <f>'[3]KARNING 2021'!$D$786</f>
        <v>20000</v>
      </c>
      <c r="J253" s="2"/>
      <c r="K253" s="1" t="s">
        <v>6</v>
      </c>
      <c r="L253" s="2"/>
      <c r="M253" s="2" t="s">
        <v>2</v>
      </c>
      <c r="N253" s="8">
        <f>'[3]KARNING 2021'!$D$803</f>
        <v>5000</v>
      </c>
      <c r="O253" s="3"/>
    </row>
    <row r="254" spans="1:15" ht="15" x14ac:dyDescent="0.35">
      <c r="A254" s="1" t="s">
        <v>7</v>
      </c>
      <c r="B254" s="2"/>
      <c r="C254" s="2" t="s">
        <v>2</v>
      </c>
      <c r="D254" s="8">
        <v>100000</v>
      </c>
      <c r="E254" s="2"/>
      <c r="F254" s="1" t="s">
        <v>7</v>
      </c>
      <c r="G254" s="2"/>
      <c r="H254" s="2" t="s">
        <v>2</v>
      </c>
      <c r="I254" s="8">
        <f>'[3]KARNING 2021'!$E$786</f>
        <v>200000</v>
      </c>
      <c r="J254" s="2"/>
      <c r="K254" s="1" t="s">
        <v>7</v>
      </c>
      <c r="L254" s="2"/>
      <c r="M254" s="2" t="s">
        <v>2</v>
      </c>
      <c r="N254" s="8">
        <f>'[3]KARNING 2021'!$E$803</f>
        <v>50000</v>
      </c>
      <c r="O254" s="3"/>
    </row>
    <row r="255" spans="1:15" ht="15" x14ac:dyDescent="0.35">
      <c r="A255" s="1" t="s">
        <v>8</v>
      </c>
      <c r="B255" s="21">
        <v>31</v>
      </c>
      <c r="C255" s="2" t="s">
        <v>2</v>
      </c>
      <c r="D255" s="8">
        <v>500000</v>
      </c>
      <c r="E255" s="2"/>
      <c r="F255" s="1" t="s">
        <v>8</v>
      </c>
      <c r="G255" s="21">
        <v>17</v>
      </c>
      <c r="H255" s="2" t="s">
        <v>2</v>
      </c>
      <c r="I255" s="8">
        <f>[4]krnmei!$I$786</f>
        <v>300000</v>
      </c>
      <c r="J255" s="2"/>
      <c r="K255" s="1" t="s">
        <v>8</v>
      </c>
      <c r="L255" s="21">
        <v>9</v>
      </c>
      <c r="M255" s="2" t="s">
        <v>2</v>
      </c>
      <c r="N255" s="25">
        <f>[23]krnmei!$I$807</f>
        <v>300000</v>
      </c>
      <c r="O255" s="3"/>
    </row>
    <row r="256" spans="1:15" ht="15" x14ac:dyDescent="0.35">
      <c r="A256" s="1" t="s">
        <v>9</v>
      </c>
      <c r="B256" s="2"/>
      <c r="C256" s="2" t="s">
        <v>2</v>
      </c>
      <c r="D256" s="11">
        <f>[37]krnmei!$K$769</f>
        <v>15000</v>
      </c>
      <c r="E256" s="2"/>
      <c r="F256" s="1" t="s">
        <v>9</v>
      </c>
      <c r="G256" s="2"/>
      <c r="H256" s="2" t="s">
        <v>2</v>
      </c>
      <c r="I256" s="11">
        <f>[37]krnmei!$K$786</f>
        <v>53250</v>
      </c>
      <c r="J256" s="2"/>
      <c r="K256" s="1" t="s">
        <v>9</v>
      </c>
      <c r="L256" s="2"/>
      <c r="M256" s="2" t="s">
        <v>2</v>
      </c>
      <c r="N256" s="11">
        <f>[37]krnmei!$K$803</f>
        <v>9000</v>
      </c>
      <c r="O256" s="3"/>
    </row>
    <row r="257" spans="1:15" ht="15" x14ac:dyDescent="0.35">
      <c r="A257" s="1" t="s">
        <v>10</v>
      </c>
      <c r="B257" s="2"/>
      <c r="C257" s="2" t="s">
        <v>2</v>
      </c>
      <c r="D257" s="8"/>
      <c r="E257" s="2"/>
      <c r="F257" s="1" t="s">
        <v>10</v>
      </c>
      <c r="G257" s="2">
        <v>0</v>
      </c>
      <c r="H257" s="2" t="s">
        <v>2</v>
      </c>
      <c r="I257" s="8"/>
      <c r="J257" s="2"/>
      <c r="K257" s="1" t="s">
        <v>10</v>
      </c>
      <c r="L257" s="2">
        <v>0</v>
      </c>
      <c r="M257" s="2" t="s">
        <v>2</v>
      </c>
      <c r="N257" s="8"/>
      <c r="O257" s="3"/>
    </row>
    <row r="258" spans="1:15" ht="15" x14ac:dyDescent="0.35">
      <c r="A258" s="1" t="s">
        <v>11</v>
      </c>
      <c r="B258" s="2"/>
      <c r="C258" s="2" t="s">
        <v>2</v>
      </c>
      <c r="D258" s="9">
        <v>0</v>
      </c>
      <c r="E258" s="2"/>
      <c r="F258" s="1" t="s">
        <v>11</v>
      </c>
      <c r="G258" s="2"/>
      <c r="H258" s="2" t="s">
        <v>2</v>
      </c>
      <c r="I258" s="9">
        <v>0</v>
      </c>
      <c r="J258" s="2"/>
      <c r="K258" s="1" t="s">
        <v>11</v>
      </c>
      <c r="L258" s="2"/>
      <c r="M258" s="2" t="s">
        <v>2</v>
      </c>
      <c r="N258" s="9">
        <v>0</v>
      </c>
      <c r="O258" s="3"/>
    </row>
    <row r="259" spans="1:15" ht="15" x14ac:dyDescent="0.35">
      <c r="A259" s="1" t="s">
        <v>12</v>
      </c>
      <c r="B259" s="2"/>
      <c r="C259" s="2" t="s">
        <v>2</v>
      </c>
      <c r="D259" s="8">
        <v>0</v>
      </c>
      <c r="E259" s="2"/>
      <c r="F259" s="1" t="s">
        <v>12</v>
      </c>
      <c r="G259" s="2"/>
      <c r="H259" s="2" t="s">
        <v>2</v>
      </c>
      <c r="I259" s="8">
        <v>50000</v>
      </c>
      <c r="J259" s="2"/>
      <c r="K259" s="1" t="s">
        <v>12</v>
      </c>
      <c r="L259" s="2"/>
      <c r="M259" s="2" t="s">
        <v>2</v>
      </c>
      <c r="N259" s="8">
        <f>'[3]KARNING 2021'!$F$803</f>
        <v>10000</v>
      </c>
      <c r="O259" s="3"/>
    </row>
    <row r="260" spans="1:15" ht="15" x14ac:dyDescent="0.35">
      <c r="A260" s="13" t="s">
        <v>13</v>
      </c>
      <c r="B260" s="5"/>
      <c r="C260" s="5" t="s">
        <v>2</v>
      </c>
      <c r="D260" s="24">
        <f>SUM(D252:D259)</f>
        <v>630000</v>
      </c>
      <c r="E260" s="2"/>
      <c r="F260" s="13" t="s">
        <v>13</v>
      </c>
      <c r="G260" s="5"/>
      <c r="H260" s="5" t="s">
        <v>2</v>
      </c>
      <c r="I260" s="24">
        <f>SUM(I252:I259)</f>
        <v>638250</v>
      </c>
      <c r="J260" s="2"/>
      <c r="K260" s="13" t="s">
        <v>13</v>
      </c>
      <c r="L260" s="5"/>
      <c r="M260" s="5" t="s">
        <v>2</v>
      </c>
      <c r="N260" s="8">
        <f>SUM(N252:N259)</f>
        <v>389000</v>
      </c>
      <c r="O260" s="3"/>
    </row>
    <row r="261" spans="1:15" ht="15" x14ac:dyDescent="0.35">
      <c r="A261" s="1" t="s">
        <v>14</v>
      </c>
      <c r="B261" s="2"/>
      <c r="C261" s="2" t="s">
        <v>2</v>
      </c>
      <c r="D261" s="27">
        <f>[37]krnmei!$J$769</f>
        <v>500000</v>
      </c>
      <c r="E261" s="2"/>
      <c r="F261" s="1" t="s">
        <v>14</v>
      </c>
      <c r="G261" s="2"/>
      <c r="H261" s="2" t="s">
        <v>2</v>
      </c>
      <c r="I261" s="27">
        <f>[37]krnmei!$J$786</f>
        <v>6250000</v>
      </c>
      <c r="J261" s="2"/>
      <c r="K261" s="1" t="s">
        <v>14</v>
      </c>
      <c r="L261" s="2"/>
      <c r="M261" s="2" t="s">
        <v>2</v>
      </c>
      <c r="N261" s="27">
        <f>[37]krnmei!$J$803</f>
        <v>300000</v>
      </c>
      <c r="O261" s="3"/>
    </row>
    <row r="262" spans="1:15" ht="15" x14ac:dyDescent="0.35">
      <c r="A262" s="1"/>
      <c r="B262" s="2"/>
      <c r="C262" s="15"/>
      <c r="D262" s="15" t="str">
        <f>D243</f>
        <v>Grogol, 02 Januari 2026</v>
      </c>
      <c r="E262" s="2"/>
      <c r="F262" s="1"/>
      <c r="G262" s="2"/>
      <c r="H262" s="15"/>
      <c r="I262" s="15" t="str">
        <f>D262</f>
        <v>Grogol, 02 Januari 2026</v>
      </c>
      <c r="J262" s="15"/>
      <c r="K262" s="1"/>
      <c r="L262" s="2"/>
      <c r="M262" s="15"/>
      <c r="N262" s="15" t="str">
        <f>I262</f>
        <v>Grogol, 02 Januari 2026</v>
      </c>
      <c r="O262" s="16"/>
    </row>
    <row r="263" spans="1:15" ht="15" x14ac:dyDescent="0.35">
      <c r="A263" s="1"/>
      <c r="B263" s="2"/>
      <c r="C263" s="2"/>
      <c r="D263" s="15" t="s">
        <v>15</v>
      </c>
      <c r="E263" s="15"/>
      <c r="F263" s="1"/>
      <c r="G263" s="2"/>
      <c r="H263" s="2"/>
      <c r="I263" s="15" t="s">
        <v>15</v>
      </c>
      <c r="J263" s="2"/>
      <c r="K263" s="1"/>
      <c r="L263" s="2"/>
      <c r="M263" s="2"/>
      <c r="N263" s="15" t="s">
        <v>15</v>
      </c>
      <c r="O263" s="3"/>
    </row>
    <row r="264" spans="1:15" ht="15" x14ac:dyDescent="0.35">
      <c r="A264" s="1"/>
      <c r="B264" s="2"/>
      <c r="C264" s="2"/>
      <c r="D264" s="15"/>
      <c r="E264" s="2"/>
      <c r="F264" s="1"/>
      <c r="G264" s="2"/>
      <c r="H264" s="2"/>
      <c r="I264" s="15"/>
      <c r="J264" s="2"/>
      <c r="K264" s="1"/>
      <c r="L264" s="2"/>
      <c r="M264" s="2"/>
      <c r="N264" s="15"/>
      <c r="O264" s="3"/>
    </row>
    <row r="265" spans="1:15" ht="15" x14ac:dyDescent="0.35">
      <c r="A265" s="1"/>
      <c r="B265" s="2"/>
      <c r="C265" s="2"/>
      <c r="D265" s="15"/>
      <c r="E265" s="2"/>
      <c r="F265" s="1"/>
      <c r="G265" s="2"/>
      <c r="H265" s="2"/>
      <c r="I265" s="15"/>
      <c r="J265" s="2"/>
      <c r="K265" s="1"/>
      <c r="L265" s="2"/>
      <c r="M265" s="2"/>
      <c r="N265" s="15"/>
      <c r="O265" s="3"/>
    </row>
    <row r="266" spans="1:15" ht="15.6" thickBot="1" x14ac:dyDescent="0.4">
      <c r="A266" s="17"/>
      <c r="B266" s="18"/>
      <c r="C266" s="18"/>
      <c r="D266" s="19" t="s">
        <v>16</v>
      </c>
      <c r="E266" s="18"/>
      <c r="F266" s="17"/>
      <c r="G266" s="18"/>
      <c r="H266" s="18"/>
      <c r="I266" s="19" t="s">
        <v>16</v>
      </c>
      <c r="J266" s="18"/>
      <c r="K266" s="17"/>
      <c r="L266" s="18"/>
      <c r="M266" s="18"/>
      <c r="N266" s="19" t="s">
        <v>16</v>
      </c>
      <c r="O266" s="20"/>
    </row>
    <row r="267" spans="1:15" ht="15" x14ac:dyDescent="0.35">
      <c r="A267" s="46" t="s">
        <v>0</v>
      </c>
      <c r="B267" s="47"/>
      <c r="C267" s="47"/>
      <c r="D267" s="47"/>
      <c r="E267" s="47"/>
      <c r="F267" s="46" t="s">
        <v>0</v>
      </c>
      <c r="G267" s="47"/>
      <c r="H267" s="47"/>
      <c r="I267" s="47"/>
      <c r="J267" s="47"/>
      <c r="K267" s="46" t="s">
        <v>0</v>
      </c>
      <c r="L267" s="47"/>
      <c r="M267" s="47"/>
      <c r="N267" s="47"/>
      <c r="O267" s="48"/>
    </row>
    <row r="268" spans="1:15" ht="15" x14ac:dyDescent="0.35">
      <c r="A268" s="1"/>
      <c r="B268" s="2"/>
      <c r="C268" s="2"/>
      <c r="D268" s="2"/>
      <c r="E268" s="2"/>
      <c r="F268" s="1"/>
      <c r="G268" s="2"/>
      <c r="H268" s="2"/>
      <c r="I268" s="2"/>
      <c r="J268" s="2"/>
      <c r="K268" s="1"/>
      <c r="L268" s="2"/>
      <c r="M268" s="2"/>
      <c r="N268" s="2"/>
      <c r="O268" s="3"/>
    </row>
    <row r="269" spans="1:15" ht="15" x14ac:dyDescent="0.35">
      <c r="A269" s="1" t="s">
        <v>1</v>
      </c>
      <c r="B269" s="2" t="s">
        <v>2</v>
      </c>
      <c r="C269" s="51" t="s">
        <v>41</v>
      </c>
      <c r="D269" s="51"/>
      <c r="E269" s="4">
        <v>36</v>
      </c>
      <c r="F269" s="1" t="s">
        <v>1</v>
      </c>
      <c r="G269" s="2"/>
      <c r="H269" s="50" t="s">
        <v>80</v>
      </c>
      <c r="I269" s="50"/>
      <c r="J269" s="4">
        <v>46</v>
      </c>
      <c r="K269" s="1" t="s">
        <v>1</v>
      </c>
      <c r="L269" s="2" t="s">
        <v>2</v>
      </c>
      <c r="M269" s="50" t="s">
        <v>42</v>
      </c>
      <c r="N269" s="50"/>
      <c r="O269" s="6">
        <v>37</v>
      </c>
    </row>
    <row r="270" spans="1:15" ht="15" x14ac:dyDescent="0.35">
      <c r="A270" s="1" t="s">
        <v>4</v>
      </c>
      <c r="B270" s="2"/>
      <c r="C270" s="2" t="s">
        <v>2</v>
      </c>
      <c r="D270" s="2"/>
      <c r="F270" s="1" t="s">
        <v>4</v>
      </c>
      <c r="G270" s="2"/>
      <c r="H270" s="2" t="s">
        <v>2</v>
      </c>
      <c r="I270" s="2"/>
      <c r="J270" s="2"/>
      <c r="K270" s="1" t="s">
        <v>4</v>
      </c>
      <c r="L270" s="2"/>
      <c r="M270" s="2" t="s">
        <v>2</v>
      </c>
      <c r="N270" s="2"/>
      <c r="O270" s="3"/>
    </row>
    <row r="271" spans="1:15" ht="15" x14ac:dyDescent="0.35">
      <c r="A271" s="1" t="s">
        <v>5</v>
      </c>
      <c r="B271" s="2"/>
      <c r="C271" s="2" t="s">
        <v>2</v>
      </c>
      <c r="D271" s="8">
        <f>'[3]KARNING 2021'!$C$820</f>
        <v>15000</v>
      </c>
      <c r="E271" s="2"/>
      <c r="F271" s="1" t="s">
        <v>5</v>
      </c>
      <c r="G271" s="2"/>
      <c r="H271" s="2" t="s">
        <v>2</v>
      </c>
      <c r="I271" s="8">
        <f>[33]krnmei!$C$1196</f>
        <v>15000</v>
      </c>
      <c r="J271" s="2"/>
      <c r="K271" s="1" t="s">
        <v>66</v>
      </c>
      <c r="L271" s="2"/>
      <c r="M271" s="2" t="s">
        <v>2</v>
      </c>
      <c r="N271" s="8">
        <f>[16]krnmei!$C$856</f>
        <v>15000</v>
      </c>
      <c r="O271" s="3"/>
    </row>
    <row r="272" spans="1:15" ht="15" x14ac:dyDescent="0.35">
      <c r="A272" s="1" t="s">
        <v>6</v>
      </c>
      <c r="B272" s="2"/>
      <c r="C272" s="2" t="s">
        <v>2</v>
      </c>
      <c r="D272" s="8">
        <f>'[3]KARNING 2021'!$D$820</f>
        <v>5000</v>
      </c>
      <c r="E272" s="2"/>
      <c r="F272" s="1" t="s">
        <v>6</v>
      </c>
      <c r="G272" s="2"/>
      <c r="H272" s="2" t="s">
        <v>2</v>
      </c>
      <c r="I272" s="8">
        <f>[33]krnmei!$D$1196</f>
        <v>50000</v>
      </c>
      <c r="J272" s="2"/>
      <c r="K272" s="1" t="s">
        <v>6</v>
      </c>
      <c r="L272" s="2"/>
      <c r="M272" s="2" t="s">
        <v>2</v>
      </c>
      <c r="N272" s="7">
        <f>'[3]KARNING 2021'!$D$854</f>
        <v>5000</v>
      </c>
      <c r="O272" s="3"/>
    </row>
    <row r="273" spans="1:15" ht="15" x14ac:dyDescent="0.35">
      <c r="A273" s="1" t="s">
        <v>7</v>
      </c>
      <c r="B273" s="2"/>
      <c r="C273" s="2" t="s">
        <v>2</v>
      </c>
      <c r="D273" s="8">
        <f>'[3]KARNING 2021'!$E$820</f>
        <v>230000</v>
      </c>
      <c r="E273" s="2"/>
      <c r="F273" s="1" t="s">
        <v>7</v>
      </c>
      <c r="G273" s="2"/>
      <c r="H273" s="2" t="s">
        <v>2</v>
      </c>
      <c r="I273" s="8">
        <v>80000</v>
      </c>
      <c r="J273" s="2"/>
      <c r="K273" s="1" t="s">
        <v>7</v>
      </c>
      <c r="L273" s="2"/>
      <c r="M273" s="2" t="s">
        <v>2</v>
      </c>
      <c r="N273" s="7">
        <v>0</v>
      </c>
      <c r="O273" s="3"/>
    </row>
    <row r="274" spans="1:15" ht="15" x14ac:dyDescent="0.35">
      <c r="A274" s="1" t="s">
        <v>8</v>
      </c>
      <c r="B274" s="21">
        <v>7</v>
      </c>
      <c r="C274" s="2" t="s">
        <v>2</v>
      </c>
      <c r="D274" s="8">
        <v>50000</v>
      </c>
      <c r="E274" s="2"/>
      <c r="F274" s="1" t="s">
        <v>8</v>
      </c>
      <c r="G274" s="2"/>
      <c r="H274" s="2" t="s">
        <v>2</v>
      </c>
      <c r="I274" s="8">
        <v>0</v>
      </c>
      <c r="J274" s="2"/>
      <c r="K274" s="1" t="s">
        <v>8</v>
      </c>
      <c r="L274" s="21">
        <v>29</v>
      </c>
      <c r="M274" s="2" t="s">
        <v>2</v>
      </c>
      <c r="N274" s="7">
        <v>400000</v>
      </c>
      <c r="O274" s="3"/>
    </row>
    <row r="275" spans="1:15" ht="15" x14ac:dyDescent="0.35">
      <c r="A275" s="1" t="s">
        <v>9</v>
      </c>
      <c r="B275" s="2"/>
      <c r="C275" s="2" t="s">
        <v>2</v>
      </c>
      <c r="D275" s="11">
        <f>[37]krnmei!$K$820</f>
        <v>10500</v>
      </c>
      <c r="E275" s="2"/>
      <c r="F275" s="1" t="s">
        <v>9</v>
      </c>
      <c r="G275" s="2"/>
      <c r="H275" s="2" t="s">
        <v>2</v>
      </c>
      <c r="I275" s="11">
        <v>0</v>
      </c>
      <c r="J275" s="2"/>
      <c r="K275" s="1" t="s">
        <v>9</v>
      </c>
      <c r="L275" s="2"/>
      <c r="M275" s="2" t="s">
        <v>2</v>
      </c>
      <c r="N275" s="11">
        <f>[37]krnmei!$K$854</f>
        <v>39000</v>
      </c>
      <c r="O275" s="3"/>
    </row>
    <row r="276" spans="1:15" ht="15" x14ac:dyDescent="0.35">
      <c r="A276" s="1" t="s">
        <v>10</v>
      </c>
      <c r="B276" s="2"/>
      <c r="C276" s="2" t="s">
        <v>2</v>
      </c>
      <c r="D276" s="8">
        <v>0</v>
      </c>
      <c r="E276" s="2"/>
      <c r="F276" s="1" t="s">
        <v>10</v>
      </c>
      <c r="G276" s="2"/>
      <c r="H276" s="2" t="s">
        <v>2</v>
      </c>
      <c r="I276" s="8">
        <v>0</v>
      </c>
      <c r="J276" s="2"/>
      <c r="K276" s="1" t="s">
        <v>10</v>
      </c>
      <c r="L276" s="2">
        <v>0</v>
      </c>
      <c r="M276" s="2" t="s">
        <v>2</v>
      </c>
      <c r="N276" s="7">
        <v>0</v>
      </c>
      <c r="O276" s="3"/>
    </row>
    <row r="277" spans="1:15" ht="15" x14ac:dyDescent="0.35">
      <c r="A277" s="1" t="s">
        <v>11</v>
      </c>
      <c r="B277" s="2"/>
      <c r="C277" s="2" t="s">
        <v>2</v>
      </c>
      <c r="D277" s="9">
        <f>[9]krnmei!$P$830</f>
        <v>0</v>
      </c>
      <c r="E277" s="2"/>
      <c r="F277" s="1" t="s">
        <v>11</v>
      </c>
      <c r="G277" s="2"/>
      <c r="H277" s="2" t="s">
        <v>2</v>
      </c>
      <c r="I277" s="9">
        <v>0</v>
      </c>
      <c r="J277" s="2"/>
      <c r="K277" s="1" t="s">
        <v>11</v>
      </c>
      <c r="L277" s="2"/>
      <c r="M277" s="2" t="s">
        <v>2</v>
      </c>
      <c r="N277" s="7">
        <v>0</v>
      </c>
      <c r="O277" s="3"/>
    </row>
    <row r="278" spans="1:15" ht="15" x14ac:dyDescent="0.35">
      <c r="A278" s="1" t="s">
        <v>12</v>
      </c>
      <c r="B278" s="2"/>
      <c r="C278" s="2" t="s">
        <v>2</v>
      </c>
      <c r="D278" s="8">
        <f>'[3]KARNING 2021'!$F$820</f>
        <v>200000</v>
      </c>
      <c r="E278" s="2"/>
      <c r="F278" s="1" t="s">
        <v>12</v>
      </c>
      <c r="G278" s="2"/>
      <c r="H278" s="2" t="s">
        <v>2</v>
      </c>
      <c r="I278" s="8">
        <f>[33]krnmei!$F$1196</f>
        <v>55000</v>
      </c>
      <c r="J278" s="2"/>
      <c r="K278" s="1" t="s">
        <v>12</v>
      </c>
      <c r="L278" s="2"/>
      <c r="M278" s="2" t="s">
        <v>2</v>
      </c>
      <c r="N278" s="7">
        <v>0</v>
      </c>
      <c r="O278" s="3"/>
    </row>
    <row r="279" spans="1:15" ht="15" x14ac:dyDescent="0.35">
      <c r="A279" s="13" t="s">
        <v>13</v>
      </c>
      <c r="B279" s="5"/>
      <c r="C279" s="5" t="s">
        <v>2</v>
      </c>
      <c r="D279" s="8">
        <f>SUM(D271:D278)</f>
        <v>510500</v>
      </c>
      <c r="E279" s="2"/>
      <c r="F279" s="13" t="s">
        <v>13</v>
      </c>
      <c r="G279" s="5"/>
      <c r="H279" s="5" t="s">
        <v>2</v>
      </c>
      <c r="I279" s="24">
        <f>SUM(I271:I278)</f>
        <v>200000</v>
      </c>
      <c r="J279" s="2"/>
      <c r="K279" s="13" t="s">
        <v>13</v>
      </c>
      <c r="L279" s="5"/>
      <c r="M279" s="5" t="s">
        <v>2</v>
      </c>
      <c r="N279" s="8">
        <f>SUM(N271:N278)</f>
        <v>459000</v>
      </c>
      <c r="O279" s="3"/>
    </row>
    <row r="280" spans="1:15" ht="15" x14ac:dyDescent="0.35">
      <c r="A280" s="1" t="s">
        <v>14</v>
      </c>
      <c r="B280" s="2"/>
      <c r="C280" s="2" t="s">
        <v>2</v>
      </c>
      <c r="D280" s="27">
        <f>[37]krnmei!$J$820</f>
        <v>650000</v>
      </c>
      <c r="E280" s="2"/>
      <c r="F280" s="1" t="s">
        <v>14</v>
      </c>
      <c r="G280" s="2"/>
      <c r="H280" s="2" t="s">
        <v>2</v>
      </c>
      <c r="I280" s="27">
        <v>0</v>
      </c>
      <c r="J280" s="2"/>
      <c r="K280" s="1" t="s">
        <v>14</v>
      </c>
      <c r="L280" s="2"/>
      <c r="M280" s="2" t="s">
        <v>2</v>
      </c>
      <c r="N280" s="10">
        <f>[37]krnmei!$J$854</f>
        <v>2200000</v>
      </c>
      <c r="O280" s="3"/>
    </row>
    <row r="281" spans="1:15" ht="15" x14ac:dyDescent="0.35">
      <c r="A281" s="1"/>
      <c r="B281" s="2"/>
      <c r="C281" s="15"/>
      <c r="D281" s="15" t="str">
        <f>D262</f>
        <v>Grogol, 02 Januari 2026</v>
      </c>
      <c r="E281" s="2"/>
      <c r="F281" s="1"/>
      <c r="G281" s="2"/>
      <c r="H281" s="15"/>
      <c r="I281" s="15" t="str">
        <f>D281</f>
        <v>Grogol, 02 Januari 2026</v>
      </c>
      <c r="J281" s="15"/>
      <c r="K281" s="1"/>
      <c r="L281" s="2"/>
      <c r="M281" s="15"/>
      <c r="N281" s="15" t="str">
        <f>I281</f>
        <v>Grogol, 02 Januari 2026</v>
      </c>
      <c r="O281" s="16"/>
    </row>
    <row r="282" spans="1:15" ht="15" x14ac:dyDescent="0.35">
      <c r="A282" s="1"/>
      <c r="B282" s="2"/>
      <c r="C282" s="2"/>
      <c r="D282" s="15" t="s">
        <v>15</v>
      </c>
      <c r="E282" s="15"/>
      <c r="F282" s="1"/>
      <c r="G282" s="2"/>
      <c r="H282" s="2"/>
      <c r="I282" s="15" t="s">
        <v>15</v>
      </c>
      <c r="J282" s="2"/>
      <c r="K282" s="1"/>
      <c r="L282" s="2"/>
      <c r="M282" s="2"/>
      <c r="N282" s="15" t="s">
        <v>15</v>
      </c>
      <c r="O282" s="3"/>
    </row>
    <row r="283" spans="1:15" ht="15" x14ac:dyDescent="0.35">
      <c r="A283" s="1"/>
      <c r="B283" s="2"/>
      <c r="C283" s="2"/>
      <c r="D283" s="15"/>
      <c r="E283" s="2"/>
      <c r="F283" s="1"/>
      <c r="G283" s="2"/>
      <c r="H283" s="2"/>
      <c r="I283" s="15"/>
      <c r="J283" s="2"/>
      <c r="K283" s="1"/>
      <c r="L283" s="2"/>
      <c r="M283" s="2"/>
      <c r="N283" s="2"/>
      <c r="O283" s="3"/>
    </row>
    <row r="284" spans="1:15" ht="15" x14ac:dyDescent="0.35">
      <c r="A284" s="1"/>
      <c r="B284" s="2"/>
      <c r="C284" s="2"/>
      <c r="D284" s="15"/>
      <c r="E284" s="2"/>
      <c r="F284" s="1"/>
      <c r="G284" s="2"/>
      <c r="H284" s="2"/>
      <c r="I284" s="15"/>
      <c r="J284" s="2"/>
      <c r="K284" s="1"/>
      <c r="L284" s="2"/>
      <c r="M284" s="2"/>
      <c r="N284" s="15"/>
      <c r="O284" s="3"/>
    </row>
    <row r="285" spans="1:15" ht="15.6" thickBot="1" x14ac:dyDescent="0.4">
      <c r="A285" s="17"/>
      <c r="B285" s="18"/>
      <c r="C285" s="18"/>
      <c r="D285" s="19" t="s">
        <v>16</v>
      </c>
      <c r="E285" s="18"/>
      <c r="F285" s="17"/>
      <c r="G285" s="18"/>
      <c r="H285" s="18"/>
      <c r="I285" s="19" t="s">
        <v>16</v>
      </c>
      <c r="J285" s="18"/>
      <c r="K285" s="17"/>
      <c r="L285" s="18"/>
      <c r="M285" s="18"/>
      <c r="N285" s="19" t="s">
        <v>16</v>
      </c>
      <c r="O285" s="20"/>
    </row>
    <row r="286" spans="1:15" ht="15" x14ac:dyDescent="0.35">
      <c r="A286" s="46" t="s">
        <v>0</v>
      </c>
      <c r="B286" s="47"/>
      <c r="C286" s="47"/>
      <c r="D286" s="47"/>
      <c r="E286" s="47"/>
      <c r="F286" s="46" t="s">
        <v>0</v>
      </c>
      <c r="G286" s="47"/>
      <c r="H286" s="47"/>
      <c r="I286" s="47"/>
      <c r="J286" s="47"/>
      <c r="K286" s="46" t="s">
        <v>0</v>
      </c>
      <c r="L286" s="47"/>
      <c r="M286" s="47"/>
      <c r="N286" s="47"/>
      <c r="O286" s="48"/>
    </row>
    <row r="287" spans="1:15" ht="15" x14ac:dyDescent="0.35">
      <c r="A287" s="1"/>
      <c r="B287" s="2"/>
      <c r="C287" s="2"/>
      <c r="D287" s="2"/>
      <c r="E287" s="4"/>
      <c r="F287" s="1"/>
      <c r="G287" s="2"/>
      <c r="H287" s="2"/>
      <c r="I287" s="2"/>
      <c r="J287" s="2"/>
      <c r="K287" s="1"/>
      <c r="L287" s="2"/>
      <c r="M287" s="2"/>
      <c r="N287" s="2"/>
      <c r="O287" s="3"/>
    </row>
    <row r="288" spans="1:15" ht="15" x14ac:dyDescent="0.35">
      <c r="A288" s="1" t="s">
        <v>1</v>
      </c>
      <c r="B288" s="2" t="s">
        <v>2</v>
      </c>
      <c r="C288" s="50" t="s">
        <v>43</v>
      </c>
      <c r="D288" s="50"/>
      <c r="E288" s="5">
        <v>24</v>
      </c>
      <c r="F288" s="1" t="s">
        <v>1</v>
      </c>
      <c r="G288" s="2" t="s">
        <v>2</v>
      </c>
      <c r="H288" s="50" t="s">
        <v>44</v>
      </c>
      <c r="I288" s="50"/>
      <c r="J288" s="5">
        <v>23</v>
      </c>
      <c r="K288" s="1" t="s">
        <v>1</v>
      </c>
      <c r="L288" s="2" t="s">
        <v>2</v>
      </c>
      <c r="M288" s="50" t="s">
        <v>45</v>
      </c>
      <c r="N288" s="50"/>
      <c r="O288" s="33">
        <v>26</v>
      </c>
    </row>
    <row r="289" spans="1:15" ht="15" x14ac:dyDescent="0.35">
      <c r="A289" s="1" t="s">
        <v>4</v>
      </c>
      <c r="B289" s="5" t="s">
        <v>2</v>
      </c>
      <c r="C289" s="5"/>
      <c r="D289" s="2"/>
      <c r="E289" s="5"/>
      <c r="F289" s="1" t="s">
        <v>4</v>
      </c>
      <c r="G289" s="2" t="s">
        <v>2</v>
      </c>
      <c r="H289" s="2"/>
      <c r="I289" s="2"/>
      <c r="J289" s="2"/>
      <c r="K289" s="1" t="s">
        <v>4</v>
      </c>
      <c r="L289" s="2" t="s">
        <v>2</v>
      </c>
      <c r="M289" s="2"/>
      <c r="N289" s="2"/>
      <c r="O289" s="3"/>
    </row>
    <row r="290" spans="1:15" ht="15" x14ac:dyDescent="0.35">
      <c r="A290" s="1" t="s">
        <v>5</v>
      </c>
      <c r="B290" s="2"/>
      <c r="C290" s="5" t="s">
        <v>2</v>
      </c>
      <c r="D290" s="7">
        <v>100000</v>
      </c>
      <c r="E290" s="2"/>
      <c r="F290" s="1" t="s">
        <v>5</v>
      </c>
      <c r="G290" s="2"/>
      <c r="H290" s="2" t="s">
        <v>2</v>
      </c>
      <c r="I290" s="25">
        <f>[28]krnmei!$C$894</f>
        <v>100000</v>
      </c>
      <c r="J290" s="2"/>
      <c r="K290" s="1" t="s">
        <v>5</v>
      </c>
      <c r="L290" s="2"/>
      <c r="M290" s="2" t="s">
        <v>2</v>
      </c>
      <c r="N290" s="25">
        <f>[8]krnmei!$C$912</f>
        <v>100000</v>
      </c>
      <c r="O290" s="3"/>
    </row>
    <row r="291" spans="1:15" ht="15" x14ac:dyDescent="0.35">
      <c r="A291" s="1" t="s">
        <v>6</v>
      </c>
      <c r="B291" s="2"/>
      <c r="C291" s="5" t="s">
        <v>2</v>
      </c>
      <c r="D291" s="7">
        <v>10000</v>
      </c>
      <c r="E291" s="2"/>
      <c r="F291" s="1" t="s">
        <v>6</v>
      </c>
      <c r="G291" s="2"/>
      <c r="H291" s="2" t="s">
        <v>2</v>
      </c>
      <c r="I291" s="25">
        <f>[32]krnmei!$D$889</f>
        <v>10000</v>
      </c>
      <c r="J291" s="2"/>
      <c r="K291" s="1" t="s">
        <v>6</v>
      </c>
      <c r="L291" s="2"/>
      <c r="M291" s="2" t="s">
        <v>2</v>
      </c>
      <c r="N291" s="25">
        <f>'[3]KARNING 2021'!$D$905</f>
        <v>10000</v>
      </c>
      <c r="O291" s="3"/>
    </row>
    <row r="292" spans="1:15" ht="15" x14ac:dyDescent="0.35">
      <c r="A292" s="1" t="s">
        <v>7</v>
      </c>
      <c r="B292" s="2"/>
      <c r="C292" s="5" t="s">
        <v>2</v>
      </c>
      <c r="D292" s="2">
        <v>0</v>
      </c>
      <c r="E292" s="2"/>
      <c r="F292" s="1" t="s">
        <v>7</v>
      </c>
      <c r="G292" s="2"/>
      <c r="H292" s="2" t="s">
        <v>2</v>
      </c>
      <c r="I292" s="25">
        <f>[24]krnmei!$E$895</f>
        <v>100000</v>
      </c>
      <c r="J292" s="2"/>
      <c r="K292" s="1" t="s">
        <v>7</v>
      </c>
      <c r="L292" s="2"/>
      <c r="M292" s="2" t="s">
        <v>2</v>
      </c>
      <c r="N292" s="25">
        <f>[5]krnmei!$E$909</f>
        <v>100000</v>
      </c>
      <c r="O292" s="3"/>
    </row>
    <row r="293" spans="1:15" ht="15" x14ac:dyDescent="0.35">
      <c r="A293" s="1" t="s">
        <v>8</v>
      </c>
      <c r="B293" s="21">
        <v>22</v>
      </c>
      <c r="C293" s="5" t="s">
        <v>2</v>
      </c>
      <c r="D293" s="21">
        <f>[34]krnmei!$I$1013</f>
        <v>500000</v>
      </c>
      <c r="E293" s="2"/>
      <c r="F293" s="1" t="s">
        <v>8</v>
      </c>
      <c r="G293" s="21"/>
      <c r="H293" s="2" t="s">
        <v>2</v>
      </c>
      <c r="I293" s="25"/>
      <c r="J293" s="2"/>
      <c r="K293" s="1" t="s">
        <v>8</v>
      </c>
      <c r="L293" s="21">
        <v>20</v>
      </c>
      <c r="M293" s="2" t="s">
        <v>2</v>
      </c>
      <c r="N293" s="34">
        <f>[26]krnmei!$I$910</f>
        <v>600000</v>
      </c>
      <c r="O293" s="3"/>
    </row>
    <row r="294" spans="1:15" ht="15" x14ac:dyDescent="0.35">
      <c r="A294" s="1" t="s">
        <v>9</v>
      </c>
      <c r="B294" s="2"/>
      <c r="C294" s="5" t="s">
        <v>2</v>
      </c>
      <c r="D294" s="11">
        <f>[37]krnmei!$K$1007</f>
        <v>33750</v>
      </c>
      <c r="E294" s="2"/>
      <c r="F294" s="1" t="s">
        <v>9</v>
      </c>
      <c r="G294" s="2"/>
      <c r="H294" s="2" t="s">
        <v>2</v>
      </c>
      <c r="I294" s="11"/>
      <c r="J294" s="2"/>
      <c r="K294" s="1" t="s">
        <v>9</v>
      </c>
      <c r="L294" s="2"/>
      <c r="M294" s="2" t="s">
        <v>2</v>
      </c>
      <c r="N294" s="11">
        <f>[37]krnmei!$K$905</f>
        <v>204000</v>
      </c>
      <c r="O294" s="3"/>
    </row>
    <row r="295" spans="1:15" ht="15" x14ac:dyDescent="0.35">
      <c r="A295" s="1" t="s">
        <v>10</v>
      </c>
      <c r="B295" s="2"/>
      <c r="C295" s="5" t="s">
        <v>2</v>
      </c>
      <c r="D295" s="2">
        <v>0</v>
      </c>
      <c r="E295" s="2"/>
      <c r="F295" s="1" t="s">
        <v>10</v>
      </c>
      <c r="G295" s="2"/>
      <c r="H295" s="2" t="s">
        <v>2</v>
      </c>
      <c r="I295" s="8">
        <v>0</v>
      </c>
      <c r="J295" s="2"/>
      <c r="K295" s="1" t="s">
        <v>10</v>
      </c>
      <c r="L295" s="2"/>
      <c r="M295" s="2" t="s">
        <v>2</v>
      </c>
      <c r="N295" s="9">
        <v>0</v>
      </c>
      <c r="O295" s="3"/>
    </row>
    <row r="296" spans="1:15" ht="15" x14ac:dyDescent="0.35">
      <c r="A296" s="1" t="s">
        <v>11</v>
      </c>
      <c r="B296" s="2"/>
      <c r="C296" s="5" t="s">
        <v>2</v>
      </c>
      <c r="D296" s="2">
        <v>0</v>
      </c>
      <c r="E296" s="2"/>
      <c r="F296" s="1" t="s">
        <v>11</v>
      </c>
      <c r="G296" s="2"/>
      <c r="H296" s="2" t="s">
        <v>2</v>
      </c>
      <c r="I296" s="9">
        <f>[12]krnmei!$P$899</f>
        <v>60000</v>
      </c>
      <c r="J296" s="2"/>
      <c r="K296" s="1" t="s">
        <v>11</v>
      </c>
      <c r="L296" s="2"/>
      <c r="M296" s="2" t="s">
        <v>2</v>
      </c>
      <c r="N296" s="9">
        <v>0</v>
      </c>
      <c r="O296" s="3"/>
    </row>
    <row r="297" spans="1:15" ht="15" x14ac:dyDescent="0.35">
      <c r="A297" s="1" t="s">
        <v>12</v>
      </c>
      <c r="B297" s="2"/>
      <c r="C297" s="5" t="s">
        <v>2</v>
      </c>
      <c r="D297" s="2">
        <v>0</v>
      </c>
      <c r="E297" s="2"/>
      <c r="F297" s="1" t="s">
        <v>12</v>
      </c>
      <c r="G297" s="2"/>
      <c r="H297" s="2" t="s">
        <v>2</v>
      </c>
      <c r="I297" s="7"/>
      <c r="J297" s="2"/>
      <c r="K297" s="1" t="s">
        <v>12</v>
      </c>
      <c r="L297" s="2"/>
      <c r="M297" s="2" t="s">
        <v>2</v>
      </c>
      <c r="N297" s="25">
        <f>[5]krnmei!$F$909</f>
        <v>100000</v>
      </c>
      <c r="O297" s="3"/>
    </row>
    <row r="298" spans="1:15" ht="15" x14ac:dyDescent="0.35">
      <c r="A298" s="13" t="s">
        <v>13</v>
      </c>
      <c r="B298" s="5"/>
      <c r="C298" s="5" t="s">
        <v>2</v>
      </c>
      <c r="D298" s="14">
        <f>SUM(D290:D297)</f>
        <v>643750</v>
      </c>
      <c r="E298" s="2"/>
      <c r="F298" s="13" t="s">
        <v>13</v>
      </c>
      <c r="G298" s="5"/>
      <c r="H298" s="5" t="s">
        <v>2</v>
      </c>
      <c r="I298" s="24">
        <f>SUM(I290:I297)</f>
        <v>270000</v>
      </c>
      <c r="J298" s="2"/>
      <c r="K298" s="13" t="s">
        <v>13</v>
      </c>
      <c r="L298" s="5"/>
      <c r="M298" s="2" t="s">
        <v>2</v>
      </c>
      <c r="N298" s="24">
        <f>SUM(N290:N297)</f>
        <v>1114000</v>
      </c>
      <c r="O298" s="3"/>
    </row>
    <row r="299" spans="1:15" ht="15" x14ac:dyDescent="0.35">
      <c r="A299" s="1" t="s">
        <v>14</v>
      </c>
      <c r="B299" s="2"/>
      <c r="C299" s="2" t="s">
        <v>2</v>
      </c>
      <c r="D299" s="27">
        <f>[37]krnmei!$J$1007</f>
        <v>1750000</v>
      </c>
      <c r="E299" s="2"/>
      <c r="F299" s="1" t="s">
        <v>14</v>
      </c>
      <c r="G299" s="2"/>
      <c r="H299" s="2" t="s">
        <v>2</v>
      </c>
      <c r="I299" s="27">
        <f>[12]krnmei!$O$899</f>
        <v>3000000</v>
      </c>
      <c r="J299" s="2"/>
      <c r="K299" s="1" t="s">
        <v>14</v>
      </c>
      <c r="L299" s="2"/>
      <c r="M299" s="2" t="s">
        <v>2</v>
      </c>
      <c r="N299" s="27">
        <f>[37]krnmei!$J$905</f>
        <v>13000000</v>
      </c>
      <c r="O299" s="3"/>
    </row>
    <row r="300" spans="1:15" ht="15" x14ac:dyDescent="0.35">
      <c r="A300" s="1"/>
      <c r="B300" s="2"/>
      <c r="C300" s="2"/>
      <c r="D300" s="2" t="str">
        <f>D281</f>
        <v>Grogol, 02 Januari 2026</v>
      </c>
      <c r="E300" s="2"/>
      <c r="F300" s="1"/>
      <c r="G300" s="2"/>
      <c r="H300" s="15"/>
      <c r="I300" s="15" t="str">
        <f>I281</f>
        <v>Grogol, 02 Januari 2026</v>
      </c>
      <c r="J300" s="15"/>
      <c r="K300" s="1"/>
      <c r="L300" s="2"/>
      <c r="M300" s="2"/>
      <c r="N300" s="2" t="str">
        <f>D167</f>
        <v>Grogol, 02 Januari 2026</v>
      </c>
      <c r="O300" s="3"/>
    </row>
    <row r="301" spans="1:15" ht="15" x14ac:dyDescent="0.35">
      <c r="A301" s="1"/>
      <c r="B301" s="2"/>
      <c r="C301" s="2"/>
      <c r="D301" s="15" t="s">
        <v>15</v>
      </c>
      <c r="E301" s="2"/>
      <c r="F301" s="1"/>
      <c r="G301" s="2"/>
      <c r="H301" s="2"/>
      <c r="I301" s="15" t="s">
        <v>15</v>
      </c>
      <c r="J301" s="2"/>
      <c r="K301" s="1"/>
      <c r="L301" s="2"/>
      <c r="M301" s="2"/>
      <c r="N301" s="15" t="s">
        <v>15</v>
      </c>
      <c r="O301" s="3"/>
    </row>
    <row r="302" spans="1:15" ht="15" x14ac:dyDescent="0.35">
      <c r="A302" s="1"/>
      <c r="B302" s="2"/>
      <c r="C302" s="2"/>
      <c r="D302" s="2"/>
      <c r="E302" s="2"/>
      <c r="F302" s="1"/>
      <c r="G302" s="2"/>
      <c r="H302" s="2"/>
      <c r="I302" s="15"/>
      <c r="J302" s="2"/>
      <c r="K302" s="1"/>
      <c r="L302" s="2"/>
      <c r="M302" s="2"/>
      <c r="N302" s="2"/>
      <c r="O302" s="3"/>
    </row>
    <row r="303" spans="1:15" ht="15" x14ac:dyDescent="0.35">
      <c r="A303" s="1"/>
      <c r="B303" s="2"/>
      <c r="C303" s="2"/>
      <c r="D303" s="2"/>
      <c r="E303" s="2"/>
      <c r="F303" s="1"/>
      <c r="G303" s="2"/>
      <c r="H303" s="2"/>
      <c r="I303" s="15"/>
      <c r="J303" s="2"/>
      <c r="K303" s="1"/>
      <c r="L303" s="2"/>
      <c r="M303" s="2"/>
      <c r="N303" s="2"/>
      <c r="O303" s="3"/>
    </row>
    <row r="304" spans="1:15" ht="15.6" thickBot="1" x14ac:dyDescent="0.4">
      <c r="A304" s="17"/>
      <c r="B304" s="18"/>
      <c r="C304" s="18"/>
      <c r="D304" s="19" t="s">
        <v>16</v>
      </c>
      <c r="E304" s="18"/>
      <c r="F304" s="17"/>
      <c r="G304" s="18"/>
      <c r="H304" s="18"/>
      <c r="I304" s="19" t="s">
        <v>16</v>
      </c>
      <c r="J304" s="18"/>
      <c r="K304" s="17"/>
      <c r="L304" s="18"/>
      <c r="M304" s="18"/>
      <c r="N304" s="19" t="s">
        <v>16</v>
      </c>
      <c r="O304" s="20"/>
    </row>
    <row r="305" spans="1:15" ht="15" x14ac:dyDescent="0.35">
      <c r="A305" s="46" t="s">
        <v>0</v>
      </c>
      <c r="B305" s="47"/>
      <c r="C305" s="47"/>
      <c r="D305" s="47"/>
      <c r="E305" s="47"/>
      <c r="F305" s="46" t="s">
        <v>0</v>
      </c>
      <c r="G305" s="47"/>
      <c r="H305" s="47"/>
      <c r="I305" s="47"/>
      <c r="J305" s="47"/>
      <c r="K305" s="46" t="s">
        <v>0</v>
      </c>
      <c r="L305" s="47"/>
      <c r="M305" s="47"/>
      <c r="N305" s="47"/>
      <c r="O305" s="48"/>
    </row>
    <row r="306" spans="1:15" ht="15" x14ac:dyDescent="0.35">
      <c r="A306" s="1"/>
      <c r="B306" s="2"/>
      <c r="C306" s="2"/>
      <c r="D306" s="2"/>
      <c r="E306" s="2"/>
      <c r="F306" s="1"/>
      <c r="G306" s="2"/>
      <c r="H306" s="2"/>
      <c r="I306" s="2"/>
      <c r="J306" s="2"/>
      <c r="K306" s="1"/>
      <c r="L306" s="2"/>
      <c r="M306" s="2"/>
      <c r="N306" s="2"/>
      <c r="O306" s="3"/>
    </row>
    <row r="307" spans="1:15" ht="15" x14ac:dyDescent="0.35">
      <c r="A307" s="1" t="s">
        <v>1</v>
      </c>
      <c r="B307" s="2" t="s">
        <v>2</v>
      </c>
      <c r="C307" s="51" t="s">
        <v>46</v>
      </c>
      <c r="D307" s="51"/>
      <c r="E307" s="4">
        <v>38</v>
      </c>
      <c r="F307" s="1" t="s">
        <v>1</v>
      </c>
      <c r="G307" s="2" t="s">
        <v>2</v>
      </c>
      <c r="H307" s="50" t="str">
        <f>[17]krnmei!$B$1140</f>
        <v>SITI RODIYAH</v>
      </c>
      <c r="I307" s="50"/>
      <c r="J307" s="4">
        <v>20</v>
      </c>
      <c r="K307" s="1" t="s">
        <v>1</v>
      </c>
      <c r="L307" s="2"/>
      <c r="M307" s="5" t="s">
        <v>2</v>
      </c>
      <c r="N307" s="5" t="s">
        <v>68</v>
      </c>
      <c r="O307" s="6">
        <v>27</v>
      </c>
    </row>
    <row r="308" spans="1:15" ht="15" x14ac:dyDescent="0.35">
      <c r="A308" s="1" t="s">
        <v>4</v>
      </c>
      <c r="B308" s="2"/>
      <c r="C308" s="2" t="s">
        <v>2</v>
      </c>
      <c r="D308" s="2"/>
      <c r="F308" s="1" t="s">
        <v>4</v>
      </c>
      <c r="G308" s="2"/>
      <c r="H308" s="2" t="s">
        <v>2</v>
      </c>
      <c r="I308" s="2"/>
      <c r="J308" s="2"/>
      <c r="K308" s="1" t="s">
        <v>4</v>
      </c>
      <c r="L308" s="2"/>
      <c r="M308" s="2" t="s">
        <v>2</v>
      </c>
      <c r="N308" s="2"/>
      <c r="O308" s="3"/>
    </row>
    <row r="309" spans="1:15" ht="15" x14ac:dyDescent="0.35">
      <c r="A309" s="1" t="s">
        <v>5</v>
      </c>
      <c r="B309" s="2"/>
      <c r="C309" s="2" t="s">
        <v>2</v>
      </c>
      <c r="D309" s="25">
        <f>'[3]KARNING 2021'!$C$922</f>
        <v>15000</v>
      </c>
      <c r="E309" s="2"/>
      <c r="F309" s="1" t="s">
        <v>5</v>
      </c>
      <c r="G309" s="2"/>
      <c r="H309" s="2" t="s">
        <v>2</v>
      </c>
      <c r="I309" s="25">
        <f>[17]krnmei!$C$1145</f>
        <v>100000</v>
      </c>
      <c r="J309" s="2"/>
      <c r="K309" s="1" t="s">
        <v>5</v>
      </c>
      <c r="L309" s="2"/>
      <c r="M309" s="2" t="s">
        <v>2</v>
      </c>
      <c r="N309" s="25">
        <v>100000</v>
      </c>
      <c r="O309" s="3"/>
    </row>
    <row r="310" spans="1:15" ht="15" x14ac:dyDescent="0.35">
      <c r="A310" s="1" t="s">
        <v>6</v>
      </c>
      <c r="B310" s="2"/>
      <c r="C310" s="2" t="s">
        <v>2</v>
      </c>
      <c r="D310" s="25">
        <f>'[3]KARNING 2021'!$D$922</f>
        <v>35000</v>
      </c>
      <c r="E310" s="2"/>
      <c r="F310" s="1" t="s">
        <v>6</v>
      </c>
      <c r="G310" s="2"/>
      <c r="H310" s="2" t="s">
        <v>2</v>
      </c>
      <c r="I310" s="25">
        <f>[32]krnmei!$D$1144</f>
        <v>100000</v>
      </c>
      <c r="J310" s="2"/>
      <c r="K310" s="1" t="s">
        <v>6</v>
      </c>
      <c r="L310" s="2"/>
      <c r="M310" s="2" t="s">
        <v>2</v>
      </c>
      <c r="N310" s="25">
        <v>50000</v>
      </c>
      <c r="O310" s="3"/>
    </row>
    <row r="311" spans="1:15" ht="15" x14ac:dyDescent="0.35">
      <c r="A311" s="1" t="s">
        <v>7</v>
      </c>
      <c r="B311" s="2"/>
      <c r="C311" s="2" t="s">
        <v>2</v>
      </c>
      <c r="D311" s="25">
        <f>'[3]KARNING 2021'!$E$922</f>
        <v>50000</v>
      </c>
      <c r="E311" s="2"/>
      <c r="F311" s="1" t="s">
        <v>7</v>
      </c>
      <c r="G311" s="2"/>
      <c r="H311" s="2" t="s">
        <v>2</v>
      </c>
      <c r="I311" s="25">
        <f>[5]krnmei!$E$1147</f>
        <v>300000</v>
      </c>
      <c r="J311" s="2"/>
      <c r="K311" s="1" t="s">
        <v>7</v>
      </c>
      <c r="L311" s="2"/>
      <c r="M311" s="2" t="s">
        <v>2</v>
      </c>
      <c r="N311" s="8">
        <v>100000</v>
      </c>
      <c r="O311" s="3"/>
    </row>
    <row r="312" spans="1:15" ht="15" x14ac:dyDescent="0.35">
      <c r="A312" s="1" t="s">
        <v>8</v>
      </c>
      <c r="B312" s="2"/>
      <c r="C312" s="2" t="s">
        <v>2</v>
      </c>
      <c r="D312" s="25"/>
      <c r="E312" s="2"/>
      <c r="F312" s="1" t="s">
        <v>8</v>
      </c>
      <c r="G312" s="21">
        <v>19</v>
      </c>
      <c r="H312" s="2" t="s">
        <v>2</v>
      </c>
      <c r="I312" s="25">
        <f>[13]krnmei!$I$1149</f>
        <v>500000</v>
      </c>
      <c r="J312" s="2"/>
      <c r="K312" s="1" t="s">
        <v>8</v>
      </c>
      <c r="L312" s="21">
        <v>0</v>
      </c>
      <c r="M312" s="2" t="s">
        <v>2</v>
      </c>
      <c r="N312" s="11">
        <v>0</v>
      </c>
      <c r="O312" s="3"/>
    </row>
    <row r="313" spans="1:15" ht="15" x14ac:dyDescent="0.35">
      <c r="A313" s="1" t="s">
        <v>9</v>
      </c>
      <c r="B313" s="2"/>
      <c r="C313" s="2" t="s">
        <v>2</v>
      </c>
      <c r="D313" s="25"/>
      <c r="E313" s="2"/>
      <c r="F313" s="1" t="s">
        <v>9</v>
      </c>
      <c r="G313" s="2"/>
      <c r="H313" s="2" t="s">
        <v>2</v>
      </c>
      <c r="I313" s="31">
        <f>[37]krnmei!$K$1143</f>
        <v>15000</v>
      </c>
      <c r="J313" s="2"/>
      <c r="K313" s="1" t="s">
        <v>9</v>
      </c>
      <c r="L313" s="2"/>
      <c r="M313" s="2" t="s">
        <v>2</v>
      </c>
      <c r="N313" s="11">
        <v>0</v>
      </c>
      <c r="O313" s="3"/>
    </row>
    <row r="314" spans="1:15" ht="15" x14ac:dyDescent="0.35">
      <c r="A314" s="1" t="s">
        <v>10</v>
      </c>
      <c r="B314" s="2"/>
      <c r="C314" s="2" t="s">
        <v>2</v>
      </c>
      <c r="D314" s="8"/>
      <c r="E314" s="2"/>
      <c r="F314" s="1" t="s">
        <v>10</v>
      </c>
      <c r="G314" s="2"/>
      <c r="H314" s="2" t="s">
        <v>2</v>
      </c>
      <c r="I314" s="8">
        <v>0</v>
      </c>
      <c r="J314" s="2"/>
      <c r="K314" s="1" t="s">
        <v>10</v>
      </c>
      <c r="L314" s="2"/>
      <c r="M314" s="2" t="s">
        <v>2</v>
      </c>
      <c r="N314" s="8">
        <v>0</v>
      </c>
      <c r="O314" s="3"/>
    </row>
    <row r="315" spans="1:15" ht="15" x14ac:dyDescent="0.35">
      <c r="A315" s="1" t="s">
        <v>11</v>
      </c>
      <c r="B315" s="2"/>
      <c r="C315" s="2" t="s">
        <v>2</v>
      </c>
      <c r="D315" s="9"/>
      <c r="E315" s="2"/>
      <c r="F315" s="1" t="s">
        <v>11</v>
      </c>
      <c r="G315" s="2"/>
      <c r="H315" s="2" t="s">
        <v>2</v>
      </c>
      <c r="I315" s="9">
        <v>0</v>
      </c>
      <c r="J315" s="2"/>
      <c r="K315" s="1" t="s">
        <v>11</v>
      </c>
      <c r="L315" s="2"/>
      <c r="M315" s="2" t="s">
        <v>2</v>
      </c>
      <c r="N315" s="9">
        <f>[32]krnmei!$P$1127</f>
        <v>0</v>
      </c>
      <c r="O315" s="3"/>
    </row>
    <row r="316" spans="1:15" ht="15" x14ac:dyDescent="0.35">
      <c r="A316" s="1" t="s">
        <v>12</v>
      </c>
      <c r="B316" s="2"/>
      <c r="C316" s="2" t="s">
        <v>2</v>
      </c>
      <c r="D316" s="7"/>
      <c r="E316" s="2"/>
      <c r="F316" s="1" t="s">
        <v>12</v>
      </c>
      <c r="G316" s="2"/>
      <c r="H316" s="2" t="s">
        <v>2</v>
      </c>
      <c r="I316" s="8">
        <f>[17]krnmei!$F$1145</f>
        <v>50000</v>
      </c>
      <c r="J316" s="2"/>
      <c r="K316" s="1" t="s">
        <v>12</v>
      </c>
      <c r="L316" s="2"/>
      <c r="M316" s="2" t="s">
        <v>2</v>
      </c>
      <c r="N316" s="8">
        <v>50000</v>
      </c>
      <c r="O316" s="3"/>
    </row>
    <row r="317" spans="1:15" ht="15" x14ac:dyDescent="0.35">
      <c r="A317" s="13" t="s">
        <v>13</v>
      </c>
      <c r="B317" s="5"/>
      <c r="C317" s="5" t="s">
        <v>2</v>
      </c>
      <c r="D317" s="24">
        <f>SUM(D309:D316)</f>
        <v>100000</v>
      </c>
      <c r="E317" s="2"/>
      <c r="F317" s="13" t="s">
        <v>13</v>
      </c>
      <c r="G317" s="5"/>
      <c r="H317" s="5"/>
      <c r="I317" s="24">
        <f>SUM(I309:I316)</f>
        <v>1065000</v>
      </c>
      <c r="J317" s="2"/>
      <c r="K317" s="13" t="s">
        <v>13</v>
      </c>
      <c r="L317" s="5"/>
      <c r="M317" s="5" t="s">
        <v>2</v>
      </c>
      <c r="N317" s="24">
        <f>N309+N310+N311+N316+N315</f>
        <v>300000</v>
      </c>
      <c r="O317" s="3"/>
    </row>
    <row r="318" spans="1:15" ht="15" x14ac:dyDescent="0.35">
      <c r="A318" s="1" t="s">
        <v>14</v>
      </c>
      <c r="B318" s="2"/>
      <c r="C318" s="2" t="s">
        <v>2</v>
      </c>
      <c r="D318" s="25">
        <v>0</v>
      </c>
      <c r="E318" s="2"/>
      <c r="F318" s="1" t="s">
        <v>14</v>
      </c>
      <c r="G318" s="2"/>
      <c r="H318" s="2"/>
      <c r="I318" s="25">
        <f>[37]krnmei!$J$1143</f>
        <v>500000</v>
      </c>
      <c r="J318" s="2"/>
      <c r="K318" s="1" t="s">
        <v>14</v>
      </c>
      <c r="L318" s="2"/>
      <c r="M318" s="2" t="s">
        <v>2</v>
      </c>
      <c r="N318" s="25">
        <v>0</v>
      </c>
      <c r="O318" s="3"/>
    </row>
    <row r="319" spans="1:15" ht="15" x14ac:dyDescent="0.35">
      <c r="A319" s="1"/>
      <c r="B319" s="2"/>
      <c r="C319" s="15"/>
      <c r="D319" s="15" t="str">
        <f>I300</f>
        <v>Grogol, 02 Januari 2026</v>
      </c>
      <c r="E319" s="2"/>
      <c r="F319" s="1"/>
      <c r="G319" s="2"/>
      <c r="H319" s="15"/>
      <c r="I319" s="35" t="str">
        <f>D167</f>
        <v>Grogol, 02 Januari 2026</v>
      </c>
      <c r="J319" s="15"/>
      <c r="K319" s="1"/>
      <c r="L319" s="2"/>
      <c r="M319" s="15"/>
      <c r="N319" s="35" t="str">
        <f>D167</f>
        <v>Grogol, 02 Januari 2026</v>
      </c>
      <c r="O319" s="16"/>
    </row>
    <row r="320" spans="1:15" ht="15" x14ac:dyDescent="0.35">
      <c r="A320" s="1"/>
      <c r="B320" s="2"/>
      <c r="C320" s="2"/>
      <c r="D320" s="15" t="s">
        <v>15</v>
      </c>
      <c r="E320" s="15"/>
      <c r="F320" s="1"/>
      <c r="G320" s="2"/>
      <c r="H320" s="2"/>
      <c r="I320" s="15" t="s">
        <v>15</v>
      </c>
      <c r="J320" s="2"/>
      <c r="K320" s="1"/>
      <c r="L320" s="2"/>
      <c r="M320" s="2"/>
      <c r="N320" s="15" t="s">
        <v>15</v>
      </c>
      <c r="O320" s="3"/>
    </row>
    <row r="321" spans="1:15" ht="15" x14ac:dyDescent="0.35">
      <c r="A321" s="1"/>
      <c r="B321" s="2"/>
      <c r="C321" s="2"/>
      <c r="D321" s="15"/>
      <c r="E321" s="2"/>
      <c r="F321" s="1"/>
      <c r="G321" s="2"/>
      <c r="H321" s="2"/>
      <c r="I321" s="15"/>
      <c r="J321" s="2"/>
      <c r="K321" s="1"/>
      <c r="L321" s="2"/>
      <c r="M321" s="2"/>
      <c r="N321" s="15"/>
      <c r="O321" s="3"/>
    </row>
    <row r="322" spans="1:15" ht="15" x14ac:dyDescent="0.35">
      <c r="A322" s="1"/>
      <c r="B322" s="2"/>
      <c r="C322" s="2"/>
      <c r="D322" s="15"/>
      <c r="E322" s="2"/>
      <c r="F322" s="1"/>
      <c r="G322" s="2"/>
      <c r="H322" s="2"/>
      <c r="I322" s="15"/>
      <c r="J322" s="2"/>
      <c r="K322" s="1"/>
      <c r="L322" s="2"/>
      <c r="M322" s="2"/>
      <c r="N322" s="15"/>
      <c r="O322" s="3"/>
    </row>
    <row r="323" spans="1:15" ht="15.6" thickBot="1" x14ac:dyDescent="0.4">
      <c r="A323" s="17"/>
      <c r="B323" s="18"/>
      <c r="C323" s="18"/>
      <c r="D323" s="19" t="s">
        <v>16</v>
      </c>
      <c r="E323" s="18"/>
      <c r="F323" s="17"/>
      <c r="G323" s="18"/>
      <c r="H323" s="18"/>
      <c r="I323" s="19" t="s">
        <v>16</v>
      </c>
      <c r="J323" s="18"/>
      <c r="K323" s="17"/>
      <c r="L323" s="18"/>
      <c r="M323" s="18"/>
      <c r="N323" s="19" t="s">
        <v>16</v>
      </c>
      <c r="O323" s="20"/>
    </row>
    <row r="324" spans="1:15" ht="15" x14ac:dyDescent="0.35">
      <c r="A324" s="46" t="s">
        <v>0</v>
      </c>
      <c r="B324" s="47"/>
      <c r="C324" s="47"/>
      <c r="D324" s="47"/>
      <c r="E324" s="47"/>
      <c r="F324" s="46" t="s">
        <v>0</v>
      </c>
      <c r="G324" s="47"/>
      <c r="H324" s="47"/>
      <c r="I324" s="47"/>
      <c r="J324" s="47"/>
      <c r="K324" s="46" t="s">
        <v>0</v>
      </c>
      <c r="L324" s="47"/>
      <c r="M324" s="47"/>
      <c r="N324" s="47"/>
      <c r="O324" s="48"/>
    </row>
    <row r="325" spans="1:15" ht="15" x14ac:dyDescent="0.35">
      <c r="A325" s="1"/>
      <c r="B325" s="2"/>
      <c r="C325" s="2"/>
      <c r="D325" s="2"/>
      <c r="E325" s="4"/>
      <c r="F325" s="1"/>
      <c r="G325" s="2"/>
      <c r="H325" s="2"/>
      <c r="I325" s="2"/>
      <c r="J325" s="2"/>
      <c r="K325" s="1"/>
      <c r="L325" s="2"/>
      <c r="M325" s="2"/>
      <c r="N325" s="2"/>
      <c r="O325" s="3"/>
    </row>
    <row r="326" spans="1:15" ht="15" x14ac:dyDescent="0.35">
      <c r="A326" s="1" t="s">
        <v>1</v>
      </c>
      <c r="B326" s="2" t="s">
        <v>2</v>
      </c>
      <c r="C326" s="51" t="s">
        <v>47</v>
      </c>
      <c r="D326" s="51"/>
      <c r="E326" s="4">
        <v>39</v>
      </c>
      <c r="F326" s="1" t="s">
        <v>1</v>
      </c>
      <c r="G326" s="2" t="s">
        <v>2</v>
      </c>
      <c r="H326" s="50" t="s">
        <v>48</v>
      </c>
      <c r="I326" s="50"/>
      <c r="J326" s="4">
        <v>44</v>
      </c>
      <c r="K326" s="1" t="s">
        <v>1</v>
      </c>
      <c r="L326" s="24"/>
      <c r="M326" s="5" t="s">
        <v>2</v>
      </c>
      <c r="N326" s="5" t="s">
        <v>67</v>
      </c>
      <c r="O326" s="6">
        <v>28</v>
      </c>
    </row>
    <row r="327" spans="1:15" ht="15" x14ac:dyDescent="0.35">
      <c r="A327" s="1" t="s">
        <v>4</v>
      </c>
      <c r="B327" s="2"/>
      <c r="C327" s="2" t="s">
        <v>2</v>
      </c>
      <c r="D327" s="2"/>
      <c r="F327" s="1" t="s">
        <v>4</v>
      </c>
      <c r="G327" s="2"/>
      <c r="H327" s="2" t="s">
        <v>2</v>
      </c>
      <c r="I327" s="2"/>
      <c r="J327" s="2"/>
      <c r="K327" s="1" t="s">
        <v>4</v>
      </c>
      <c r="L327" s="2"/>
      <c r="M327" s="2"/>
      <c r="N327" s="2"/>
      <c r="O327" s="3"/>
    </row>
    <row r="328" spans="1:15" ht="15" x14ac:dyDescent="0.35">
      <c r="A328" s="1" t="s">
        <v>5</v>
      </c>
      <c r="B328" s="2"/>
      <c r="C328" s="2" t="s">
        <v>2</v>
      </c>
      <c r="D328" s="25">
        <f>'[3]KARNING 2021'!$C$973</f>
        <v>15000</v>
      </c>
      <c r="E328" s="2"/>
      <c r="F328" s="1" t="s">
        <v>5</v>
      </c>
      <c r="G328" s="2"/>
      <c r="H328" s="2" t="s">
        <v>2</v>
      </c>
      <c r="I328" s="25">
        <f>'[3]KARNING 2021'!$C$990</f>
        <v>100000</v>
      </c>
      <c r="J328" s="2"/>
      <c r="K328" s="1" t="s">
        <v>49</v>
      </c>
      <c r="L328" s="2"/>
      <c r="M328" s="2" t="s">
        <v>2</v>
      </c>
      <c r="N328" s="7">
        <v>100000</v>
      </c>
      <c r="O328" s="3"/>
    </row>
    <row r="329" spans="1:15" ht="15" x14ac:dyDescent="0.35">
      <c r="A329" s="1" t="s">
        <v>6</v>
      </c>
      <c r="B329" s="2"/>
      <c r="C329" s="2" t="s">
        <v>2</v>
      </c>
      <c r="D329" s="25">
        <f>'[3]KARNING 2021'!$D$973</f>
        <v>10000</v>
      </c>
      <c r="E329" s="2"/>
      <c r="F329" s="1" t="s">
        <v>6</v>
      </c>
      <c r="G329" s="2"/>
      <c r="H329" s="2" t="s">
        <v>2</v>
      </c>
      <c r="I329" s="25">
        <f>'[3]KARNING 2021'!$D$990</f>
        <v>75000</v>
      </c>
      <c r="J329" s="2"/>
      <c r="K329" s="1" t="s">
        <v>6</v>
      </c>
      <c r="L329" s="2"/>
      <c r="M329" s="2" t="s">
        <v>2</v>
      </c>
      <c r="N329" s="7">
        <v>50000</v>
      </c>
      <c r="O329" s="3"/>
    </row>
    <row r="330" spans="1:15" ht="15" x14ac:dyDescent="0.35">
      <c r="A330" s="1" t="s">
        <v>7</v>
      </c>
      <c r="B330" s="2"/>
      <c r="C330" s="2" t="s">
        <v>2</v>
      </c>
      <c r="D330" s="25">
        <f>[21]krnmei!$E$978</f>
        <v>500000</v>
      </c>
      <c r="E330" s="2"/>
      <c r="F330" s="1" t="s">
        <v>7</v>
      </c>
      <c r="G330" s="2"/>
      <c r="H330" s="2" t="s">
        <v>2</v>
      </c>
      <c r="I330" s="25">
        <f>'[3]KARNING 2021'!$E$990</f>
        <v>100000</v>
      </c>
      <c r="J330" s="2"/>
      <c r="K330" s="1" t="s">
        <v>7</v>
      </c>
      <c r="L330" s="2"/>
      <c r="M330" s="2" t="s">
        <v>2</v>
      </c>
      <c r="N330" s="7">
        <v>100000</v>
      </c>
      <c r="O330" s="3"/>
    </row>
    <row r="331" spans="1:15" ht="15" x14ac:dyDescent="0.35">
      <c r="A331" s="1" t="s">
        <v>8</v>
      </c>
      <c r="B331" s="7">
        <v>34</v>
      </c>
      <c r="C331" s="2" t="s">
        <v>2</v>
      </c>
      <c r="D331" s="25">
        <f>'[3]KARNING 2021'!$I$973</f>
        <v>200000</v>
      </c>
      <c r="E331" s="2"/>
      <c r="F331" s="1" t="s">
        <v>8</v>
      </c>
      <c r="G331" s="7">
        <v>29</v>
      </c>
      <c r="H331" s="2" t="s">
        <v>2</v>
      </c>
      <c r="I331" s="25">
        <f>[26]krnmei!$I$995</f>
        <v>1500000</v>
      </c>
      <c r="J331" s="2"/>
      <c r="K331" s="1" t="s">
        <v>8</v>
      </c>
      <c r="L331" s="2"/>
      <c r="M331" s="2" t="s">
        <v>2</v>
      </c>
      <c r="N331" s="7"/>
      <c r="O331" s="3"/>
    </row>
    <row r="332" spans="1:15" ht="15" x14ac:dyDescent="0.35">
      <c r="A332" s="1" t="s">
        <v>9</v>
      </c>
      <c r="B332" s="2"/>
      <c r="C332" s="2" t="s">
        <v>2</v>
      </c>
      <c r="D332" s="11">
        <f>[37]krnmei!$K$973</f>
        <v>33000</v>
      </c>
      <c r="E332" s="2"/>
      <c r="F332" s="1" t="s">
        <v>9</v>
      </c>
      <c r="G332" s="7"/>
      <c r="H332" s="2" t="s">
        <v>2</v>
      </c>
      <c r="I332" s="11">
        <f>[37]krnmei!$K$990</f>
        <v>82500</v>
      </c>
      <c r="J332" s="2"/>
      <c r="K332" s="1" t="s">
        <v>9</v>
      </c>
      <c r="L332" s="2"/>
      <c r="M332" s="2" t="s">
        <v>2</v>
      </c>
      <c r="N332" s="11"/>
      <c r="O332" s="3"/>
    </row>
    <row r="333" spans="1:15" ht="15" x14ac:dyDescent="0.35">
      <c r="A333" s="1" t="s">
        <v>10</v>
      </c>
      <c r="B333" s="7"/>
      <c r="C333" s="2" t="s">
        <v>2</v>
      </c>
      <c r="D333" s="8">
        <v>0</v>
      </c>
      <c r="E333" s="2"/>
      <c r="F333" s="1" t="s">
        <v>10</v>
      </c>
      <c r="G333" s="7"/>
      <c r="H333" s="2" t="s">
        <v>2</v>
      </c>
      <c r="I333" s="8">
        <v>0</v>
      </c>
      <c r="J333" s="2"/>
      <c r="K333" s="1" t="s">
        <v>10</v>
      </c>
      <c r="L333" s="2"/>
      <c r="M333" s="2" t="s">
        <v>2</v>
      </c>
      <c r="N333" s="7"/>
      <c r="O333" s="3"/>
    </row>
    <row r="334" spans="1:15" ht="15" x14ac:dyDescent="0.35">
      <c r="A334" s="1" t="s">
        <v>11</v>
      </c>
      <c r="B334" s="2"/>
      <c r="C334" s="2" t="s">
        <v>2</v>
      </c>
      <c r="D334" s="8">
        <v>0</v>
      </c>
      <c r="E334" s="2"/>
      <c r="F334" s="1" t="s">
        <v>11</v>
      </c>
      <c r="G334" s="2"/>
      <c r="H334" s="2" t="s">
        <v>2</v>
      </c>
      <c r="I334" s="8">
        <v>0</v>
      </c>
      <c r="J334" s="2"/>
      <c r="K334" s="1" t="s">
        <v>11</v>
      </c>
      <c r="L334" s="2"/>
      <c r="M334" s="2" t="s">
        <v>2</v>
      </c>
      <c r="N334" s="2"/>
      <c r="O334" s="3"/>
    </row>
    <row r="335" spans="1:15" ht="15" x14ac:dyDescent="0.35">
      <c r="A335" s="1" t="s">
        <v>12</v>
      </c>
      <c r="B335" s="2"/>
      <c r="C335" s="2" t="s">
        <v>2</v>
      </c>
      <c r="D335" s="7">
        <f>'[3]KARNING 2021'!$F$973</f>
        <v>50000</v>
      </c>
      <c r="E335" s="2"/>
      <c r="F335" s="1" t="s">
        <v>12</v>
      </c>
      <c r="G335" s="2"/>
      <c r="H335" s="2" t="s">
        <v>2</v>
      </c>
      <c r="I335" s="8">
        <f>'[3]KARNING 2021'!$F$990</f>
        <v>50000</v>
      </c>
      <c r="J335" s="2"/>
      <c r="K335" s="1" t="s">
        <v>12</v>
      </c>
      <c r="L335" s="2"/>
      <c r="M335" s="2" t="s">
        <v>2</v>
      </c>
      <c r="N335" s="8">
        <v>100000</v>
      </c>
      <c r="O335" s="3"/>
    </row>
    <row r="336" spans="1:15" ht="15" x14ac:dyDescent="0.35">
      <c r="A336" s="13" t="s">
        <v>13</v>
      </c>
      <c r="B336" s="5"/>
      <c r="C336" s="5" t="s">
        <v>2</v>
      </c>
      <c r="D336" s="24">
        <f>SUM(D328:D335)</f>
        <v>808000</v>
      </c>
      <c r="E336" s="2"/>
      <c r="F336" s="13" t="s">
        <v>13</v>
      </c>
      <c r="G336" s="5"/>
      <c r="H336" s="5" t="s">
        <v>2</v>
      </c>
      <c r="I336" s="24">
        <f>SUM(I328:I335)</f>
        <v>1907500</v>
      </c>
      <c r="J336" s="2"/>
      <c r="K336" s="13" t="s">
        <v>13</v>
      </c>
      <c r="L336" s="5"/>
      <c r="M336" s="5"/>
      <c r="N336" s="24">
        <f>SUM(N328:N335)</f>
        <v>350000</v>
      </c>
      <c r="O336" s="3"/>
    </row>
    <row r="337" spans="1:15" ht="15" x14ac:dyDescent="0.35">
      <c r="A337" s="1" t="s">
        <v>14</v>
      </c>
      <c r="B337" s="2"/>
      <c r="C337" s="2" t="s">
        <v>2</v>
      </c>
      <c r="D337" s="25">
        <f>[37]krnmei!$J$973</f>
        <v>2000000</v>
      </c>
      <c r="E337" s="2"/>
      <c r="F337" s="1" t="s">
        <v>14</v>
      </c>
      <c r="G337" s="2"/>
      <c r="H337" s="2" t="s">
        <v>2</v>
      </c>
      <c r="I337" s="32">
        <f>[37]krnmei!$J$990</f>
        <v>9000000</v>
      </c>
      <c r="J337" s="2"/>
      <c r="K337" s="1" t="s">
        <v>14</v>
      </c>
      <c r="L337" s="2"/>
      <c r="M337" s="2" t="s">
        <v>2</v>
      </c>
      <c r="N337" s="32">
        <f>[24]krnmei!$J$1014</f>
        <v>0</v>
      </c>
      <c r="O337" s="3"/>
    </row>
    <row r="338" spans="1:15" ht="15" x14ac:dyDescent="0.35">
      <c r="A338" s="1"/>
      <c r="B338" s="2"/>
      <c r="C338" s="15"/>
      <c r="D338" s="35" t="str">
        <f>D167</f>
        <v>Grogol, 02 Januari 2026</v>
      </c>
      <c r="E338" s="2"/>
      <c r="F338" s="1"/>
      <c r="G338" s="2"/>
      <c r="H338" s="15"/>
      <c r="I338" s="35" t="str">
        <f>D167</f>
        <v>Grogol, 02 Januari 2026</v>
      </c>
      <c r="J338" s="15"/>
      <c r="K338" s="1"/>
      <c r="L338" s="49" t="str">
        <f>I338</f>
        <v>Grogol, 02 Januari 2026</v>
      </c>
      <c r="M338" s="49"/>
      <c r="N338" s="49"/>
      <c r="O338" s="16"/>
    </row>
    <row r="339" spans="1:15" ht="15" x14ac:dyDescent="0.35">
      <c r="A339" s="1"/>
      <c r="B339" s="2"/>
      <c r="C339" s="2"/>
      <c r="D339" s="15" t="s">
        <v>15</v>
      </c>
      <c r="E339" s="15"/>
      <c r="F339" s="1"/>
      <c r="G339" s="2"/>
      <c r="H339" s="2"/>
      <c r="I339" s="15" t="s">
        <v>15</v>
      </c>
      <c r="J339" s="2"/>
      <c r="K339" s="1"/>
      <c r="L339" s="2"/>
      <c r="M339" s="2"/>
      <c r="N339" s="15" t="s">
        <v>15</v>
      </c>
      <c r="O339" s="3"/>
    </row>
    <row r="340" spans="1:15" ht="15" x14ac:dyDescent="0.35">
      <c r="A340" s="1"/>
      <c r="B340" s="2"/>
      <c r="C340" s="2"/>
      <c r="D340" s="15"/>
      <c r="E340" s="2"/>
      <c r="F340" s="1"/>
      <c r="G340" s="2"/>
      <c r="H340" s="2"/>
      <c r="I340" s="15"/>
      <c r="J340" s="2"/>
      <c r="K340" s="1"/>
      <c r="L340" s="2"/>
      <c r="M340" s="2"/>
      <c r="N340" s="2"/>
      <c r="O340" s="3"/>
    </row>
    <row r="341" spans="1:15" ht="15" x14ac:dyDescent="0.35">
      <c r="A341" s="1"/>
      <c r="B341" s="2"/>
      <c r="C341" s="2"/>
      <c r="D341" s="15"/>
      <c r="E341" s="2"/>
      <c r="F341" s="1"/>
      <c r="G341" s="2"/>
      <c r="H341" s="2"/>
      <c r="I341" s="15"/>
      <c r="J341" s="2"/>
      <c r="K341" s="1"/>
      <c r="L341" s="2"/>
      <c r="M341" s="2"/>
      <c r="N341" s="2"/>
      <c r="O341" s="3"/>
    </row>
    <row r="342" spans="1:15" ht="15.6" thickBot="1" x14ac:dyDescent="0.4">
      <c r="A342" s="17"/>
      <c r="B342" s="18"/>
      <c r="C342" s="18"/>
      <c r="D342" s="19" t="s">
        <v>16</v>
      </c>
      <c r="E342" s="18"/>
      <c r="F342" s="17"/>
      <c r="G342" s="18"/>
      <c r="H342" s="18"/>
      <c r="I342" s="19" t="s">
        <v>16</v>
      </c>
      <c r="J342" s="18"/>
      <c r="K342" s="17"/>
      <c r="L342" s="18"/>
      <c r="M342" s="18"/>
      <c r="N342" s="19" t="s">
        <v>16</v>
      </c>
      <c r="O342" s="20"/>
    </row>
    <row r="343" spans="1:15" ht="15" x14ac:dyDescent="0.35">
      <c r="A343" s="46" t="s">
        <v>0</v>
      </c>
      <c r="B343" s="47"/>
      <c r="C343" s="47"/>
      <c r="D343" s="47"/>
      <c r="E343" s="47"/>
      <c r="F343" s="46" t="s">
        <v>0</v>
      </c>
      <c r="G343" s="47"/>
      <c r="H343" s="47"/>
      <c r="I343" s="47"/>
      <c r="J343" s="47"/>
      <c r="K343" s="46" t="s">
        <v>0</v>
      </c>
      <c r="L343" s="47"/>
      <c r="M343" s="47"/>
      <c r="N343" s="47"/>
      <c r="O343" s="48"/>
    </row>
    <row r="344" spans="1:15" ht="15" x14ac:dyDescent="0.35">
      <c r="A344" s="1"/>
      <c r="B344" s="2"/>
      <c r="C344" s="2"/>
      <c r="D344" s="2"/>
      <c r="E344" s="2"/>
      <c r="F344" s="1"/>
      <c r="G344" s="2"/>
      <c r="H344" s="2"/>
      <c r="I344" s="2"/>
      <c r="J344" s="2"/>
      <c r="K344" s="1"/>
      <c r="L344" s="2"/>
      <c r="M344" s="2"/>
      <c r="N344" s="2"/>
      <c r="O344" s="3"/>
    </row>
    <row r="345" spans="1:15" ht="15" x14ac:dyDescent="0.35">
      <c r="A345" s="1" t="s">
        <v>1</v>
      </c>
      <c r="B345" s="2" t="s">
        <v>2</v>
      </c>
      <c r="C345" s="50" t="s">
        <v>50</v>
      </c>
      <c r="D345" s="50"/>
      <c r="E345" s="4">
        <v>40</v>
      </c>
      <c r="F345" s="1" t="s">
        <v>1</v>
      </c>
      <c r="G345" s="2" t="s">
        <v>2</v>
      </c>
      <c r="H345" s="50" t="s">
        <v>51</v>
      </c>
      <c r="I345" s="50"/>
      <c r="J345" s="4">
        <v>41</v>
      </c>
      <c r="K345" s="1" t="s">
        <v>1</v>
      </c>
      <c r="L345" s="2" t="s">
        <v>2</v>
      </c>
      <c r="M345" s="50" t="s">
        <v>63</v>
      </c>
      <c r="N345" s="50"/>
      <c r="O345" s="6">
        <v>47</v>
      </c>
    </row>
    <row r="346" spans="1:15" ht="15" x14ac:dyDescent="0.35">
      <c r="A346" s="1" t="s">
        <v>4</v>
      </c>
      <c r="B346" s="2"/>
      <c r="C346" s="2" t="s">
        <v>2</v>
      </c>
      <c r="D346" s="2"/>
      <c r="F346" s="1" t="s">
        <v>4</v>
      </c>
      <c r="G346" s="2"/>
      <c r="H346" s="2" t="s">
        <v>2</v>
      </c>
      <c r="I346" s="2"/>
      <c r="J346" s="2"/>
      <c r="K346" s="1" t="s">
        <v>52</v>
      </c>
      <c r="L346" s="2" t="s">
        <v>2</v>
      </c>
      <c r="M346" s="2"/>
      <c r="N346" s="2"/>
      <c r="O346" s="3"/>
    </row>
    <row r="347" spans="1:15" ht="15" x14ac:dyDescent="0.35">
      <c r="A347" s="1" t="s">
        <v>5</v>
      </c>
      <c r="B347" s="2"/>
      <c r="C347" s="2" t="s">
        <v>2</v>
      </c>
      <c r="D347" s="25">
        <f>'[3]KARNING 2021'!$C$1024</f>
        <v>20000</v>
      </c>
      <c r="E347" s="2"/>
      <c r="F347" s="1" t="s">
        <v>5</v>
      </c>
      <c r="G347" s="2"/>
      <c r="H347" s="2" t="s">
        <v>2</v>
      </c>
      <c r="I347" s="25">
        <f>'[3]KARNING 2021'!$C$1041</f>
        <v>15000</v>
      </c>
      <c r="J347" s="2"/>
      <c r="K347" s="1" t="s">
        <v>53</v>
      </c>
      <c r="L347" s="2"/>
      <c r="M347" s="2" t="s">
        <v>2</v>
      </c>
      <c r="N347" s="7">
        <v>0</v>
      </c>
      <c r="O347" s="3"/>
    </row>
    <row r="348" spans="1:15" ht="15" x14ac:dyDescent="0.35">
      <c r="A348" s="1" t="s">
        <v>6</v>
      </c>
      <c r="B348" s="2"/>
      <c r="C348" s="2" t="s">
        <v>2</v>
      </c>
      <c r="D348" s="25">
        <v>20000</v>
      </c>
      <c r="E348" s="2"/>
      <c r="F348" s="1" t="s">
        <v>6</v>
      </c>
      <c r="G348" s="2"/>
      <c r="H348" s="2" t="s">
        <v>2</v>
      </c>
      <c r="I348" s="25">
        <f>'[3]KARNING 2021'!$D$1041</f>
        <v>10000</v>
      </c>
      <c r="J348" s="2"/>
      <c r="K348" s="1" t="s">
        <v>54</v>
      </c>
      <c r="L348" s="2"/>
      <c r="M348" s="2" t="s">
        <v>2</v>
      </c>
      <c r="N348" s="7">
        <v>0</v>
      </c>
      <c r="O348" s="3"/>
    </row>
    <row r="349" spans="1:15" ht="15" x14ac:dyDescent="0.35">
      <c r="A349" s="1" t="s">
        <v>7</v>
      </c>
      <c r="B349" s="2"/>
      <c r="C349" s="2" t="s">
        <v>2</v>
      </c>
      <c r="D349" s="25">
        <v>20000</v>
      </c>
      <c r="E349" s="2"/>
      <c r="F349" s="1" t="s">
        <v>7</v>
      </c>
      <c r="G349" s="2"/>
      <c r="H349" s="2" t="s">
        <v>2</v>
      </c>
      <c r="I349" s="8">
        <v>50000</v>
      </c>
      <c r="J349" s="2"/>
      <c r="K349" s="1" t="s">
        <v>55</v>
      </c>
      <c r="L349" s="2"/>
      <c r="M349" s="2" t="s">
        <v>2</v>
      </c>
      <c r="N349" s="7">
        <v>0</v>
      </c>
      <c r="O349" s="3"/>
    </row>
    <row r="350" spans="1:15" ht="15" x14ac:dyDescent="0.35">
      <c r="A350" s="1" t="s">
        <v>8</v>
      </c>
      <c r="B350" s="21">
        <v>0</v>
      </c>
      <c r="C350" s="2" t="s">
        <v>2</v>
      </c>
      <c r="D350" s="25">
        <v>0</v>
      </c>
      <c r="E350" s="2"/>
      <c r="F350" s="1" t="s">
        <v>8</v>
      </c>
      <c r="G350" s="21">
        <v>7</v>
      </c>
      <c r="H350" s="2" t="s">
        <v>2</v>
      </c>
      <c r="I350" s="25">
        <f>[31]krnmei!$I$1048</f>
        <v>500000</v>
      </c>
      <c r="J350" s="2"/>
      <c r="K350" s="1" t="s">
        <v>8</v>
      </c>
      <c r="L350" s="2"/>
      <c r="M350" s="2" t="s">
        <v>2</v>
      </c>
      <c r="N350" s="7"/>
      <c r="O350" s="3"/>
    </row>
    <row r="351" spans="1:15" ht="15" x14ac:dyDescent="0.35">
      <c r="A351" s="1" t="s">
        <v>9</v>
      </c>
      <c r="B351" s="2"/>
      <c r="C351" s="2" t="s">
        <v>2</v>
      </c>
      <c r="D351" s="11">
        <v>0</v>
      </c>
      <c r="E351" s="2"/>
      <c r="F351" s="1" t="s">
        <v>9</v>
      </c>
      <c r="G351" s="2"/>
      <c r="H351" s="2" t="s">
        <v>2</v>
      </c>
      <c r="I351" s="11">
        <f>[37]krnmei!$K$1041</f>
        <v>67500</v>
      </c>
      <c r="J351" s="2"/>
      <c r="K351" s="1" t="s">
        <v>56</v>
      </c>
      <c r="L351" s="2"/>
      <c r="M351" s="2" t="s">
        <v>2</v>
      </c>
      <c r="N351" s="11"/>
      <c r="O351" s="3"/>
    </row>
    <row r="352" spans="1:15" ht="15" x14ac:dyDescent="0.35">
      <c r="A352" s="1" t="s">
        <v>10</v>
      </c>
      <c r="B352" s="2"/>
      <c r="C352" s="2" t="s">
        <v>2</v>
      </c>
      <c r="D352" s="8">
        <v>0</v>
      </c>
      <c r="E352" s="2"/>
      <c r="F352" s="1" t="s">
        <v>10</v>
      </c>
      <c r="G352" s="2"/>
      <c r="H352" s="2" t="s">
        <v>2</v>
      </c>
      <c r="I352" s="8"/>
      <c r="J352" s="2"/>
      <c r="K352" s="1" t="s">
        <v>57</v>
      </c>
      <c r="L352" s="2"/>
      <c r="M352" s="2" t="s">
        <v>2</v>
      </c>
      <c r="N352" s="2"/>
      <c r="O352" s="3"/>
    </row>
    <row r="353" spans="1:15" ht="15" x14ac:dyDescent="0.35">
      <c r="A353" s="1" t="s">
        <v>11</v>
      </c>
      <c r="B353" s="2"/>
      <c r="C353" s="2" t="s">
        <v>2</v>
      </c>
      <c r="D353" s="9">
        <v>0</v>
      </c>
      <c r="E353" s="2"/>
      <c r="F353" s="1" t="s">
        <v>11</v>
      </c>
      <c r="G353" s="2"/>
      <c r="H353" s="2" t="s">
        <v>2</v>
      </c>
      <c r="I353" s="9"/>
      <c r="J353" s="2"/>
      <c r="K353" s="1" t="s">
        <v>58</v>
      </c>
      <c r="L353" s="2"/>
      <c r="M353" s="2" t="s">
        <v>2</v>
      </c>
      <c r="N353" s="2"/>
      <c r="O353" s="3"/>
    </row>
    <row r="354" spans="1:15" ht="15" x14ac:dyDescent="0.35">
      <c r="A354" s="1" t="s">
        <v>12</v>
      </c>
      <c r="B354" s="2"/>
      <c r="C354" s="2" t="s">
        <v>2</v>
      </c>
      <c r="D354" s="8">
        <v>20000</v>
      </c>
      <c r="E354" s="2"/>
      <c r="F354" s="1" t="s">
        <v>12</v>
      </c>
      <c r="G354" s="2"/>
      <c r="H354" s="2" t="s">
        <v>2</v>
      </c>
      <c r="I354" s="8"/>
      <c r="J354" s="2"/>
      <c r="K354" s="1" t="s">
        <v>59</v>
      </c>
      <c r="L354" s="2"/>
      <c r="M354" s="2" t="s">
        <v>2</v>
      </c>
      <c r="N354" s="36"/>
      <c r="O354" s="3"/>
    </row>
    <row r="355" spans="1:15" ht="15" x14ac:dyDescent="0.35">
      <c r="A355" s="13" t="s">
        <v>13</v>
      </c>
      <c r="B355" s="5"/>
      <c r="C355" s="5" t="s">
        <v>2</v>
      </c>
      <c r="D355" s="24">
        <f>SUM(D347:D354)</f>
        <v>80000</v>
      </c>
      <c r="E355" s="2"/>
      <c r="F355" s="13" t="s">
        <v>13</v>
      </c>
      <c r="G355" s="5"/>
      <c r="H355" s="5" t="s">
        <v>2</v>
      </c>
      <c r="I355" s="24">
        <f>SUM(I347:I354)</f>
        <v>642500</v>
      </c>
      <c r="J355" s="2"/>
      <c r="K355" s="13" t="s">
        <v>13</v>
      </c>
      <c r="L355" s="5"/>
      <c r="M355" s="5"/>
      <c r="N355" s="24">
        <f>SUM(N347:N354)</f>
        <v>0</v>
      </c>
      <c r="O355" s="3"/>
    </row>
    <row r="356" spans="1:15" ht="15" x14ac:dyDescent="0.35">
      <c r="A356" s="1" t="s">
        <v>14</v>
      </c>
      <c r="B356" s="2"/>
      <c r="C356" s="2" t="s">
        <v>2</v>
      </c>
      <c r="D356" s="25">
        <f>[6]krnmei!$J$1032</f>
        <v>0</v>
      </c>
      <c r="E356" s="2"/>
      <c r="F356" s="1" t="s">
        <v>14</v>
      </c>
      <c r="G356" s="2"/>
      <c r="H356" s="2" t="s">
        <v>2</v>
      </c>
      <c r="I356" s="27">
        <f>[37]krnmei!$J$1041</f>
        <v>4000000</v>
      </c>
      <c r="J356" s="2"/>
      <c r="K356" s="1" t="s">
        <v>14</v>
      </c>
      <c r="L356" s="2"/>
      <c r="M356" s="2"/>
      <c r="N356" s="27"/>
      <c r="O356" s="3"/>
    </row>
    <row r="357" spans="1:15" ht="15" x14ac:dyDescent="0.35">
      <c r="A357" s="1"/>
      <c r="B357" s="2"/>
      <c r="C357" s="15"/>
      <c r="D357" s="35" t="str">
        <f>D167</f>
        <v>Grogol, 02 Januari 2026</v>
      </c>
      <c r="E357" s="2"/>
      <c r="F357" s="1"/>
      <c r="G357" s="2"/>
      <c r="H357" s="15"/>
      <c r="I357" s="15" t="str">
        <f>D357</f>
        <v>Grogol, 02 Januari 2026</v>
      </c>
      <c r="J357" s="15"/>
      <c r="K357" s="1"/>
      <c r="L357" s="2"/>
      <c r="M357" s="15"/>
      <c r="N357" s="15" t="s">
        <v>84</v>
      </c>
      <c r="O357" s="16"/>
    </row>
    <row r="358" spans="1:15" ht="15" x14ac:dyDescent="0.35">
      <c r="A358" s="1"/>
      <c r="B358" s="2"/>
      <c r="C358" s="2"/>
      <c r="D358" s="15" t="s">
        <v>15</v>
      </c>
      <c r="E358" s="15"/>
      <c r="F358" s="1"/>
      <c r="G358" s="2"/>
      <c r="H358" s="2"/>
      <c r="I358" s="15" t="s">
        <v>15</v>
      </c>
      <c r="J358" s="2"/>
      <c r="K358" s="1"/>
      <c r="L358" s="2"/>
      <c r="M358" s="2"/>
      <c r="N358" s="15" t="s">
        <v>15</v>
      </c>
      <c r="O358" s="3"/>
    </row>
    <row r="359" spans="1:15" ht="15" x14ac:dyDescent="0.35">
      <c r="A359" s="1"/>
      <c r="B359" s="2"/>
      <c r="C359" s="2"/>
      <c r="D359" s="15"/>
      <c r="E359" s="2"/>
      <c r="F359" s="1"/>
      <c r="G359" s="2"/>
      <c r="H359" s="2"/>
      <c r="I359" s="15"/>
      <c r="J359" s="2"/>
      <c r="K359" s="1"/>
      <c r="L359" s="2"/>
      <c r="M359" s="2"/>
      <c r="N359" s="2"/>
      <c r="O359" s="3"/>
    </row>
    <row r="360" spans="1:15" ht="15" x14ac:dyDescent="0.35">
      <c r="A360" s="1"/>
      <c r="B360" s="2"/>
      <c r="C360" s="2"/>
      <c r="D360" s="15"/>
      <c r="E360" s="2"/>
      <c r="F360" s="1"/>
      <c r="G360" s="2"/>
      <c r="H360" s="2"/>
      <c r="I360" s="15"/>
      <c r="J360" s="2"/>
      <c r="K360" s="1"/>
      <c r="L360" s="2"/>
      <c r="M360" s="2"/>
      <c r="N360" s="2"/>
      <c r="O360" s="3"/>
    </row>
    <row r="361" spans="1:15" ht="15.6" thickBot="1" x14ac:dyDescent="0.4">
      <c r="A361" s="17"/>
      <c r="B361" s="18"/>
      <c r="C361" s="18"/>
      <c r="D361" s="19" t="s">
        <v>16</v>
      </c>
      <c r="E361" s="18"/>
      <c r="F361" s="17"/>
      <c r="G361" s="18"/>
      <c r="H361" s="18"/>
      <c r="I361" s="19" t="s">
        <v>16</v>
      </c>
      <c r="J361" s="18"/>
      <c r="K361" s="17"/>
      <c r="L361" s="18"/>
      <c r="M361" s="37"/>
      <c r="N361" s="19" t="s">
        <v>16</v>
      </c>
      <c r="O361" s="20"/>
    </row>
    <row r="362" spans="1:15" ht="15" x14ac:dyDescent="0.35">
      <c r="A362" s="46" t="s">
        <v>0</v>
      </c>
      <c r="B362" s="47"/>
      <c r="C362" s="47"/>
      <c r="D362" s="47"/>
      <c r="E362" s="47"/>
      <c r="F362" s="46" t="s">
        <v>0</v>
      </c>
      <c r="G362" s="47"/>
      <c r="H362" s="47"/>
      <c r="I362" s="47"/>
      <c r="J362" s="47"/>
      <c r="K362" s="46" t="s">
        <v>0</v>
      </c>
      <c r="L362" s="47"/>
      <c r="M362" s="47"/>
      <c r="N362" s="47"/>
      <c r="O362" s="48"/>
    </row>
    <row r="363" spans="1:15" ht="15" x14ac:dyDescent="0.35">
      <c r="A363" s="1"/>
      <c r="B363" s="2"/>
      <c r="C363" s="2"/>
      <c r="D363" s="2"/>
      <c r="E363" s="2"/>
      <c r="F363" s="1"/>
      <c r="G363" s="2"/>
      <c r="H363" s="2"/>
      <c r="I363" s="2"/>
      <c r="J363" s="2"/>
      <c r="K363" s="1"/>
      <c r="L363" s="2"/>
      <c r="M363" s="2"/>
      <c r="N363" s="2"/>
      <c r="O363" s="3"/>
    </row>
    <row r="364" spans="1:15" ht="15" x14ac:dyDescent="0.35">
      <c r="A364" s="1" t="s">
        <v>1</v>
      </c>
      <c r="B364" s="2"/>
      <c r="C364" s="5" t="s">
        <v>2</v>
      </c>
      <c r="D364" s="42" t="s">
        <v>64</v>
      </c>
      <c r="E364" s="4">
        <v>48</v>
      </c>
      <c r="F364" s="1" t="s">
        <v>1</v>
      </c>
      <c r="G364" s="2"/>
      <c r="H364" s="5" t="s">
        <v>2</v>
      </c>
      <c r="I364" s="4" t="s">
        <v>60</v>
      </c>
      <c r="J364" s="4">
        <v>18</v>
      </c>
      <c r="K364" s="1" t="s">
        <v>1</v>
      </c>
      <c r="L364" s="2"/>
      <c r="M364" s="5" t="s">
        <v>2</v>
      </c>
      <c r="N364" s="4" t="s">
        <v>61</v>
      </c>
      <c r="O364" s="6">
        <v>19</v>
      </c>
    </row>
    <row r="365" spans="1:15" ht="15" x14ac:dyDescent="0.35">
      <c r="A365" s="1" t="s">
        <v>52</v>
      </c>
      <c r="B365" s="2"/>
      <c r="C365" s="2" t="s">
        <v>2</v>
      </c>
      <c r="D365" s="2"/>
      <c r="E365" s="2"/>
      <c r="F365" s="1" t="s">
        <v>52</v>
      </c>
      <c r="G365" s="2"/>
      <c r="H365" s="2" t="s">
        <v>2</v>
      </c>
      <c r="I365" s="2"/>
      <c r="J365" s="2"/>
      <c r="K365" s="1" t="s">
        <v>52</v>
      </c>
      <c r="L365" s="2"/>
      <c r="M365" s="2" t="s">
        <v>2</v>
      </c>
      <c r="N365" s="2"/>
      <c r="O365" s="3"/>
    </row>
    <row r="366" spans="1:15" ht="15" x14ac:dyDescent="0.35">
      <c r="A366" s="1" t="s">
        <v>65</v>
      </c>
      <c r="B366" s="2"/>
      <c r="C366" s="2" t="s">
        <v>2</v>
      </c>
      <c r="D366" s="7">
        <f>[26]krnmei!$C$1233</f>
        <v>15000</v>
      </c>
      <c r="E366" s="2"/>
      <c r="F366" s="1" t="s">
        <v>53</v>
      </c>
      <c r="G366" s="2"/>
      <c r="H366" s="2" t="s">
        <v>2</v>
      </c>
      <c r="I366" s="7">
        <f>[17]krnmei!$C$1094</f>
        <v>100000</v>
      </c>
      <c r="K366" s="1" t="s">
        <v>53</v>
      </c>
      <c r="L366" s="2"/>
      <c r="M366" s="2" t="s">
        <v>2</v>
      </c>
      <c r="N366" s="7">
        <f>[17]krnmei!$C$1111</f>
        <v>100000</v>
      </c>
      <c r="O366" s="3"/>
    </row>
    <row r="367" spans="1:15" ht="15" x14ac:dyDescent="0.35">
      <c r="A367" s="1" t="s">
        <v>54</v>
      </c>
      <c r="B367" s="2"/>
      <c r="C367" s="2" t="s">
        <v>2</v>
      </c>
      <c r="D367" s="7">
        <f>[5]krnmei!$D$1232</f>
        <v>10000</v>
      </c>
      <c r="E367" s="2"/>
      <c r="F367" s="1" t="s">
        <v>54</v>
      </c>
      <c r="G367" s="2"/>
      <c r="H367" s="2" t="s">
        <v>2</v>
      </c>
      <c r="I367" s="2">
        <v>25000</v>
      </c>
      <c r="J367" s="2"/>
      <c r="K367" s="1" t="s">
        <v>54</v>
      </c>
      <c r="L367" s="2"/>
      <c r="M367" s="2" t="s">
        <v>2</v>
      </c>
      <c r="N367" s="2">
        <v>25000</v>
      </c>
      <c r="O367" s="3"/>
    </row>
    <row r="368" spans="1:15" ht="15" x14ac:dyDescent="0.35">
      <c r="A368" s="1" t="s">
        <v>55</v>
      </c>
      <c r="B368" s="2"/>
      <c r="C368" s="2" t="s">
        <v>2</v>
      </c>
      <c r="D368" s="7">
        <f>[35]krnmei!$E$1238</f>
        <v>50000</v>
      </c>
      <c r="E368" s="2"/>
      <c r="F368" s="1" t="s">
        <v>55</v>
      </c>
      <c r="G368" s="2"/>
      <c r="H368" s="2" t="s">
        <v>2</v>
      </c>
      <c r="I368" s="7">
        <f>[25]krnmei!$E$1097</f>
        <v>200000</v>
      </c>
      <c r="J368" s="2"/>
      <c r="K368" s="1" t="s">
        <v>55</v>
      </c>
      <c r="L368" s="2"/>
      <c r="M368" s="2" t="s">
        <v>2</v>
      </c>
      <c r="N368" s="2">
        <v>0</v>
      </c>
      <c r="O368" s="3"/>
    </row>
    <row r="369" spans="1:15" ht="15" x14ac:dyDescent="0.35">
      <c r="A369" s="1" t="s">
        <v>8</v>
      </c>
      <c r="B369" s="2">
        <v>18</v>
      </c>
      <c r="C369" s="2" t="s">
        <v>2</v>
      </c>
      <c r="D369" s="2">
        <f>[6]krnmei!$I$1236</f>
        <v>400000</v>
      </c>
      <c r="E369" s="2"/>
      <c r="F369" s="1" t="s">
        <v>8</v>
      </c>
      <c r="G369" s="2"/>
      <c r="H369" s="2" t="s">
        <v>2</v>
      </c>
      <c r="I369" s="2">
        <v>0</v>
      </c>
      <c r="J369" s="2"/>
      <c r="K369" s="1" t="s">
        <v>8</v>
      </c>
      <c r="L369" s="2">
        <v>1</v>
      </c>
      <c r="M369" s="2" t="s">
        <v>2</v>
      </c>
      <c r="N369" s="2">
        <f>[37]krnmei!$I$1109</f>
        <v>3000000</v>
      </c>
      <c r="O369" s="3"/>
    </row>
    <row r="370" spans="1:15" ht="15" x14ac:dyDescent="0.35">
      <c r="A370" s="1" t="s">
        <v>56</v>
      </c>
      <c r="B370" s="2"/>
      <c r="C370" s="2" t="s">
        <v>2</v>
      </c>
      <c r="D370" s="43">
        <f>[37]krnmei!$K$1228</f>
        <v>51750</v>
      </c>
      <c r="E370" s="2"/>
      <c r="F370" s="1" t="s">
        <v>56</v>
      </c>
      <c r="G370" s="2"/>
      <c r="H370" s="2" t="s">
        <v>2</v>
      </c>
      <c r="I370" s="2">
        <v>0</v>
      </c>
      <c r="J370" s="2"/>
      <c r="K370" s="1" t="s">
        <v>56</v>
      </c>
      <c r="L370" s="2"/>
      <c r="M370" s="2" t="s">
        <v>2</v>
      </c>
      <c r="N370" s="43">
        <f>[37]krnmei!$K$1109</f>
        <v>300000</v>
      </c>
      <c r="O370" s="3"/>
    </row>
    <row r="371" spans="1:15" ht="15" x14ac:dyDescent="0.35">
      <c r="A371" s="1" t="s">
        <v>57</v>
      </c>
      <c r="B371" s="2"/>
      <c r="C371" s="2" t="s">
        <v>2</v>
      </c>
      <c r="D371" s="2">
        <v>0</v>
      </c>
      <c r="E371" s="2"/>
      <c r="F371" s="1" t="s">
        <v>57</v>
      </c>
      <c r="G371" s="2"/>
      <c r="H371" s="2" t="s">
        <v>2</v>
      </c>
      <c r="I371" s="2">
        <v>0</v>
      </c>
      <c r="J371" s="2"/>
      <c r="K371" s="1" t="s">
        <v>57</v>
      </c>
      <c r="L371" s="2"/>
      <c r="M371" s="2" t="s">
        <v>2</v>
      </c>
      <c r="N371" s="2">
        <v>0</v>
      </c>
      <c r="O371" s="3"/>
    </row>
    <row r="372" spans="1:15" ht="15" x14ac:dyDescent="0.35">
      <c r="A372" s="1" t="s">
        <v>62</v>
      </c>
      <c r="B372" s="2"/>
      <c r="C372" s="2" t="s">
        <v>2</v>
      </c>
      <c r="D372" s="2">
        <v>0</v>
      </c>
      <c r="E372" s="2"/>
      <c r="F372" s="1" t="s">
        <v>62</v>
      </c>
      <c r="G372" s="2"/>
      <c r="H372" s="2" t="s">
        <v>2</v>
      </c>
      <c r="I372" s="2">
        <v>0</v>
      </c>
      <c r="J372" s="2"/>
      <c r="K372" s="1" t="s">
        <v>62</v>
      </c>
      <c r="L372" s="2"/>
      <c r="M372" s="2" t="s">
        <v>2</v>
      </c>
      <c r="N372" s="2">
        <v>0</v>
      </c>
      <c r="O372" s="3"/>
    </row>
    <row r="373" spans="1:15" ht="15.6" thickBot="1" x14ac:dyDescent="0.4">
      <c r="A373" s="1" t="s">
        <v>59</v>
      </c>
      <c r="B373" s="2"/>
      <c r="C373" s="2" t="s">
        <v>2</v>
      </c>
      <c r="D373" s="2">
        <v>0</v>
      </c>
      <c r="E373" s="2"/>
      <c r="F373" s="1" t="s">
        <v>59</v>
      </c>
      <c r="G373" s="2"/>
      <c r="H373" s="2" t="s">
        <v>2</v>
      </c>
      <c r="I373" s="7">
        <f>[36]krnmei!$F$1096</f>
        <v>150000</v>
      </c>
      <c r="J373" s="2"/>
      <c r="K373" s="1" t="s">
        <v>59</v>
      </c>
      <c r="L373" s="2"/>
      <c r="M373" s="2" t="s">
        <v>2</v>
      </c>
      <c r="N373" s="7">
        <f>[36]krnmei!$F$1113</f>
        <v>150000</v>
      </c>
      <c r="O373" s="3"/>
    </row>
    <row r="374" spans="1:15" ht="15.6" thickTop="1" x14ac:dyDescent="0.35">
      <c r="A374" s="13" t="s">
        <v>13</v>
      </c>
      <c r="B374" s="5"/>
      <c r="C374" s="5"/>
      <c r="D374" s="38">
        <f>SUM(D366:D373)</f>
        <v>526750</v>
      </c>
      <c r="E374" s="2"/>
      <c r="F374" s="13" t="s">
        <v>13</v>
      </c>
      <c r="G374" s="5"/>
      <c r="H374" s="5" t="s">
        <v>2</v>
      </c>
      <c r="I374" s="38">
        <f>SUM(I366:I373)</f>
        <v>475000</v>
      </c>
      <c r="J374" s="2"/>
      <c r="K374" s="13" t="s">
        <v>13</v>
      </c>
      <c r="L374" s="5"/>
      <c r="M374" s="5" t="s">
        <v>2</v>
      </c>
      <c r="N374" s="38">
        <f>SUM(N366:N373)</f>
        <v>3575000</v>
      </c>
      <c r="O374" s="3"/>
    </row>
    <row r="375" spans="1:15" ht="15" x14ac:dyDescent="0.35">
      <c r="A375" s="1" t="s">
        <v>14</v>
      </c>
      <c r="B375" s="2"/>
      <c r="C375" s="2"/>
      <c r="D375" s="39">
        <f>[37]krnmei!$J$1228</f>
        <v>3050000</v>
      </c>
      <c r="E375" s="2"/>
      <c r="F375" s="1" t="s">
        <v>14</v>
      </c>
      <c r="G375" s="2"/>
      <c r="H375" s="2" t="s">
        <v>2</v>
      </c>
      <c r="I375" s="39">
        <v>0</v>
      </c>
      <c r="J375" s="2"/>
      <c r="K375" s="1" t="s">
        <v>14</v>
      </c>
      <c r="L375" s="2"/>
      <c r="M375" s="2" t="s">
        <v>2</v>
      </c>
      <c r="N375" s="39">
        <f>[37]krnmei!$J$1109</f>
        <v>17000000</v>
      </c>
      <c r="O375" s="3"/>
    </row>
    <row r="376" spans="1:15" ht="15" x14ac:dyDescent="0.35">
      <c r="A376" s="1"/>
      <c r="B376" s="2"/>
      <c r="C376" s="2"/>
      <c r="D376" s="15" t="s">
        <v>86</v>
      </c>
      <c r="E376" s="2"/>
      <c r="F376" s="1"/>
      <c r="G376" s="2"/>
      <c r="H376" s="15"/>
      <c r="I376" s="15" t="str">
        <f>D167</f>
        <v>Grogol, 02 Januari 2026</v>
      </c>
      <c r="J376" s="15"/>
      <c r="K376" s="1"/>
      <c r="L376" s="2"/>
      <c r="M376" s="15"/>
      <c r="N376" s="15" t="str">
        <f>D167</f>
        <v>Grogol, 02 Januari 2026</v>
      </c>
      <c r="O376" s="16"/>
    </row>
    <row r="377" spans="1:15" ht="15" x14ac:dyDescent="0.35">
      <c r="A377" s="1"/>
      <c r="B377" s="2"/>
      <c r="C377" s="2"/>
      <c r="D377" s="15" t="s">
        <v>15</v>
      </c>
      <c r="E377" s="2"/>
      <c r="F377" s="1"/>
      <c r="G377" s="2"/>
      <c r="H377" s="2"/>
      <c r="I377" s="15" t="s">
        <v>15</v>
      </c>
      <c r="J377" s="2"/>
      <c r="K377" s="1"/>
      <c r="L377" s="2"/>
      <c r="M377" s="2"/>
      <c r="N377" s="15" t="s">
        <v>15</v>
      </c>
      <c r="O377" s="3"/>
    </row>
    <row r="378" spans="1:15" ht="15" x14ac:dyDescent="0.35">
      <c r="A378" s="1"/>
      <c r="B378" s="2"/>
      <c r="C378" s="2"/>
      <c r="D378" s="15"/>
      <c r="E378" s="2"/>
      <c r="F378" s="1"/>
      <c r="G378" s="2"/>
      <c r="H378" s="2"/>
      <c r="I378" s="15"/>
      <c r="J378" s="2"/>
      <c r="K378" s="1"/>
      <c r="L378" s="2"/>
      <c r="M378" s="2"/>
      <c r="N378" s="15"/>
      <c r="O378" s="3"/>
    </row>
    <row r="379" spans="1:15" ht="15" x14ac:dyDescent="0.35">
      <c r="A379" s="1"/>
      <c r="B379" s="2"/>
      <c r="C379" s="2"/>
      <c r="D379" s="2"/>
      <c r="E379" s="2"/>
      <c r="F379" s="1"/>
      <c r="G379" s="2"/>
      <c r="H379" s="2"/>
      <c r="I379" s="15"/>
      <c r="J379" s="2"/>
      <c r="K379" s="1"/>
      <c r="L379" s="2"/>
      <c r="M379" s="2"/>
      <c r="N379" s="2"/>
      <c r="O379" s="3"/>
    </row>
    <row r="380" spans="1:15" ht="15.6" thickBot="1" x14ac:dyDescent="0.4">
      <c r="A380" s="17"/>
      <c r="B380" s="18"/>
      <c r="C380" s="18"/>
      <c r="D380" s="19" t="s">
        <v>16</v>
      </c>
      <c r="E380" s="18"/>
      <c r="F380" s="17"/>
      <c r="G380" s="18"/>
      <c r="H380" s="18"/>
      <c r="I380" s="19" t="s">
        <v>16</v>
      </c>
      <c r="J380" s="18"/>
      <c r="K380" s="17"/>
      <c r="L380" s="18"/>
      <c r="M380" s="18"/>
      <c r="N380" s="19" t="s">
        <v>16</v>
      </c>
      <c r="O380" s="20"/>
    </row>
  </sheetData>
  <mergeCells count="113">
    <mergeCell ref="A20:E20"/>
    <mergeCell ref="F20:J20"/>
    <mergeCell ref="K20:O20"/>
    <mergeCell ref="C22:D22"/>
    <mergeCell ref="H22:I22"/>
    <mergeCell ref="M22:N22"/>
    <mergeCell ref="A1:E1"/>
    <mergeCell ref="F1:J1"/>
    <mergeCell ref="K1:O1"/>
    <mergeCell ref="C3:D3"/>
    <mergeCell ref="H3:I3"/>
    <mergeCell ref="M3:N3"/>
    <mergeCell ref="A58:E58"/>
    <mergeCell ref="F58:J58"/>
    <mergeCell ref="K58:O58"/>
    <mergeCell ref="C60:D60"/>
    <mergeCell ref="H60:I60"/>
    <mergeCell ref="M60:N60"/>
    <mergeCell ref="A39:E39"/>
    <mergeCell ref="F39:J39"/>
    <mergeCell ref="K39:O39"/>
    <mergeCell ref="C41:D41"/>
    <mergeCell ref="H41:I41"/>
    <mergeCell ref="M41:N41"/>
    <mergeCell ref="H91:J91"/>
    <mergeCell ref="A96:E96"/>
    <mergeCell ref="F96:J96"/>
    <mergeCell ref="K96:O96"/>
    <mergeCell ref="C98:D98"/>
    <mergeCell ref="H98:I98"/>
    <mergeCell ref="M98:N98"/>
    <mergeCell ref="A77:E77"/>
    <mergeCell ref="F77:J77"/>
    <mergeCell ref="K77:O77"/>
    <mergeCell ref="C79:D79"/>
    <mergeCell ref="H79:I79"/>
    <mergeCell ref="M79:N79"/>
    <mergeCell ref="A134:E134"/>
    <mergeCell ref="F134:J134"/>
    <mergeCell ref="K134:O134"/>
    <mergeCell ref="H136:I136"/>
    <mergeCell ref="M136:N136"/>
    <mergeCell ref="A153:E153"/>
    <mergeCell ref="F153:J153"/>
    <mergeCell ref="K153:O153"/>
    <mergeCell ref="A115:E115"/>
    <mergeCell ref="F115:J115"/>
    <mergeCell ref="K115:O115"/>
    <mergeCell ref="C117:D117"/>
    <mergeCell ref="H117:I117"/>
    <mergeCell ref="M117:N117"/>
    <mergeCell ref="C174:D174"/>
    <mergeCell ref="H174:I174"/>
    <mergeCell ref="M174:N174"/>
    <mergeCell ref="A191:E191"/>
    <mergeCell ref="F191:J191"/>
    <mergeCell ref="K191:O191"/>
    <mergeCell ref="C155:D155"/>
    <mergeCell ref="H155:I155"/>
    <mergeCell ref="M155:N155"/>
    <mergeCell ref="A172:E172"/>
    <mergeCell ref="F172:J172"/>
    <mergeCell ref="K172:O172"/>
    <mergeCell ref="A229:E229"/>
    <mergeCell ref="F229:J229"/>
    <mergeCell ref="K229:O229"/>
    <mergeCell ref="H231:I231"/>
    <mergeCell ref="M231:N231"/>
    <mergeCell ref="A248:E248"/>
    <mergeCell ref="F248:J248"/>
    <mergeCell ref="K248:O248"/>
    <mergeCell ref="H193:I193"/>
    <mergeCell ref="A210:E210"/>
    <mergeCell ref="F210:J210"/>
    <mergeCell ref="K210:O210"/>
    <mergeCell ref="C212:D212"/>
    <mergeCell ref="H212:I212"/>
    <mergeCell ref="M212:N212"/>
    <mergeCell ref="C269:D269"/>
    <mergeCell ref="H269:I269"/>
    <mergeCell ref="M269:N269"/>
    <mergeCell ref="A286:E286"/>
    <mergeCell ref="F286:J286"/>
    <mergeCell ref="K286:O286"/>
    <mergeCell ref="C250:D250"/>
    <mergeCell ref="H250:I250"/>
    <mergeCell ref="M250:N250"/>
    <mergeCell ref="A267:E267"/>
    <mergeCell ref="F267:J267"/>
    <mergeCell ref="K267:O267"/>
    <mergeCell ref="C307:D307"/>
    <mergeCell ref="H307:I307"/>
    <mergeCell ref="A324:E324"/>
    <mergeCell ref="F324:J324"/>
    <mergeCell ref="K324:O324"/>
    <mergeCell ref="C326:D326"/>
    <mergeCell ref="H326:I326"/>
    <mergeCell ref="C288:D288"/>
    <mergeCell ref="H288:I288"/>
    <mergeCell ref="M288:N288"/>
    <mergeCell ref="A305:E305"/>
    <mergeCell ref="F305:J305"/>
    <mergeCell ref="K305:O305"/>
    <mergeCell ref="A362:E362"/>
    <mergeCell ref="F362:J362"/>
    <mergeCell ref="K362:O362"/>
    <mergeCell ref="L338:N338"/>
    <mergeCell ref="A343:E343"/>
    <mergeCell ref="F343:J343"/>
    <mergeCell ref="K343:O343"/>
    <mergeCell ref="C345:D345"/>
    <mergeCell ref="H345:I345"/>
    <mergeCell ref="M345:N345"/>
  </mergeCells>
  <pageMargins left="0.31496062992125984" right="0.31496062992125984" top="0.15748031496062992" bottom="0.15748031496062992" header="0.31496062992125984" footer="0.31496062992125984"/>
  <pageSetup paperSize="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C1A31-6E28-4822-8E8A-ABB20C52AF7F}">
  <dimension ref="A1:O380"/>
  <sheetViews>
    <sheetView workbookViewId="0">
      <selection sqref="A1:O380"/>
    </sheetView>
  </sheetViews>
  <sheetFormatPr defaultRowHeight="14.4" x14ac:dyDescent="0.3"/>
  <cols>
    <col min="1" max="1" width="18.33203125" customWidth="1"/>
    <col min="2" max="2" width="4" customWidth="1"/>
    <col min="3" max="3" width="2.5546875" customWidth="1"/>
    <col min="4" max="4" width="19.6640625" customWidth="1"/>
    <col min="5" max="5" width="5.6640625" customWidth="1"/>
    <col min="6" max="6" width="18.33203125" customWidth="1"/>
    <col min="7" max="7" width="4.6640625" customWidth="1"/>
    <col min="8" max="8" width="2.88671875" customWidth="1"/>
    <col min="9" max="9" width="17.88671875" customWidth="1"/>
    <col min="10" max="10" width="5.88671875" customWidth="1"/>
    <col min="11" max="11" width="18.44140625" customWidth="1"/>
    <col min="12" max="12" width="4.44140625" customWidth="1"/>
    <col min="13" max="13" width="4" customWidth="1"/>
    <col min="14" max="14" width="19.33203125" customWidth="1"/>
    <col min="15" max="15" width="6.33203125" customWidth="1"/>
  </cols>
  <sheetData>
    <row r="1" spans="1:15" ht="15" x14ac:dyDescent="0.35">
      <c r="A1" s="46" t="s">
        <v>0</v>
      </c>
      <c r="B1" s="47"/>
      <c r="C1" s="47"/>
      <c r="D1" s="47"/>
      <c r="E1" s="47"/>
      <c r="F1" s="46" t="s">
        <v>0</v>
      </c>
      <c r="G1" s="47"/>
      <c r="H1" s="47"/>
      <c r="I1" s="47"/>
      <c r="J1" s="47"/>
      <c r="K1" s="46" t="s">
        <v>0</v>
      </c>
      <c r="L1" s="47"/>
      <c r="M1" s="47"/>
      <c r="N1" s="47"/>
      <c r="O1" s="48"/>
    </row>
    <row r="2" spans="1:15" ht="15" x14ac:dyDescent="0.35">
      <c r="A2" s="1"/>
      <c r="B2" s="2"/>
      <c r="C2" s="2"/>
      <c r="D2" s="2"/>
      <c r="E2" s="2"/>
      <c r="F2" s="1"/>
      <c r="G2" s="2"/>
      <c r="H2" s="2"/>
      <c r="I2" s="2"/>
      <c r="J2" s="2"/>
      <c r="K2" s="1"/>
      <c r="L2" s="2"/>
      <c r="M2" s="2"/>
      <c r="N2" s="2"/>
      <c r="O2" s="3"/>
    </row>
    <row r="3" spans="1:15" ht="15" x14ac:dyDescent="0.35">
      <c r="A3" s="1" t="s">
        <v>1</v>
      </c>
      <c r="B3" s="2" t="s">
        <v>2</v>
      </c>
      <c r="C3" s="50" t="s">
        <v>74</v>
      </c>
      <c r="D3" s="50"/>
      <c r="E3" s="4">
        <v>50</v>
      </c>
      <c r="F3" s="1" t="s">
        <v>1</v>
      </c>
      <c r="G3" s="2" t="s">
        <v>2</v>
      </c>
      <c r="H3" s="50" t="s">
        <v>69</v>
      </c>
      <c r="I3" s="50"/>
      <c r="J3" s="4">
        <v>46</v>
      </c>
      <c r="K3" s="1" t="s">
        <v>1</v>
      </c>
      <c r="L3" s="2" t="s">
        <v>2</v>
      </c>
      <c r="M3" s="50"/>
      <c r="N3" s="50"/>
      <c r="O3" s="6"/>
    </row>
    <row r="4" spans="1:15" ht="15" x14ac:dyDescent="0.35">
      <c r="A4" s="1" t="s">
        <v>4</v>
      </c>
      <c r="B4" s="2"/>
      <c r="C4" s="2" t="s">
        <v>2</v>
      </c>
      <c r="D4" s="2"/>
      <c r="F4" s="1" t="s">
        <v>4</v>
      </c>
      <c r="G4" s="2"/>
      <c r="H4" s="2" t="s">
        <v>2</v>
      </c>
      <c r="I4" s="2"/>
      <c r="J4" s="2"/>
      <c r="K4" s="1" t="s">
        <v>4</v>
      </c>
      <c r="L4" s="2"/>
      <c r="M4" s="2"/>
      <c r="N4" s="2"/>
      <c r="O4" s="3"/>
    </row>
    <row r="5" spans="1:15" ht="15" x14ac:dyDescent="0.35">
      <c r="A5" s="1" t="s">
        <v>5</v>
      </c>
      <c r="B5" s="2"/>
      <c r="C5" s="2" t="s">
        <v>2</v>
      </c>
      <c r="D5" s="7">
        <f>[1]krnmei!$C$1314</f>
        <v>15000</v>
      </c>
      <c r="E5" s="2"/>
      <c r="F5" s="1" t="s">
        <v>5</v>
      </c>
      <c r="G5" s="2"/>
      <c r="H5" s="2" t="s">
        <v>2</v>
      </c>
      <c r="I5" s="7">
        <f>[2]krnmei!$C$1289</f>
        <v>15000</v>
      </c>
      <c r="J5" s="2"/>
      <c r="K5" s="1" t="s">
        <v>5</v>
      </c>
      <c r="L5" s="2"/>
      <c r="M5" s="2"/>
      <c r="N5" s="8"/>
      <c r="O5" s="3"/>
    </row>
    <row r="6" spans="1:15" ht="15" x14ac:dyDescent="0.35">
      <c r="A6" s="1" t="s">
        <v>6</v>
      </c>
      <c r="B6" s="2"/>
      <c r="C6" s="2" t="s">
        <v>2</v>
      </c>
      <c r="D6" s="7">
        <f>[1]krnmei!$D$1365</f>
        <v>10000</v>
      </c>
      <c r="E6" s="2"/>
      <c r="F6" s="1" t="s">
        <v>6</v>
      </c>
      <c r="G6" s="2"/>
      <c r="H6" s="2" t="s">
        <v>2</v>
      </c>
      <c r="I6" s="7">
        <f>[2]krnmei!$D$1290</f>
        <v>10000</v>
      </c>
      <c r="J6" s="2"/>
      <c r="K6" s="1" t="s">
        <v>6</v>
      </c>
      <c r="L6" s="2"/>
      <c r="M6" s="2"/>
      <c r="N6" s="8"/>
      <c r="O6" s="3"/>
    </row>
    <row r="7" spans="1:15" ht="15" x14ac:dyDescent="0.35">
      <c r="A7" s="1" t="s">
        <v>7</v>
      </c>
      <c r="B7" s="2"/>
      <c r="C7" s="2" t="s">
        <v>2</v>
      </c>
      <c r="D7" s="7">
        <f>[1]krnmei!$E$1365</f>
        <v>60000</v>
      </c>
      <c r="E7" s="2"/>
      <c r="F7" s="1" t="s">
        <v>7</v>
      </c>
      <c r="G7" s="2"/>
      <c r="H7" s="2" t="s">
        <v>2</v>
      </c>
      <c r="I7" s="7">
        <v>25000</v>
      </c>
      <c r="J7" s="2"/>
      <c r="K7" s="1" t="s">
        <v>7</v>
      </c>
      <c r="L7" s="2"/>
      <c r="M7" s="2"/>
      <c r="N7" s="8"/>
      <c r="O7" s="3"/>
    </row>
    <row r="8" spans="1:15" ht="15" x14ac:dyDescent="0.35">
      <c r="A8" s="1" t="s">
        <v>8</v>
      </c>
      <c r="B8" s="7"/>
      <c r="C8" s="2" t="s">
        <v>2</v>
      </c>
      <c r="D8" s="7"/>
      <c r="E8" s="2"/>
      <c r="F8" s="1" t="s">
        <v>8</v>
      </c>
      <c r="G8" s="2"/>
      <c r="H8" s="2" t="s">
        <v>2</v>
      </c>
      <c r="I8" s="7">
        <v>0</v>
      </c>
      <c r="J8" s="2"/>
      <c r="K8" s="1" t="s">
        <v>8</v>
      </c>
      <c r="L8" s="2"/>
      <c r="M8" s="2"/>
      <c r="N8" s="9"/>
      <c r="O8" s="3"/>
    </row>
    <row r="9" spans="1:15" ht="15" x14ac:dyDescent="0.35">
      <c r="A9" s="1" t="s">
        <v>9</v>
      </c>
      <c r="B9" s="2"/>
      <c r="C9" s="2" t="s">
        <v>2</v>
      </c>
      <c r="D9" s="10"/>
      <c r="E9" s="2"/>
      <c r="F9" s="1" t="s">
        <v>9</v>
      </c>
      <c r="G9" s="2"/>
      <c r="H9" s="2" t="s">
        <v>2</v>
      </c>
      <c r="I9" s="7">
        <v>0</v>
      </c>
      <c r="J9" s="2"/>
      <c r="K9" s="1" t="s">
        <v>9</v>
      </c>
      <c r="L9" s="2"/>
      <c r="M9" s="2"/>
      <c r="N9" s="11"/>
      <c r="O9" s="3"/>
    </row>
    <row r="10" spans="1:15" ht="15" x14ac:dyDescent="0.35">
      <c r="A10" s="1" t="s">
        <v>10</v>
      </c>
      <c r="B10" s="7"/>
      <c r="C10" s="2" t="s">
        <v>2</v>
      </c>
      <c r="D10" s="7"/>
      <c r="E10" s="2"/>
      <c r="F10" s="1" t="s">
        <v>10</v>
      </c>
      <c r="G10" s="2"/>
      <c r="H10" s="2" t="s">
        <v>2</v>
      </c>
      <c r="I10" s="7">
        <v>0</v>
      </c>
      <c r="J10" s="2"/>
      <c r="K10" s="1" t="s">
        <v>10</v>
      </c>
      <c r="L10" s="2"/>
      <c r="M10" s="2"/>
      <c r="N10" s="8"/>
      <c r="O10" s="3"/>
    </row>
    <row r="11" spans="1:15" ht="15" x14ac:dyDescent="0.35">
      <c r="A11" s="1" t="s">
        <v>11</v>
      </c>
      <c r="B11" s="2"/>
      <c r="C11" s="2" t="s">
        <v>2</v>
      </c>
      <c r="D11" s="12"/>
      <c r="E11" s="2"/>
      <c r="F11" s="1" t="s">
        <v>11</v>
      </c>
      <c r="G11" s="2"/>
      <c r="H11" s="2" t="s">
        <v>2</v>
      </c>
      <c r="I11" s="7">
        <v>0</v>
      </c>
      <c r="J11" s="2"/>
      <c r="K11" s="1" t="s">
        <v>11</v>
      </c>
      <c r="L11" s="2"/>
      <c r="M11" s="2"/>
      <c r="N11" s="8"/>
      <c r="O11" s="3"/>
    </row>
    <row r="12" spans="1:15" ht="15" x14ac:dyDescent="0.35">
      <c r="A12" s="1" t="s">
        <v>12</v>
      </c>
      <c r="B12" s="2"/>
      <c r="C12" s="2" t="s">
        <v>2</v>
      </c>
      <c r="D12" s="8">
        <f>[1]krnmei!$F$1314</f>
        <v>15000</v>
      </c>
      <c r="E12" s="2"/>
      <c r="F12" s="1" t="s">
        <v>12</v>
      </c>
      <c r="G12" s="2"/>
      <c r="H12" s="2" t="s">
        <v>2</v>
      </c>
      <c r="I12" s="8">
        <f>[7]krnmei!$F$1289</f>
        <v>100000</v>
      </c>
      <c r="J12" s="2"/>
      <c r="K12" s="1" t="s">
        <v>12</v>
      </c>
      <c r="L12" s="2"/>
      <c r="M12" s="2"/>
      <c r="N12" s="8"/>
      <c r="O12" s="3"/>
    </row>
    <row r="13" spans="1:15" ht="15" x14ac:dyDescent="0.35">
      <c r="A13" s="13" t="s">
        <v>13</v>
      </c>
      <c r="B13" s="5"/>
      <c r="C13" s="5" t="s">
        <v>2</v>
      </c>
      <c r="D13" s="14">
        <f>SUM(D5:D12)</f>
        <v>100000</v>
      </c>
      <c r="E13" s="2"/>
      <c r="F13" s="13" t="s">
        <v>13</v>
      </c>
      <c r="G13" s="5"/>
      <c r="H13" s="5" t="s">
        <v>2</v>
      </c>
      <c r="I13" s="14">
        <f>SUM(I5:I12)</f>
        <v>150000</v>
      </c>
      <c r="J13" s="2"/>
      <c r="K13" s="13" t="s">
        <v>13</v>
      </c>
      <c r="L13" s="5"/>
      <c r="M13" s="5"/>
      <c r="N13" s="8"/>
      <c r="O13" s="3"/>
    </row>
    <row r="14" spans="1:15" ht="15" x14ac:dyDescent="0.35">
      <c r="A14" s="1" t="s">
        <v>14</v>
      </c>
      <c r="B14" s="2"/>
      <c r="C14" s="2" t="s">
        <v>2</v>
      </c>
      <c r="D14" s="7"/>
      <c r="E14" s="2"/>
      <c r="F14" s="1" t="s">
        <v>14</v>
      </c>
      <c r="G14" s="2"/>
      <c r="H14" s="2" t="s">
        <v>2</v>
      </c>
      <c r="I14" s="7"/>
      <c r="J14" s="2"/>
      <c r="K14" s="1" t="s">
        <v>14</v>
      </c>
      <c r="L14" s="2"/>
      <c r="M14" s="2"/>
      <c r="N14" s="8"/>
      <c r="O14" s="3"/>
    </row>
    <row r="15" spans="1:15" ht="15" x14ac:dyDescent="0.35">
      <c r="A15" s="1"/>
      <c r="B15" s="2"/>
      <c r="C15" s="15"/>
      <c r="D15" s="2" t="s">
        <v>87</v>
      </c>
      <c r="E15" s="2"/>
      <c r="F15" s="1"/>
      <c r="G15" s="2"/>
      <c r="H15" s="2"/>
      <c r="I15" s="15" t="str">
        <f>D15</f>
        <v>Grogol, 02 Maret  2026</v>
      </c>
      <c r="J15" s="15"/>
      <c r="K15" s="1"/>
      <c r="L15" s="2"/>
      <c r="M15" s="15"/>
      <c r="N15" s="15" t="str">
        <f>I15</f>
        <v>Grogol, 02 Maret  2026</v>
      </c>
      <c r="O15" s="16"/>
    </row>
    <row r="16" spans="1:15" ht="15" x14ac:dyDescent="0.35">
      <c r="A16" s="1"/>
      <c r="B16" s="2"/>
      <c r="C16" s="2"/>
      <c r="D16" s="15" t="s">
        <v>15</v>
      </c>
      <c r="E16" s="15"/>
      <c r="F16" s="1"/>
      <c r="G16" s="2"/>
      <c r="H16" s="2"/>
      <c r="I16" s="15" t="s">
        <v>15</v>
      </c>
      <c r="J16" s="2"/>
      <c r="K16" s="1"/>
      <c r="L16" s="2"/>
      <c r="M16" s="2"/>
      <c r="N16" s="15" t="s">
        <v>15</v>
      </c>
      <c r="O16" s="3"/>
    </row>
    <row r="17" spans="1:15" ht="15" x14ac:dyDescent="0.35">
      <c r="A17" s="1"/>
      <c r="B17" s="2"/>
      <c r="C17" s="2"/>
      <c r="D17" s="15"/>
      <c r="E17" s="2"/>
      <c r="F17" s="1"/>
      <c r="G17" s="2"/>
      <c r="H17" s="2"/>
      <c r="I17" s="15"/>
      <c r="J17" s="2"/>
      <c r="K17" s="1"/>
      <c r="L17" s="2"/>
      <c r="M17" s="2"/>
      <c r="N17" s="15"/>
      <c r="O17" s="3"/>
    </row>
    <row r="18" spans="1:15" ht="15" x14ac:dyDescent="0.35">
      <c r="A18" s="1"/>
      <c r="B18" s="2"/>
      <c r="C18" s="2"/>
      <c r="D18" s="15"/>
      <c r="E18" s="2"/>
      <c r="F18" s="1"/>
      <c r="G18" s="2"/>
      <c r="H18" s="2"/>
      <c r="I18" s="15"/>
      <c r="J18" s="2"/>
      <c r="K18" s="1"/>
      <c r="L18" s="2"/>
      <c r="M18" s="2"/>
      <c r="N18" s="15"/>
      <c r="O18" s="3"/>
    </row>
    <row r="19" spans="1:15" ht="15.6" thickBot="1" x14ac:dyDescent="0.4">
      <c r="A19" s="17"/>
      <c r="B19" s="18"/>
      <c r="C19" s="18"/>
      <c r="D19" s="19" t="s">
        <v>16</v>
      </c>
      <c r="E19" s="18"/>
      <c r="F19" s="17"/>
      <c r="G19" s="18"/>
      <c r="H19" s="18"/>
      <c r="I19" s="19" t="s">
        <v>16</v>
      </c>
      <c r="J19" s="18"/>
      <c r="K19" s="17"/>
      <c r="L19" s="18"/>
      <c r="M19" s="18"/>
      <c r="N19" s="19" t="s">
        <v>16</v>
      </c>
      <c r="O19" s="20"/>
    </row>
    <row r="20" spans="1:15" ht="15" x14ac:dyDescent="0.35">
      <c r="A20" s="46" t="s">
        <v>0</v>
      </c>
      <c r="B20" s="47"/>
      <c r="C20" s="47"/>
      <c r="D20" s="47"/>
      <c r="E20" s="47"/>
      <c r="F20" s="46" t="s">
        <v>0</v>
      </c>
      <c r="G20" s="47"/>
      <c r="H20" s="47"/>
      <c r="I20" s="47"/>
      <c r="J20" s="47"/>
      <c r="K20" s="46" t="s">
        <v>0</v>
      </c>
      <c r="L20" s="47"/>
      <c r="M20" s="47"/>
      <c r="N20" s="47"/>
      <c r="O20" s="48"/>
    </row>
    <row r="21" spans="1:15" ht="15" x14ac:dyDescent="0.35">
      <c r="A21" s="1"/>
      <c r="B21" s="2"/>
      <c r="C21" s="2"/>
      <c r="D21" s="2"/>
      <c r="E21" s="2"/>
      <c r="F21" s="1"/>
      <c r="G21" s="2"/>
      <c r="H21" s="2"/>
      <c r="I21" s="2"/>
      <c r="J21" s="2"/>
      <c r="K21" s="1"/>
      <c r="L21" s="2"/>
      <c r="M21" s="2"/>
      <c r="N21" s="2"/>
      <c r="O21" s="3"/>
    </row>
    <row r="22" spans="1:15" ht="15" x14ac:dyDescent="0.35">
      <c r="A22" s="1" t="s">
        <v>1</v>
      </c>
      <c r="B22" s="2" t="s">
        <v>2</v>
      </c>
      <c r="C22" s="50" t="s">
        <v>71</v>
      </c>
      <c r="D22" s="50"/>
      <c r="E22" s="4">
        <v>47</v>
      </c>
      <c r="F22" s="1" t="s">
        <v>1</v>
      </c>
      <c r="G22" s="2" t="s">
        <v>2</v>
      </c>
      <c r="H22" s="50" t="s">
        <v>72</v>
      </c>
      <c r="I22" s="50"/>
      <c r="J22" s="4">
        <v>48</v>
      </c>
      <c r="K22" s="1" t="s">
        <v>1</v>
      </c>
      <c r="L22" s="2" t="s">
        <v>2</v>
      </c>
      <c r="M22" s="50" t="s">
        <v>73</v>
      </c>
      <c r="N22" s="50"/>
      <c r="O22" s="6">
        <v>49</v>
      </c>
    </row>
    <row r="23" spans="1:15" ht="15" x14ac:dyDescent="0.35">
      <c r="A23" s="1" t="s">
        <v>4</v>
      </c>
      <c r="B23" s="2"/>
      <c r="C23" s="2" t="s">
        <v>2</v>
      </c>
      <c r="D23" s="2"/>
      <c r="F23" s="1" t="s">
        <v>4</v>
      </c>
      <c r="G23" s="2"/>
      <c r="H23" s="2" t="s">
        <v>2</v>
      </c>
      <c r="I23" s="2"/>
      <c r="J23" s="2"/>
      <c r="K23" s="1" t="s">
        <v>4</v>
      </c>
      <c r="L23" s="2"/>
      <c r="M23" s="2" t="s">
        <v>2</v>
      </c>
      <c r="N23" s="2"/>
      <c r="O23" s="3"/>
    </row>
    <row r="24" spans="1:15" ht="15" x14ac:dyDescent="0.35">
      <c r="A24" s="1" t="s">
        <v>5</v>
      </c>
      <c r="B24" s="2"/>
      <c r="C24" s="2" t="s">
        <v>2</v>
      </c>
      <c r="D24" s="8">
        <f>[1]krnmei!$C$1314</f>
        <v>15000</v>
      </c>
      <c r="E24" s="2"/>
      <c r="F24" s="1" t="s">
        <v>5</v>
      </c>
      <c r="G24" s="2"/>
      <c r="H24" s="2" t="s">
        <v>2</v>
      </c>
      <c r="I24" s="8">
        <f>[1]krnmei!$C$1331</f>
        <v>15000</v>
      </c>
      <c r="J24" s="2"/>
      <c r="K24" s="1" t="s">
        <v>5</v>
      </c>
      <c r="L24" s="2"/>
      <c r="M24" s="2" t="s">
        <v>2</v>
      </c>
      <c r="N24" s="8">
        <f>[1]krnmei!$C$1348</f>
        <v>15000</v>
      </c>
      <c r="O24" s="3"/>
    </row>
    <row r="25" spans="1:15" ht="15" x14ac:dyDescent="0.35">
      <c r="A25" s="1" t="s">
        <v>6</v>
      </c>
      <c r="B25" s="2"/>
      <c r="C25" s="2" t="s">
        <v>2</v>
      </c>
      <c r="D25" s="8">
        <f>[1]krnmei!$D$1314</f>
        <v>20000</v>
      </c>
      <c r="E25" s="2"/>
      <c r="F25" s="1" t="s">
        <v>6</v>
      </c>
      <c r="G25" s="2"/>
      <c r="H25" s="2" t="s">
        <v>2</v>
      </c>
      <c r="I25" s="8">
        <f>[1]krnmei!$D$1331</f>
        <v>20000</v>
      </c>
      <c r="J25" s="2"/>
      <c r="K25" s="1" t="s">
        <v>6</v>
      </c>
      <c r="L25" s="2"/>
      <c r="M25" s="2" t="s">
        <v>2</v>
      </c>
      <c r="N25" s="8">
        <f>[1]krnmei!$D$1348</f>
        <v>20000</v>
      </c>
      <c r="O25" s="3"/>
    </row>
    <row r="26" spans="1:15" ht="15" x14ac:dyDescent="0.35">
      <c r="A26" s="1" t="s">
        <v>7</v>
      </c>
      <c r="B26" s="2"/>
      <c r="C26" s="2" t="s">
        <v>2</v>
      </c>
      <c r="D26" s="8">
        <f>[1]krnmei!$E$1314</f>
        <v>50000</v>
      </c>
      <c r="E26" s="2"/>
      <c r="F26" s="1" t="s">
        <v>7</v>
      </c>
      <c r="G26" s="2"/>
      <c r="H26" s="2" t="s">
        <v>2</v>
      </c>
      <c r="I26" s="8">
        <f>[1]krnmei!$E$1331</f>
        <v>50000</v>
      </c>
      <c r="J26" s="2"/>
      <c r="K26" s="1" t="s">
        <v>7</v>
      </c>
      <c r="L26" s="2"/>
      <c r="M26" s="2" t="s">
        <v>2</v>
      </c>
      <c r="N26" s="8">
        <f>[1]krnmei!$E$1348</f>
        <v>50000</v>
      </c>
      <c r="O26" s="3"/>
    </row>
    <row r="27" spans="1:15" ht="15" x14ac:dyDescent="0.35">
      <c r="A27" s="1" t="s">
        <v>8</v>
      </c>
      <c r="B27" s="21"/>
      <c r="C27" s="2" t="s">
        <v>2</v>
      </c>
      <c r="D27" s="22">
        <v>0</v>
      </c>
      <c r="E27" s="2"/>
      <c r="F27" s="1" t="s">
        <v>8</v>
      </c>
      <c r="G27" s="2"/>
      <c r="H27" s="2" t="s">
        <v>2</v>
      </c>
      <c r="I27" s="8">
        <v>0</v>
      </c>
      <c r="J27" s="2"/>
      <c r="K27" s="1" t="s">
        <v>8</v>
      </c>
      <c r="L27" s="2"/>
      <c r="M27" s="2" t="s">
        <v>2</v>
      </c>
      <c r="N27" s="8">
        <v>0</v>
      </c>
      <c r="O27" s="3"/>
    </row>
    <row r="28" spans="1:15" ht="15" x14ac:dyDescent="0.35">
      <c r="A28" s="1" t="s">
        <v>9</v>
      </c>
      <c r="B28" s="2"/>
      <c r="C28" s="2" t="s">
        <v>2</v>
      </c>
      <c r="D28" s="8">
        <v>0</v>
      </c>
      <c r="E28" s="2"/>
      <c r="F28" s="1" t="s">
        <v>9</v>
      </c>
      <c r="G28" s="2"/>
      <c r="H28" s="2" t="s">
        <v>2</v>
      </c>
      <c r="I28" s="23">
        <v>0</v>
      </c>
      <c r="J28" s="2"/>
      <c r="K28" s="1" t="s">
        <v>9</v>
      </c>
      <c r="L28" s="2"/>
      <c r="M28" s="2" t="s">
        <v>2</v>
      </c>
      <c r="N28" s="8">
        <v>0</v>
      </c>
      <c r="O28" s="3"/>
    </row>
    <row r="29" spans="1:15" ht="15" x14ac:dyDescent="0.35">
      <c r="A29" s="1" t="s">
        <v>10</v>
      </c>
      <c r="B29" s="2">
        <v>0</v>
      </c>
      <c r="C29" s="2" t="s">
        <v>2</v>
      </c>
      <c r="D29" s="8">
        <v>0</v>
      </c>
      <c r="E29" s="2"/>
      <c r="F29" s="1" t="s">
        <v>10</v>
      </c>
      <c r="G29" s="2"/>
      <c r="H29" s="2" t="s">
        <v>2</v>
      </c>
      <c r="I29" s="8">
        <v>0</v>
      </c>
      <c r="J29" s="2"/>
      <c r="K29" s="1" t="s">
        <v>10</v>
      </c>
      <c r="L29" s="2"/>
      <c r="M29" s="2" t="s">
        <v>2</v>
      </c>
      <c r="N29" s="8">
        <v>0</v>
      </c>
      <c r="O29" s="3"/>
    </row>
    <row r="30" spans="1:15" ht="15" x14ac:dyDescent="0.35">
      <c r="A30" s="1" t="s">
        <v>11</v>
      </c>
      <c r="B30" s="2"/>
      <c r="C30" s="2" t="s">
        <v>2</v>
      </c>
      <c r="D30" s="8">
        <v>0</v>
      </c>
      <c r="E30" s="2"/>
      <c r="F30" s="1" t="s">
        <v>11</v>
      </c>
      <c r="G30" s="2"/>
      <c r="H30" s="2" t="s">
        <v>2</v>
      </c>
      <c r="I30" s="8">
        <v>0</v>
      </c>
      <c r="J30" s="2"/>
      <c r="K30" s="1" t="s">
        <v>11</v>
      </c>
      <c r="L30" s="2"/>
      <c r="M30" s="2" t="s">
        <v>2</v>
      </c>
      <c r="N30" s="9">
        <v>0</v>
      </c>
      <c r="O30" s="3"/>
    </row>
    <row r="31" spans="1:15" ht="15" x14ac:dyDescent="0.35">
      <c r="A31" s="1" t="s">
        <v>12</v>
      </c>
      <c r="B31" s="2"/>
      <c r="C31" s="2" t="s">
        <v>2</v>
      </c>
      <c r="D31" s="8">
        <f>[1]krnmei!$F$1314</f>
        <v>15000</v>
      </c>
      <c r="E31" s="2"/>
      <c r="F31" s="1" t="s">
        <v>12</v>
      </c>
      <c r="G31" s="2"/>
      <c r="H31" s="2" t="s">
        <v>2</v>
      </c>
      <c r="I31" s="8">
        <f>[1]krnmei!$F$1331</f>
        <v>15000</v>
      </c>
      <c r="J31" s="2"/>
      <c r="K31" s="1" t="s">
        <v>12</v>
      </c>
      <c r="L31" s="2"/>
      <c r="M31" s="2" t="s">
        <v>2</v>
      </c>
      <c r="N31" s="8">
        <f>[1]krnmei!$F$1348</f>
        <v>15000</v>
      </c>
      <c r="O31" s="3"/>
    </row>
    <row r="32" spans="1:15" ht="15" x14ac:dyDescent="0.35">
      <c r="A32" s="13" t="s">
        <v>13</v>
      </c>
      <c r="B32" s="5"/>
      <c r="C32" s="5" t="s">
        <v>2</v>
      </c>
      <c r="D32" s="8">
        <f>SUM(D24:D31)</f>
        <v>100000</v>
      </c>
      <c r="E32" s="2"/>
      <c r="F32" s="13" t="s">
        <v>13</v>
      </c>
      <c r="G32" s="5"/>
      <c r="H32" s="5" t="s">
        <v>2</v>
      </c>
      <c r="I32" s="24">
        <f>SUM(I24:I31)</f>
        <v>100000</v>
      </c>
      <c r="J32" s="2"/>
      <c r="K32" s="13" t="s">
        <v>13</v>
      </c>
      <c r="L32" s="5"/>
      <c r="M32" s="5" t="s">
        <v>2</v>
      </c>
      <c r="N32" s="24">
        <f>SUM(N24:N31)</f>
        <v>100000</v>
      </c>
      <c r="O32" s="3"/>
    </row>
    <row r="33" spans="1:15" ht="15" x14ac:dyDescent="0.35">
      <c r="A33" s="1" t="s">
        <v>14</v>
      </c>
      <c r="B33" s="2"/>
      <c r="C33" s="2" t="s">
        <v>2</v>
      </c>
      <c r="D33" s="8">
        <v>0</v>
      </c>
      <c r="E33" s="2"/>
      <c r="F33" s="1" t="s">
        <v>14</v>
      </c>
      <c r="G33" s="2"/>
      <c r="H33" s="2" t="s">
        <v>2</v>
      </c>
      <c r="I33" s="23">
        <f>[9]krnmei!$J$184</f>
        <v>0</v>
      </c>
      <c r="J33" s="2"/>
      <c r="K33" s="1" t="s">
        <v>14</v>
      </c>
      <c r="L33" s="2"/>
      <c r="M33" s="2" t="s">
        <v>2</v>
      </c>
      <c r="N33" s="25">
        <f>0</f>
        <v>0</v>
      </c>
      <c r="O33" s="3"/>
    </row>
    <row r="34" spans="1:15" ht="15" x14ac:dyDescent="0.35">
      <c r="A34" s="1"/>
      <c r="B34" s="2"/>
      <c r="C34" s="15"/>
      <c r="D34" s="15" t="str">
        <f>D15</f>
        <v>Grogol, 02 Maret  2026</v>
      </c>
      <c r="E34" s="2"/>
      <c r="F34" s="1"/>
      <c r="G34" s="2"/>
      <c r="H34" s="15"/>
      <c r="I34" s="15" t="str">
        <f>D34</f>
        <v>Grogol, 02 Maret  2026</v>
      </c>
      <c r="J34" s="15"/>
      <c r="K34" s="1"/>
      <c r="L34" s="2"/>
      <c r="M34" s="15"/>
      <c r="N34" s="15" t="str">
        <f>I34</f>
        <v>Grogol, 02 Maret  2026</v>
      </c>
      <c r="O34" s="16"/>
    </row>
    <row r="35" spans="1:15" ht="15" x14ac:dyDescent="0.35">
      <c r="A35" s="1"/>
      <c r="B35" s="2"/>
      <c r="C35" s="2"/>
      <c r="D35" s="15" t="s">
        <v>15</v>
      </c>
      <c r="E35" s="15"/>
      <c r="F35" s="1"/>
      <c r="G35" s="2"/>
      <c r="H35" s="2"/>
      <c r="I35" s="15" t="s">
        <v>15</v>
      </c>
      <c r="J35" s="2"/>
      <c r="K35" s="1"/>
      <c r="L35" s="2"/>
      <c r="M35" s="2"/>
      <c r="N35" s="15" t="s">
        <v>15</v>
      </c>
      <c r="O35" s="3"/>
    </row>
    <row r="36" spans="1:15" ht="15" x14ac:dyDescent="0.35">
      <c r="A36" s="1"/>
      <c r="B36" s="2"/>
      <c r="C36" s="2"/>
      <c r="D36" s="15"/>
      <c r="E36" s="15"/>
      <c r="F36" s="1"/>
      <c r="G36" s="2"/>
      <c r="H36" s="2"/>
      <c r="I36" s="15"/>
      <c r="J36" s="2"/>
      <c r="K36" s="1"/>
      <c r="L36" s="2"/>
      <c r="M36" s="2"/>
      <c r="N36" s="15"/>
      <c r="O36" s="3"/>
    </row>
    <row r="37" spans="1:15" ht="15" x14ac:dyDescent="0.35">
      <c r="A37" s="1"/>
      <c r="B37" s="2"/>
      <c r="C37" s="2"/>
      <c r="D37" s="15"/>
      <c r="E37" s="2"/>
      <c r="F37" s="1"/>
      <c r="G37" s="2"/>
      <c r="H37" s="2"/>
      <c r="I37" s="15"/>
      <c r="J37" s="2"/>
      <c r="K37" s="1"/>
      <c r="L37" s="2"/>
      <c r="M37" s="2"/>
      <c r="N37" s="15"/>
      <c r="O37" s="3"/>
    </row>
    <row r="38" spans="1:15" ht="15.6" thickBot="1" x14ac:dyDescent="0.4">
      <c r="A38" s="17"/>
      <c r="B38" s="18"/>
      <c r="C38" s="18"/>
      <c r="D38" s="19" t="s">
        <v>16</v>
      </c>
      <c r="E38" s="18"/>
      <c r="F38" s="17"/>
      <c r="G38" s="18"/>
      <c r="H38" s="18"/>
      <c r="I38" s="19" t="s">
        <v>16</v>
      </c>
      <c r="J38" s="18"/>
      <c r="K38" s="17"/>
      <c r="L38" s="18"/>
      <c r="M38" s="18"/>
      <c r="N38" s="19" t="s">
        <v>16</v>
      </c>
      <c r="O38" s="20"/>
    </row>
    <row r="39" spans="1:15" ht="15" x14ac:dyDescent="0.35">
      <c r="A39" s="46" t="s">
        <v>0</v>
      </c>
      <c r="B39" s="47"/>
      <c r="C39" s="47"/>
      <c r="D39" s="47"/>
      <c r="E39" s="47"/>
      <c r="F39" s="46" t="s">
        <v>0</v>
      </c>
      <c r="G39" s="47"/>
      <c r="H39" s="47"/>
      <c r="I39" s="47"/>
      <c r="J39" s="47"/>
      <c r="K39" s="46" t="s">
        <v>0</v>
      </c>
      <c r="L39" s="47"/>
      <c r="M39" s="47"/>
      <c r="N39" s="47"/>
      <c r="O39" s="48"/>
    </row>
    <row r="40" spans="1:15" ht="15" x14ac:dyDescent="0.35">
      <c r="A40" s="1"/>
      <c r="B40" s="2"/>
      <c r="C40" s="2"/>
      <c r="D40" s="2"/>
      <c r="E40" s="2"/>
      <c r="F40" s="1"/>
      <c r="G40" s="2"/>
      <c r="H40" s="2"/>
      <c r="I40" s="2"/>
      <c r="J40" s="2"/>
      <c r="K40" s="1"/>
      <c r="L40" s="2"/>
      <c r="M40" s="2"/>
      <c r="N40" s="2"/>
      <c r="O40" s="3"/>
    </row>
    <row r="41" spans="1:15" ht="15" x14ac:dyDescent="0.35">
      <c r="A41" s="1" t="s">
        <v>1</v>
      </c>
      <c r="B41" s="2" t="s">
        <v>2</v>
      </c>
      <c r="C41" s="50" t="s">
        <v>78</v>
      </c>
      <c r="D41" s="50"/>
      <c r="E41" s="4">
        <v>23</v>
      </c>
      <c r="F41" s="1" t="s">
        <v>1</v>
      </c>
      <c r="G41" s="2" t="s">
        <v>2</v>
      </c>
      <c r="H41" s="50" t="s">
        <v>17</v>
      </c>
      <c r="I41" s="50"/>
      <c r="J41" s="4">
        <v>1</v>
      </c>
      <c r="K41" s="1" t="s">
        <v>1</v>
      </c>
      <c r="L41" s="2" t="s">
        <v>2</v>
      </c>
      <c r="M41" s="50" t="s">
        <v>18</v>
      </c>
      <c r="N41" s="50"/>
      <c r="O41" s="6">
        <v>2</v>
      </c>
    </row>
    <row r="42" spans="1:15" ht="15" x14ac:dyDescent="0.35">
      <c r="A42" s="1" t="s">
        <v>4</v>
      </c>
      <c r="B42" s="2"/>
      <c r="C42" s="2" t="s">
        <v>2</v>
      </c>
      <c r="D42" s="2"/>
      <c r="F42" s="1" t="s">
        <v>4</v>
      </c>
      <c r="G42" s="2"/>
      <c r="H42" s="2" t="s">
        <v>2</v>
      </c>
      <c r="I42" s="2"/>
      <c r="J42" s="2"/>
      <c r="K42" s="1" t="s">
        <v>4</v>
      </c>
      <c r="L42" s="2"/>
      <c r="M42" s="2" t="s">
        <v>2</v>
      </c>
      <c r="N42" s="2"/>
      <c r="O42" s="3"/>
    </row>
    <row r="43" spans="1:15" ht="15" x14ac:dyDescent="0.35">
      <c r="A43" s="1" t="s">
        <v>5</v>
      </c>
      <c r="B43" s="2"/>
      <c r="C43" s="2" t="s">
        <v>2</v>
      </c>
      <c r="D43" s="8">
        <v>100000</v>
      </c>
      <c r="E43" s="2"/>
      <c r="F43" s="1" t="s">
        <v>5</v>
      </c>
      <c r="G43" s="2"/>
      <c r="H43" s="2" t="s">
        <v>2</v>
      </c>
      <c r="I43" s="8">
        <f>'[3]KARNING 2021'!$C$225</f>
        <v>100000</v>
      </c>
      <c r="J43" s="2"/>
      <c r="K43" s="1" t="s">
        <v>5</v>
      </c>
      <c r="L43" s="2"/>
      <c r="M43" s="2" t="s">
        <v>2</v>
      </c>
      <c r="N43" s="8">
        <f>'[3]KARNING 2021'!$C$242</f>
        <v>100000</v>
      </c>
      <c r="O43" s="3"/>
    </row>
    <row r="44" spans="1:15" ht="15" x14ac:dyDescent="0.35">
      <c r="A44" s="1" t="s">
        <v>6</v>
      </c>
      <c r="B44" s="2"/>
      <c r="C44" s="2" t="s">
        <v>2</v>
      </c>
      <c r="D44" s="8">
        <v>25000</v>
      </c>
      <c r="E44" s="2"/>
      <c r="F44" s="1" t="s">
        <v>6</v>
      </c>
      <c r="G44" s="2"/>
      <c r="H44" s="2" t="s">
        <v>2</v>
      </c>
      <c r="I44" s="8">
        <f>'[3]KARNING 2021'!$D$225</f>
        <v>100000</v>
      </c>
      <c r="J44" s="2"/>
      <c r="K44" s="1" t="s">
        <v>6</v>
      </c>
      <c r="L44" s="2"/>
      <c r="M44" s="2" t="s">
        <v>2</v>
      </c>
      <c r="N44" s="8">
        <f>'[3]KARNING 2021'!$D$242</f>
        <v>25000</v>
      </c>
      <c r="O44" s="3"/>
    </row>
    <row r="45" spans="1:15" ht="15" x14ac:dyDescent="0.35">
      <c r="A45" s="1" t="s">
        <v>7</v>
      </c>
      <c r="B45" s="2"/>
      <c r="C45" s="2" t="s">
        <v>2</v>
      </c>
      <c r="D45" s="8">
        <v>50000</v>
      </c>
      <c r="E45" s="2"/>
      <c r="F45" s="1" t="s">
        <v>7</v>
      </c>
      <c r="G45" s="2"/>
      <c r="H45" s="2" t="s">
        <v>2</v>
      </c>
      <c r="I45" s="8">
        <f>[10]krnmei!$E$230</f>
        <v>500000</v>
      </c>
      <c r="J45" s="2"/>
      <c r="K45" s="1" t="s">
        <v>7</v>
      </c>
      <c r="L45" s="2"/>
      <c r="M45" s="2" t="s">
        <v>2</v>
      </c>
      <c r="N45" s="8">
        <f>'[3]KARNING 2021'!$E$242</f>
        <v>150000</v>
      </c>
      <c r="O45" s="3"/>
    </row>
    <row r="46" spans="1:15" ht="15" x14ac:dyDescent="0.35">
      <c r="A46" s="1" t="s">
        <v>8</v>
      </c>
      <c r="B46" s="2">
        <v>1</v>
      </c>
      <c r="C46" s="2" t="s">
        <v>2</v>
      </c>
      <c r="D46" s="8">
        <f>[38]krnmei!$I$23</f>
        <v>1000000</v>
      </c>
      <c r="E46" s="2"/>
      <c r="F46" s="1" t="s">
        <v>8</v>
      </c>
      <c r="G46" s="21">
        <v>0</v>
      </c>
      <c r="H46" s="2" t="s">
        <v>2</v>
      </c>
      <c r="I46" s="25">
        <v>0</v>
      </c>
      <c r="J46" s="2"/>
      <c r="K46" s="1" t="s">
        <v>8</v>
      </c>
      <c r="L46" s="2">
        <v>18</v>
      </c>
      <c r="M46" s="2" t="s">
        <v>2</v>
      </c>
      <c r="N46" s="25">
        <f>[37]krnmei!$I$242</f>
        <v>1200000</v>
      </c>
      <c r="O46" s="3"/>
    </row>
    <row r="47" spans="1:15" ht="15" x14ac:dyDescent="0.35">
      <c r="A47" s="1" t="s">
        <v>9</v>
      </c>
      <c r="B47" s="2"/>
      <c r="C47" s="2" t="s">
        <v>2</v>
      </c>
      <c r="D47" s="8">
        <f>[38]krnmei!$K$23</f>
        <v>300000</v>
      </c>
      <c r="E47" s="2"/>
      <c r="F47" s="1" t="s">
        <v>9</v>
      </c>
      <c r="G47" s="2"/>
      <c r="H47" s="2" t="s">
        <v>2</v>
      </c>
      <c r="I47" s="26">
        <v>0</v>
      </c>
      <c r="J47" s="2"/>
      <c r="K47" s="1" t="s">
        <v>9</v>
      </c>
      <c r="L47" s="2"/>
      <c r="M47" s="2" t="s">
        <v>2</v>
      </c>
      <c r="N47" s="11">
        <f>[38]krnmei!$K$244</f>
        <v>556500</v>
      </c>
      <c r="O47" s="3"/>
    </row>
    <row r="48" spans="1:15" ht="15" x14ac:dyDescent="0.35">
      <c r="A48" s="1" t="s">
        <v>10</v>
      </c>
      <c r="B48" s="2"/>
      <c r="C48" s="2" t="s">
        <v>2</v>
      </c>
      <c r="D48" s="8">
        <v>0</v>
      </c>
      <c r="E48" s="2"/>
      <c r="F48" s="1" t="s">
        <v>10</v>
      </c>
      <c r="G48" s="2"/>
      <c r="H48" s="2" t="s">
        <v>2</v>
      </c>
      <c r="I48" s="8"/>
      <c r="J48" s="2"/>
      <c r="K48" s="1" t="s">
        <v>10</v>
      </c>
      <c r="L48" s="2"/>
      <c r="M48" s="2" t="s">
        <v>2</v>
      </c>
      <c r="N48" s="8">
        <f>[2]krnmei!$L$253</f>
        <v>0</v>
      </c>
      <c r="O48" s="3"/>
    </row>
    <row r="49" spans="1:15" ht="15" x14ac:dyDescent="0.35">
      <c r="A49" s="1" t="s">
        <v>11</v>
      </c>
      <c r="B49" s="2"/>
      <c r="C49" s="2" t="s">
        <v>2</v>
      </c>
      <c r="D49" s="8">
        <v>0</v>
      </c>
      <c r="E49" s="2"/>
      <c r="F49" s="1" t="s">
        <v>11</v>
      </c>
      <c r="G49" s="2"/>
      <c r="H49" s="2" t="s">
        <v>2</v>
      </c>
      <c r="I49" s="8">
        <f>[13]krnmei!$P$231</f>
        <v>0</v>
      </c>
      <c r="J49" s="2"/>
      <c r="K49" s="1" t="s">
        <v>11</v>
      </c>
      <c r="L49" s="2"/>
      <c r="M49" s="2" t="s">
        <v>2</v>
      </c>
      <c r="N49" s="8">
        <f>[14]krnmei!$P$242</f>
        <v>0</v>
      </c>
      <c r="O49" s="3"/>
    </row>
    <row r="50" spans="1:15" ht="15" x14ac:dyDescent="0.35">
      <c r="A50" s="1" t="s">
        <v>12</v>
      </c>
      <c r="B50" s="2"/>
      <c r="C50" s="2" t="s">
        <v>2</v>
      </c>
      <c r="D50" s="8">
        <v>25000</v>
      </c>
      <c r="E50" s="2"/>
      <c r="F50" s="1" t="s">
        <v>12</v>
      </c>
      <c r="G50" s="2"/>
      <c r="H50" s="2" t="s">
        <v>2</v>
      </c>
      <c r="I50" s="8">
        <f>[37]krnmei!$F$225</f>
        <v>500000</v>
      </c>
      <c r="J50" s="2"/>
      <c r="K50" s="1" t="s">
        <v>12</v>
      </c>
      <c r="L50" s="2"/>
      <c r="M50" s="2" t="s">
        <v>2</v>
      </c>
      <c r="N50" s="8">
        <f>'[3]KARNING 2021'!$F$242</f>
        <v>100000</v>
      </c>
      <c r="O50" s="3"/>
    </row>
    <row r="51" spans="1:15" ht="15" x14ac:dyDescent="0.35">
      <c r="A51" s="13" t="s">
        <v>13</v>
      </c>
      <c r="B51" s="5"/>
      <c r="C51" s="5" t="s">
        <v>2</v>
      </c>
      <c r="D51" s="24">
        <f>SUM(D43:D50)</f>
        <v>1500000</v>
      </c>
      <c r="E51" s="2"/>
      <c r="F51" s="13" t="s">
        <v>13</v>
      </c>
      <c r="G51" s="5"/>
      <c r="H51" s="5" t="s">
        <v>2</v>
      </c>
      <c r="I51" s="24">
        <f>SUM(I43:I50)</f>
        <v>1200000</v>
      </c>
      <c r="J51" s="2"/>
      <c r="K51" s="13" t="s">
        <v>13</v>
      </c>
      <c r="L51" s="5"/>
      <c r="M51" s="5" t="s">
        <v>2</v>
      </c>
      <c r="N51" s="24">
        <f>SUM(N43:N50)</f>
        <v>2131500</v>
      </c>
      <c r="O51" s="3"/>
    </row>
    <row r="52" spans="1:15" ht="15" x14ac:dyDescent="0.35">
      <c r="A52" s="1" t="s">
        <v>14</v>
      </c>
      <c r="B52" s="2"/>
      <c r="C52" s="2" t="s">
        <v>2</v>
      </c>
      <c r="D52" s="8">
        <f>[38]krnmei!$J$23</f>
        <v>19000000</v>
      </c>
      <c r="E52" s="2"/>
      <c r="F52" s="1" t="s">
        <v>14</v>
      </c>
      <c r="G52" s="2"/>
      <c r="H52" s="2" t="s">
        <v>2</v>
      </c>
      <c r="I52" s="27">
        <f>[13]krnmei!$O$230</f>
        <v>0</v>
      </c>
      <c r="J52" s="2"/>
      <c r="K52" s="1" t="s">
        <v>14</v>
      </c>
      <c r="L52" s="2"/>
      <c r="M52" s="2" t="s">
        <v>2</v>
      </c>
      <c r="N52" s="27">
        <f>[38]krnmei!$J$244</f>
        <v>35900000</v>
      </c>
      <c r="O52" s="3"/>
    </row>
    <row r="53" spans="1:15" ht="15" x14ac:dyDescent="0.35">
      <c r="A53" s="1"/>
      <c r="B53" s="2"/>
      <c r="C53" s="15"/>
      <c r="D53" s="15" t="str">
        <f>D34</f>
        <v>Grogol, 02 Maret  2026</v>
      </c>
      <c r="E53" s="2"/>
      <c r="F53" s="1"/>
      <c r="G53" s="2"/>
      <c r="H53" s="15"/>
      <c r="I53" s="15" t="str">
        <f>D53</f>
        <v>Grogol, 02 Maret  2026</v>
      </c>
      <c r="J53" s="15"/>
      <c r="K53" s="1"/>
      <c r="L53" s="2"/>
      <c r="M53" s="15"/>
      <c r="N53" s="15" t="str">
        <f>I53</f>
        <v>Grogol, 02 Maret  2026</v>
      </c>
      <c r="O53" s="16"/>
    </row>
    <row r="54" spans="1:15" ht="15" x14ac:dyDescent="0.35">
      <c r="A54" s="1"/>
      <c r="B54" s="2"/>
      <c r="C54" s="2"/>
      <c r="D54" s="15" t="s">
        <v>15</v>
      </c>
      <c r="E54" s="15"/>
      <c r="F54" s="1"/>
      <c r="G54" s="2"/>
      <c r="H54" s="2"/>
      <c r="I54" s="15" t="s">
        <v>15</v>
      </c>
      <c r="J54" s="2"/>
      <c r="K54" s="1"/>
      <c r="L54" s="2"/>
      <c r="M54" s="2"/>
      <c r="N54" s="15" t="s">
        <v>15</v>
      </c>
      <c r="O54" s="3"/>
    </row>
    <row r="55" spans="1:15" ht="15" x14ac:dyDescent="0.35">
      <c r="A55" s="1"/>
      <c r="B55" s="2"/>
      <c r="C55" s="2"/>
      <c r="D55" s="15"/>
      <c r="E55" s="15"/>
      <c r="F55" s="1"/>
      <c r="G55" s="2"/>
      <c r="H55" s="2"/>
      <c r="I55" s="15"/>
      <c r="J55" s="2"/>
      <c r="K55" s="1"/>
      <c r="L55" s="2"/>
      <c r="M55" s="2"/>
      <c r="N55" s="15"/>
      <c r="O55" s="3"/>
    </row>
    <row r="56" spans="1:15" ht="15" x14ac:dyDescent="0.35">
      <c r="A56" s="1"/>
      <c r="B56" s="2"/>
      <c r="C56" s="2"/>
      <c r="D56" s="15"/>
      <c r="E56" s="2"/>
      <c r="F56" s="1"/>
      <c r="G56" s="2"/>
      <c r="H56" s="2"/>
      <c r="I56" s="15"/>
      <c r="J56" s="2"/>
      <c r="K56" s="1"/>
      <c r="L56" s="2"/>
      <c r="M56" s="2"/>
      <c r="N56" s="15"/>
      <c r="O56" s="3"/>
    </row>
    <row r="57" spans="1:15" ht="15.6" thickBot="1" x14ac:dyDescent="0.4">
      <c r="A57" s="17"/>
      <c r="B57" s="18"/>
      <c r="C57" s="18"/>
      <c r="D57" s="19" t="s">
        <v>16</v>
      </c>
      <c r="E57" s="18"/>
      <c r="F57" s="17"/>
      <c r="G57" s="18"/>
      <c r="H57" s="18"/>
      <c r="I57" s="19" t="s">
        <v>16</v>
      </c>
      <c r="J57" s="18"/>
      <c r="K57" s="17"/>
      <c r="L57" s="18"/>
      <c r="M57" s="18"/>
      <c r="N57" s="19" t="s">
        <v>16</v>
      </c>
      <c r="O57" s="20"/>
    </row>
    <row r="58" spans="1:15" ht="15" x14ac:dyDescent="0.35">
      <c r="A58" s="46" t="s">
        <v>0</v>
      </c>
      <c r="B58" s="47"/>
      <c r="C58" s="47"/>
      <c r="D58" s="47"/>
      <c r="E58" s="47"/>
      <c r="F58" s="46" t="s">
        <v>0</v>
      </c>
      <c r="G58" s="47"/>
      <c r="H58" s="47"/>
      <c r="I58" s="47"/>
      <c r="J58" s="47"/>
      <c r="K58" s="46" t="s">
        <v>0</v>
      </c>
      <c r="L58" s="47"/>
      <c r="M58" s="47"/>
      <c r="N58" s="47"/>
      <c r="O58" s="48"/>
    </row>
    <row r="59" spans="1:15" ht="15" x14ac:dyDescent="0.35">
      <c r="A59" s="1"/>
      <c r="B59" s="2"/>
      <c r="C59" s="2"/>
      <c r="D59" s="2"/>
      <c r="E59" s="4"/>
      <c r="F59" s="1"/>
      <c r="G59" s="2"/>
      <c r="H59" s="2"/>
      <c r="I59" s="2"/>
      <c r="J59" s="2"/>
      <c r="K59" s="1"/>
      <c r="L59" s="2"/>
      <c r="M59" s="2"/>
      <c r="N59" s="2"/>
      <c r="O59" s="3"/>
    </row>
    <row r="60" spans="1:15" ht="15" x14ac:dyDescent="0.35">
      <c r="A60" s="1" t="s">
        <v>1</v>
      </c>
      <c r="B60" s="2" t="s">
        <v>2</v>
      </c>
      <c r="C60" s="51" t="s">
        <v>76</v>
      </c>
      <c r="D60" s="51"/>
      <c r="E60" s="4">
        <v>52</v>
      </c>
      <c r="F60" s="1" t="s">
        <v>1</v>
      </c>
      <c r="G60" s="2" t="s">
        <v>2</v>
      </c>
      <c r="H60" s="50" t="s">
        <v>19</v>
      </c>
      <c r="I60" s="50"/>
      <c r="J60" s="4">
        <v>3</v>
      </c>
      <c r="K60" s="1" t="s">
        <v>1</v>
      </c>
      <c r="L60" s="2" t="s">
        <v>2</v>
      </c>
      <c r="M60" s="50" t="s">
        <v>20</v>
      </c>
      <c r="N60" s="50"/>
      <c r="O60" s="6">
        <v>4</v>
      </c>
    </row>
    <row r="61" spans="1:15" ht="15" x14ac:dyDescent="0.35">
      <c r="A61" s="1" t="s">
        <v>4</v>
      </c>
      <c r="B61" s="2"/>
      <c r="C61" s="2" t="s">
        <v>2</v>
      </c>
      <c r="D61" s="2"/>
      <c r="F61" s="1" t="s">
        <v>4</v>
      </c>
      <c r="G61" s="2"/>
      <c r="H61" s="2" t="s">
        <v>2</v>
      </c>
      <c r="I61" s="2"/>
      <c r="J61" s="2"/>
      <c r="K61" s="1" t="s">
        <v>4</v>
      </c>
      <c r="L61" s="2"/>
      <c r="M61" s="2" t="s">
        <v>2</v>
      </c>
      <c r="N61" s="2"/>
      <c r="O61" s="3"/>
    </row>
    <row r="62" spans="1:15" ht="15" x14ac:dyDescent="0.35">
      <c r="A62" s="1" t="s">
        <v>5</v>
      </c>
      <c r="B62" s="2"/>
      <c r="C62" s="2" t="s">
        <v>2</v>
      </c>
      <c r="D62" s="8">
        <f>[16]krnmei!$C$1399</f>
        <v>15000</v>
      </c>
      <c r="E62" s="2"/>
      <c r="F62" s="1" t="s">
        <v>5</v>
      </c>
      <c r="G62" s="2"/>
      <c r="H62" s="2" t="s">
        <v>2</v>
      </c>
      <c r="I62" s="8">
        <f>'[3]KARNING 2021'!$C$276</f>
        <v>100000</v>
      </c>
      <c r="J62" s="2"/>
      <c r="K62" s="1" t="s">
        <v>5</v>
      </c>
      <c r="L62" s="2"/>
      <c r="M62" s="2" t="s">
        <v>2</v>
      </c>
      <c r="N62" s="8">
        <f>'[3]KARNING 2021'!$C$293</f>
        <v>100000</v>
      </c>
      <c r="O62" s="3"/>
    </row>
    <row r="63" spans="1:15" ht="15" x14ac:dyDescent="0.35">
      <c r="A63" s="1" t="s">
        <v>6</v>
      </c>
      <c r="B63" s="2"/>
      <c r="C63" s="2" t="s">
        <v>2</v>
      </c>
      <c r="D63" s="8">
        <f>[16]krnmei!$D$1399</f>
        <v>10000</v>
      </c>
      <c r="E63" s="2"/>
      <c r="F63" s="1" t="s">
        <v>6</v>
      </c>
      <c r="G63" s="2"/>
      <c r="H63" s="2" t="s">
        <v>2</v>
      </c>
      <c r="I63" s="8">
        <f>[17]krnmei!$D$278</f>
        <v>100000</v>
      </c>
      <c r="J63" s="2"/>
      <c r="K63" s="1" t="s">
        <v>6</v>
      </c>
      <c r="L63" s="2"/>
      <c r="M63" s="2" t="s">
        <v>2</v>
      </c>
      <c r="N63" s="8">
        <f>[17]krnmei!$D$295</f>
        <v>100000</v>
      </c>
      <c r="O63" s="3"/>
    </row>
    <row r="64" spans="1:15" ht="15" x14ac:dyDescent="0.35">
      <c r="A64" s="1" t="s">
        <v>7</v>
      </c>
      <c r="B64" s="2"/>
      <c r="C64" s="2" t="s">
        <v>2</v>
      </c>
      <c r="D64" s="8">
        <f>[16]krnmei!$E$1399</f>
        <v>100000</v>
      </c>
      <c r="E64" s="2"/>
      <c r="F64" s="1" t="s">
        <v>7</v>
      </c>
      <c r="G64" s="2"/>
      <c r="H64" s="2" t="s">
        <v>2</v>
      </c>
      <c r="I64" s="8">
        <f>[5]krnmei!$E$280</f>
        <v>500000</v>
      </c>
      <c r="J64" s="2"/>
      <c r="K64" s="1" t="s">
        <v>7</v>
      </c>
      <c r="L64" s="2"/>
      <c r="M64" s="2" t="s">
        <v>2</v>
      </c>
      <c r="N64" s="8">
        <f>[5]krnmei!$E$297</f>
        <v>600000</v>
      </c>
      <c r="O64" s="3"/>
    </row>
    <row r="65" spans="1:15" ht="15" x14ac:dyDescent="0.35">
      <c r="A65" s="1" t="s">
        <v>8</v>
      </c>
      <c r="B65" s="2">
        <v>6</v>
      </c>
      <c r="C65" s="2" t="s">
        <v>2</v>
      </c>
      <c r="D65" s="8">
        <f>[18]krnmei!$I$1407</f>
        <v>1000000</v>
      </c>
      <c r="E65" s="2"/>
      <c r="F65" s="1" t="s">
        <v>8</v>
      </c>
      <c r="G65" s="21">
        <v>44</v>
      </c>
      <c r="H65" s="2" t="s">
        <v>2</v>
      </c>
      <c r="I65" s="8">
        <f>[9]krnmei!$I$286</f>
        <v>500000</v>
      </c>
      <c r="J65" s="2"/>
      <c r="K65" s="1" t="s">
        <v>8</v>
      </c>
      <c r="L65" s="2"/>
      <c r="M65" s="2" t="s">
        <v>2</v>
      </c>
      <c r="N65" s="8">
        <v>0</v>
      </c>
      <c r="O65" s="3"/>
    </row>
    <row r="66" spans="1:15" ht="15" x14ac:dyDescent="0.35">
      <c r="A66" s="1" t="s">
        <v>9</v>
      </c>
      <c r="B66" s="2"/>
      <c r="C66" s="2" t="s">
        <v>2</v>
      </c>
      <c r="D66" s="8">
        <f>[38]krnmei!$K$1400</f>
        <v>75000</v>
      </c>
      <c r="E66" s="2"/>
      <c r="F66" s="1" t="s">
        <v>9</v>
      </c>
      <c r="G66" s="2"/>
      <c r="H66" s="2" t="s">
        <v>2</v>
      </c>
      <c r="I66" s="11">
        <f>[38]krnmei!$K$278</f>
        <v>22500</v>
      </c>
      <c r="J66" s="2"/>
      <c r="K66" s="1" t="s">
        <v>9</v>
      </c>
      <c r="L66" s="2"/>
      <c r="M66" s="2" t="s">
        <v>2</v>
      </c>
      <c r="N66" s="8">
        <f>[4]krnmei!$J$292</f>
        <v>0</v>
      </c>
      <c r="O66" s="3"/>
    </row>
    <row r="67" spans="1:15" ht="15" x14ac:dyDescent="0.35">
      <c r="A67" s="1" t="s">
        <v>10</v>
      </c>
      <c r="B67" s="2"/>
      <c r="C67" s="2" t="s">
        <v>2</v>
      </c>
      <c r="D67" s="8">
        <v>0</v>
      </c>
      <c r="E67" s="2"/>
      <c r="F67" s="1" t="s">
        <v>10</v>
      </c>
      <c r="G67" s="2"/>
      <c r="H67" s="2" t="s">
        <v>2</v>
      </c>
      <c r="I67" s="8">
        <v>0</v>
      </c>
      <c r="J67" s="2"/>
      <c r="K67" s="1" t="s">
        <v>10</v>
      </c>
      <c r="L67" s="2"/>
      <c r="M67" s="2" t="s">
        <v>2</v>
      </c>
      <c r="N67" s="8">
        <v>0</v>
      </c>
      <c r="O67" s="3"/>
    </row>
    <row r="68" spans="1:15" ht="15" x14ac:dyDescent="0.35">
      <c r="A68" s="1" t="s">
        <v>11</v>
      </c>
      <c r="B68" s="2"/>
      <c r="C68" s="2" t="s">
        <v>2</v>
      </c>
      <c r="D68" s="9">
        <v>0</v>
      </c>
      <c r="E68" s="2"/>
      <c r="F68" s="1" t="s">
        <v>11</v>
      </c>
      <c r="G68" s="2"/>
      <c r="H68" s="2" t="s">
        <v>2</v>
      </c>
      <c r="I68" s="9">
        <v>0</v>
      </c>
      <c r="J68" s="2"/>
      <c r="K68" s="1" t="s">
        <v>11</v>
      </c>
      <c r="L68" s="2"/>
      <c r="M68" s="2" t="s">
        <v>2</v>
      </c>
      <c r="N68" s="9">
        <v>0</v>
      </c>
      <c r="O68" s="3"/>
    </row>
    <row r="69" spans="1:15" ht="15" x14ac:dyDescent="0.35">
      <c r="A69" s="1" t="s">
        <v>12</v>
      </c>
      <c r="B69" s="2"/>
      <c r="C69" s="2" t="s">
        <v>2</v>
      </c>
      <c r="D69" s="8">
        <f>[16]krnmei!$F$1399</f>
        <v>50000</v>
      </c>
      <c r="E69" s="2"/>
      <c r="F69" s="1" t="s">
        <v>12</v>
      </c>
      <c r="G69" s="2"/>
      <c r="H69" s="2" t="s">
        <v>2</v>
      </c>
      <c r="I69" s="8">
        <f>'[3]KARNING 2021'!$F$276</f>
        <v>200000</v>
      </c>
      <c r="J69" s="2"/>
      <c r="K69" s="1" t="s">
        <v>12</v>
      </c>
      <c r="L69" s="2"/>
      <c r="M69" s="2" t="s">
        <v>2</v>
      </c>
      <c r="N69" s="8">
        <v>1000000</v>
      </c>
      <c r="O69" s="3"/>
    </row>
    <row r="70" spans="1:15" ht="15" x14ac:dyDescent="0.35">
      <c r="A70" s="13" t="s">
        <v>13</v>
      </c>
      <c r="B70" s="5"/>
      <c r="C70" s="5" t="s">
        <v>2</v>
      </c>
      <c r="D70" s="24">
        <f>SUM(D62:D69)</f>
        <v>1250000</v>
      </c>
      <c r="E70" s="2"/>
      <c r="F70" s="13" t="s">
        <v>13</v>
      </c>
      <c r="G70" s="5"/>
      <c r="H70" s="5" t="s">
        <v>2</v>
      </c>
      <c r="I70" s="8">
        <f>SUM(I62:I69)</f>
        <v>1422500</v>
      </c>
      <c r="J70" s="2"/>
      <c r="K70" s="13" t="s">
        <v>13</v>
      </c>
      <c r="L70" s="5"/>
      <c r="M70" s="5" t="s">
        <v>2</v>
      </c>
      <c r="N70" s="28">
        <f>SUM(N62:N69)</f>
        <v>1800000</v>
      </c>
      <c r="O70" s="3"/>
    </row>
    <row r="71" spans="1:15" ht="15" x14ac:dyDescent="0.35">
      <c r="A71" s="1" t="s">
        <v>14</v>
      </c>
      <c r="B71" s="2"/>
      <c r="C71" s="2" t="s">
        <v>2</v>
      </c>
      <c r="D71" s="8">
        <f>[38]krnmei!$J$1400</f>
        <v>4000000</v>
      </c>
      <c r="E71" s="2"/>
      <c r="F71" s="1" t="s">
        <v>14</v>
      </c>
      <c r="G71" s="2"/>
      <c r="H71" s="2" t="s">
        <v>2</v>
      </c>
      <c r="I71" s="27">
        <f>[38]krnmei!$J$278</f>
        <v>1000000</v>
      </c>
      <c r="J71" s="2"/>
      <c r="K71" s="1" t="s">
        <v>14</v>
      </c>
      <c r="L71" s="2"/>
      <c r="M71" s="2" t="s">
        <v>2</v>
      </c>
      <c r="N71" s="8">
        <v>0</v>
      </c>
      <c r="O71" s="3"/>
    </row>
    <row r="72" spans="1:15" ht="15" x14ac:dyDescent="0.35">
      <c r="A72" s="1"/>
      <c r="B72" s="2"/>
      <c r="C72" s="15"/>
      <c r="D72" s="15" t="str">
        <f>D53</f>
        <v>Grogol, 02 Maret  2026</v>
      </c>
      <c r="E72" s="2"/>
      <c r="F72" s="1"/>
      <c r="G72" s="2"/>
      <c r="H72" s="15"/>
      <c r="I72" s="15" t="str">
        <f>I53</f>
        <v>Grogol, 02 Maret  2026</v>
      </c>
      <c r="J72" s="15"/>
      <c r="K72" s="1"/>
      <c r="L72" s="2"/>
      <c r="M72" s="15"/>
      <c r="N72" s="15" t="str">
        <f>I72</f>
        <v>Grogol, 02 Maret  2026</v>
      </c>
      <c r="O72" s="16"/>
    </row>
    <row r="73" spans="1:15" ht="15" x14ac:dyDescent="0.35">
      <c r="A73" s="1"/>
      <c r="B73" s="2"/>
      <c r="C73" s="2"/>
      <c r="D73" s="15" t="s">
        <v>15</v>
      </c>
      <c r="E73" s="15"/>
      <c r="F73" s="1"/>
      <c r="G73" s="2"/>
      <c r="H73" s="2"/>
      <c r="I73" s="15" t="s">
        <v>15</v>
      </c>
      <c r="J73" s="2"/>
      <c r="K73" s="1"/>
      <c r="L73" s="2"/>
      <c r="M73" s="2"/>
      <c r="N73" s="15" t="s">
        <v>15</v>
      </c>
      <c r="O73" s="3"/>
    </row>
    <row r="74" spans="1:15" ht="15" x14ac:dyDescent="0.35">
      <c r="A74" s="1"/>
      <c r="B74" s="2"/>
      <c r="C74" s="2"/>
      <c r="D74" s="15"/>
      <c r="E74" s="2"/>
      <c r="F74" s="1"/>
      <c r="G74" s="2"/>
      <c r="H74" s="2"/>
      <c r="I74" s="2"/>
      <c r="J74" s="2"/>
      <c r="K74" s="1"/>
      <c r="L74" s="2"/>
      <c r="M74" s="2"/>
      <c r="N74" s="15"/>
      <c r="O74" s="3"/>
    </row>
    <row r="75" spans="1:15" ht="15" x14ac:dyDescent="0.35">
      <c r="A75" s="1"/>
      <c r="B75" s="2"/>
      <c r="C75" s="2"/>
      <c r="D75" s="15"/>
      <c r="E75" s="2"/>
      <c r="F75" s="1"/>
      <c r="G75" s="2"/>
      <c r="H75" s="2"/>
      <c r="I75" s="15"/>
      <c r="J75" s="2"/>
      <c r="K75" s="1"/>
      <c r="L75" s="2"/>
      <c r="M75" s="2"/>
      <c r="N75" s="15"/>
      <c r="O75" s="3"/>
    </row>
    <row r="76" spans="1:15" ht="15.6" thickBot="1" x14ac:dyDescent="0.4">
      <c r="A76" s="17"/>
      <c r="B76" s="18"/>
      <c r="C76" s="18"/>
      <c r="D76" s="19" t="s">
        <v>16</v>
      </c>
      <c r="E76" s="18"/>
      <c r="F76" s="17"/>
      <c r="G76" s="18"/>
      <c r="H76" s="18"/>
      <c r="I76" s="19" t="s">
        <v>16</v>
      </c>
      <c r="J76" s="18"/>
      <c r="K76" s="17"/>
      <c r="L76" s="18"/>
      <c r="M76" s="18"/>
      <c r="N76" s="19" t="s">
        <v>16</v>
      </c>
      <c r="O76" s="20"/>
    </row>
    <row r="77" spans="1:15" ht="15" x14ac:dyDescent="0.35">
      <c r="A77" s="46" t="s">
        <v>0</v>
      </c>
      <c r="B77" s="47"/>
      <c r="C77" s="47"/>
      <c r="D77" s="47"/>
      <c r="E77" s="47"/>
      <c r="F77" s="46" t="s">
        <v>0</v>
      </c>
      <c r="G77" s="47"/>
      <c r="H77" s="47"/>
      <c r="I77" s="47"/>
      <c r="J77" s="47"/>
      <c r="K77" s="46" t="s">
        <v>0</v>
      </c>
      <c r="L77" s="47"/>
      <c r="M77" s="47"/>
      <c r="N77" s="47"/>
      <c r="O77" s="48"/>
    </row>
    <row r="78" spans="1:15" ht="15" x14ac:dyDescent="0.35">
      <c r="A78" s="1"/>
      <c r="B78" s="2"/>
      <c r="C78" s="2"/>
      <c r="D78" s="2"/>
      <c r="E78" s="2"/>
      <c r="F78" s="1"/>
      <c r="G78" s="2"/>
      <c r="H78" s="2"/>
      <c r="I78" s="2"/>
      <c r="J78" s="2"/>
      <c r="K78" s="1"/>
      <c r="L78" s="2"/>
      <c r="M78" s="2"/>
      <c r="N78" s="2"/>
      <c r="O78" s="3"/>
    </row>
    <row r="79" spans="1:15" ht="15" x14ac:dyDescent="0.35">
      <c r="A79" s="1" t="s">
        <v>1</v>
      </c>
      <c r="B79" s="2" t="s">
        <v>2</v>
      </c>
      <c r="C79" s="51" t="s">
        <v>21</v>
      </c>
      <c r="D79" s="51"/>
      <c r="E79" s="4">
        <v>5</v>
      </c>
      <c r="F79" s="1" t="s">
        <v>1</v>
      </c>
      <c r="G79" s="2" t="s">
        <v>2</v>
      </c>
      <c r="H79" s="50" t="s">
        <v>22</v>
      </c>
      <c r="I79" s="50"/>
      <c r="J79" s="4">
        <v>6</v>
      </c>
      <c r="K79" s="1" t="s">
        <v>1</v>
      </c>
      <c r="L79" s="2" t="s">
        <v>2</v>
      </c>
      <c r="M79" s="50" t="s">
        <v>77</v>
      </c>
      <c r="N79" s="50"/>
      <c r="O79" s="6">
        <v>53</v>
      </c>
    </row>
    <row r="80" spans="1:15" ht="15" x14ac:dyDescent="0.35">
      <c r="A80" s="1" t="s">
        <v>4</v>
      </c>
      <c r="B80" s="2"/>
      <c r="C80" s="2" t="s">
        <v>2</v>
      </c>
      <c r="D80" s="2"/>
      <c r="F80" s="1" t="s">
        <v>4</v>
      </c>
      <c r="G80" s="2"/>
      <c r="H80" s="2" t="s">
        <v>2</v>
      </c>
      <c r="I80" s="2"/>
      <c r="J80" s="2"/>
      <c r="K80" s="1" t="s">
        <v>4</v>
      </c>
      <c r="L80" s="2"/>
      <c r="M80" s="2" t="s">
        <v>2</v>
      </c>
      <c r="N80" s="2"/>
      <c r="O80" s="3"/>
    </row>
    <row r="81" spans="1:15" ht="15" x14ac:dyDescent="0.35">
      <c r="A81" s="1" t="s">
        <v>5</v>
      </c>
      <c r="B81" s="2"/>
      <c r="C81" s="2" t="s">
        <v>2</v>
      </c>
      <c r="D81" s="8">
        <f>'[3]KARNING 2021'!$C$310</f>
        <v>100000</v>
      </c>
      <c r="E81" s="2"/>
      <c r="F81" s="1" t="s">
        <v>5</v>
      </c>
      <c r="G81" s="2"/>
      <c r="H81" s="2" t="s">
        <v>2</v>
      </c>
      <c r="I81" s="8">
        <f>'[3]KARNING 2021'!$C$327</f>
        <v>100000</v>
      </c>
      <c r="J81" s="2"/>
      <c r="K81" s="1" t="s">
        <v>5</v>
      </c>
      <c r="L81" s="2"/>
      <c r="M81" s="2" t="s">
        <v>2</v>
      </c>
      <c r="N81" s="8">
        <f>[16]krnmei!$C$1416</f>
        <v>15000</v>
      </c>
      <c r="O81" s="3"/>
    </row>
    <row r="82" spans="1:15" ht="15" x14ac:dyDescent="0.35">
      <c r="A82" s="1" t="s">
        <v>6</v>
      </c>
      <c r="B82" s="2"/>
      <c r="C82" s="2" t="s">
        <v>2</v>
      </c>
      <c r="D82" s="8">
        <f>'[3]KARNING 2021'!$D$310</f>
        <v>10000</v>
      </c>
      <c r="E82" s="2"/>
      <c r="F82" s="1" t="s">
        <v>6</v>
      </c>
      <c r="G82" s="2"/>
      <c r="H82" s="2" t="s">
        <v>2</v>
      </c>
      <c r="I82" s="8">
        <f>'[3]KARNING 2021'!$D$327</f>
        <v>25000</v>
      </c>
      <c r="J82" s="2"/>
      <c r="K82" s="1" t="s">
        <v>6</v>
      </c>
      <c r="L82" s="2"/>
      <c r="M82" s="2" t="s">
        <v>2</v>
      </c>
      <c r="N82" s="8">
        <f>[16]krnmei!$D$1416</f>
        <v>10000</v>
      </c>
      <c r="O82" s="3"/>
    </row>
    <row r="83" spans="1:15" ht="15" x14ac:dyDescent="0.35">
      <c r="A83" s="1" t="s">
        <v>7</v>
      </c>
      <c r="B83" s="2"/>
      <c r="C83" s="2" t="s">
        <v>2</v>
      </c>
      <c r="D83" s="8">
        <f>'[3]KARNING 2021'!$E$310</f>
        <v>150000</v>
      </c>
      <c r="E83" s="2"/>
      <c r="F83" s="1" t="s">
        <v>23</v>
      </c>
      <c r="G83" s="2"/>
      <c r="H83" s="2" t="s">
        <v>2</v>
      </c>
      <c r="I83" s="8">
        <f>'[3]KARNING 2021'!$E$327</f>
        <v>200000</v>
      </c>
      <c r="J83" s="2"/>
      <c r="K83" s="1" t="s">
        <v>7</v>
      </c>
      <c r="L83" s="2"/>
      <c r="M83" s="2" t="s">
        <v>2</v>
      </c>
      <c r="N83" s="8">
        <f>[16]krnmei!$E$1416</f>
        <v>15000</v>
      </c>
      <c r="O83" s="3"/>
    </row>
    <row r="84" spans="1:15" ht="15" x14ac:dyDescent="0.35">
      <c r="A84" s="1" t="s">
        <v>8</v>
      </c>
      <c r="B84" s="2"/>
      <c r="C84" s="2" t="s">
        <v>2</v>
      </c>
      <c r="D84" s="8">
        <v>0</v>
      </c>
      <c r="E84" s="2"/>
      <c r="F84" s="1" t="s">
        <v>8</v>
      </c>
      <c r="G84" s="21">
        <v>25</v>
      </c>
      <c r="H84" s="2" t="s">
        <v>2</v>
      </c>
      <c r="I84" s="8">
        <f>'[3]KARNING 2021'!$I$327</f>
        <v>250000</v>
      </c>
      <c r="J84" s="2"/>
      <c r="K84" s="1" t="s">
        <v>8</v>
      </c>
      <c r="L84" s="21"/>
      <c r="M84" s="2" t="s">
        <v>2</v>
      </c>
      <c r="N84" s="8">
        <v>0</v>
      </c>
      <c r="O84" s="3"/>
    </row>
    <row r="85" spans="1:15" ht="15" x14ac:dyDescent="0.35">
      <c r="A85" s="1" t="s">
        <v>9</v>
      </c>
      <c r="B85" s="2"/>
      <c r="C85" s="2" t="s">
        <v>2</v>
      </c>
      <c r="D85" s="8">
        <v>0</v>
      </c>
      <c r="E85" s="2"/>
      <c r="F85" s="1" t="s">
        <v>9</v>
      </c>
      <c r="G85" s="2"/>
      <c r="H85" s="2" t="s">
        <v>2</v>
      </c>
      <c r="I85" s="11">
        <f>[38]krnmei!$K$329</f>
        <v>270000</v>
      </c>
      <c r="J85" s="2"/>
      <c r="K85" s="1" t="s">
        <v>9</v>
      </c>
      <c r="L85" s="2"/>
      <c r="M85" s="2" t="s">
        <v>2</v>
      </c>
      <c r="N85" s="11">
        <v>0</v>
      </c>
      <c r="O85" s="3"/>
    </row>
    <row r="86" spans="1:15" ht="15" x14ac:dyDescent="0.35">
      <c r="A86" s="1" t="s">
        <v>10</v>
      </c>
      <c r="B86" s="2"/>
      <c r="C86" s="2" t="s">
        <v>2</v>
      </c>
      <c r="D86" s="8">
        <v>0</v>
      </c>
      <c r="E86" s="2"/>
      <c r="F86" s="1" t="s">
        <v>10</v>
      </c>
      <c r="G86" s="2"/>
      <c r="H86" s="2" t="s">
        <v>2</v>
      </c>
      <c r="I86" s="8">
        <v>0</v>
      </c>
      <c r="J86" s="2"/>
      <c r="K86" s="1" t="s">
        <v>10</v>
      </c>
      <c r="L86" s="2"/>
      <c r="M86" s="2"/>
      <c r="N86" s="8">
        <v>0</v>
      </c>
      <c r="O86" s="3"/>
    </row>
    <row r="87" spans="1:15" ht="15" x14ac:dyDescent="0.35">
      <c r="A87" s="1" t="s">
        <v>11</v>
      </c>
      <c r="B87" s="2"/>
      <c r="C87" s="2" t="s">
        <v>2</v>
      </c>
      <c r="D87" s="41">
        <f>[12]krnmei!$P$321</f>
        <v>240000</v>
      </c>
      <c r="E87" s="2"/>
      <c r="F87" s="1" t="s">
        <v>11</v>
      </c>
      <c r="G87" s="2"/>
      <c r="H87" s="2" t="s">
        <v>2</v>
      </c>
      <c r="I87" s="9">
        <v>0</v>
      </c>
      <c r="J87" s="2"/>
      <c r="K87" s="1" t="s">
        <v>11</v>
      </c>
      <c r="L87" s="2"/>
      <c r="M87" s="2" t="s">
        <v>2</v>
      </c>
      <c r="N87" s="8">
        <v>0</v>
      </c>
      <c r="O87" s="3"/>
    </row>
    <row r="88" spans="1:15" ht="15.6" thickBot="1" x14ac:dyDescent="0.4">
      <c r="A88" s="1" t="s">
        <v>12</v>
      </c>
      <c r="B88" s="2"/>
      <c r="C88" s="2" t="s">
        <v>2</v>
      </c>
      <c r="D88" s="29">
        <f>'[3]KARNING 2021'!$F$310</f>
        <v>100000</v>
      </c>
      <c r="E88" s="2"/>
      <c r="F88" s="1" t="s">
        <v>12</v>
      </c>
      <c r="G88" s="2"/>
      <c r="H88" s="2" t="s">
        <v>2</v>
      </c>
      <c r="I88" s="8">
        <v>0</v>
      </c>
      <c r="J88" s="2"/>
      <c r="K88" s="1" t="s">
        <v>12</v>
      </c>
      <c r="L88" s="2"/>
      <c r="M88" s="2" t="s">
        <v>2</v>
      </c>
      <c r="N88" s="8">
        <f>[16]krnmei!$F$1416</f>
        <v>10000</v>
      </c>
      <c r="O88" s="3"/>
    </row>
    <row r="89" spans="1:15" ht="15.6" thickTop="1" x14ac:dyDescent="0.35">
      <c r="A89" s="13" t="s">
        <v>13</v>
      </c>
      <c r="B89" s="5"/>
      <c r="C89" s="5" t="s">
        <v>2</v>
      </c>
      <c r="D89" s="8">
        <f>SUM(D81:D88)</f>
        <v>600000</v>
      </c>
      <c r="E89" s="2"/>
      <c r="F89" s="13" t="s">
        <v>13</v>
      </c>
      <c r="G89" s="5"/>
      <c r="H89" s="5" t="s">
        <v>2</v>
      </c>
      <c r="I89" s="8">
        <f>SUM(I81:I88)</f>
        <v>845000</v>
      </c>
      <c r="J89" s="2"/>
      <c r="K89" s="13" t="s">
        <v>13</v>
      </c>
      <c r="L89" s="5"/>
      <c r="M89" s="5" t="s">
        <v>2</v>
      </c>
      <c r="N89" s="24">
        <f>SUM(N81:N88)</f>
        <v>50000</v>
      </c>
      <c r="O89" s="3"/>
    </row>
    <row r="90" spans="1:15" ht="15" x14ac:dyDescent="0.35">
      <c r="A90" s="1" t="s">
        <v>14</v>
      </c>
      <c r="B90" s="2"/>
      <c r="C90" s="2" t="s">
        <v>2</v>
      </c>
      <c r="D90" s="30">
        <f>[12]krnmei!$O$321</f>
        <v>12000000</v>
      </c>
      <c r="E90" s="2"/>
      <c r="F90" s="1" t="s">
        <v>14</v>
      </c>
      <c r="G90" s="2"/>
      <c r="H90" s="2" t="s">
        <v>2</v>
      </c>
      <c r="I90" s="27">
        <f>[38]krnmei!$J$329</f>
        <v>17750000</v>
      </c>
      <c r="J90" s="2"/>
      <c r="K90" s="1" t="s">
        <v>14</v>
      </c>
      <c r="L90" s="2"/>
      <c r="M90" s="2" t="s">
        <v>2</v>
      </c>
      <c r="N90" s="27">
        <v>0</v>
      </c>
      <c r="O90" s="3"/>
    </row>
    <row r="91" spans="1:15" ht="15" x14ac:dyDescent="0.35">
      <c r="A91" s="1"/>
      <c r="B91" s="2"/>
      <c r="C91" s="15"/>
      <c r="D91" s="15" t="str">
        <f>D72</f>
        <v>Grogol, 02 Maret  2026</v>
      </c>
      <c r="E91" s="2"/>
      <c r="F91" s="1"/>
      <c r="G91" s="2"/>
      <c r="H91" s="49" t="str">
        <f>D91</f>
        <v>Grogol, 02 Maret  2026</v>
      </c>
      <c r="I91" s="49"/>
      <c r="J91" s="49"/>
      <c r="K91" s="1"/>
      <c r="L91" s="2"/>
      <c r="M91" s="15"/>
      <c r="N91" s="15" t="str">
        <f>H91</f>
        <v>Grogol, 02 Maret  2026</v>
      </c>
      <c r="O91" s="16"/>
    </row>
    <row r="92" spans="1:15" ht="15" x14ac:dyDescent="0.35">
      <c r="A92" s="1"/>
      <c r="B92" s="2"/>
      <c r="C92" s="2"/>
      <c r="D92" s="15" t="s">
        <v>15</v>
      </c>
      <c r="E92" s="15"/>
      <c r="F92" s="1"/>
      <c r="G92" s="2"/>
      <c r="H92" s="2"/>
      <c r="I92" s="15" t="s">
        <v>15</v>
      </c>
      <c r="J92" s="2"/>
      <c r="K92" s="1"/>
      <c r="L92" s="2"/>
      <c r="M92" s="2"/>
      <c r="N92" s="15" t="s">
        <v>15</v>
      </c>
      <c r="O92" s="3"/>
    </row>
    <row r="93" spans="1:15" ht="15" x14ac:dyDescent="0.35">
      <c r="A93" s="1"/>
      <c r="B93" s="2"/>
      <c r="C93" s="2"/>
      <c r="D93" s="15"/>
      <c r="E93" s="2"/>
      <c r="F93" s="1"/>
      <c r="G93" s="2"/>
      <c r="H93" s="2"/>
      <c r="I93" s="2"/>
      <c r="J93" s="2"/>
      <c r="K93" s="1"/>
      <c r="L93" s="2"/>
      <c r="M93" s="2"/>
      <c r="N93" s="15"/>
      <c r="O93" s="3"/>
    </row>
    <row r="94" spans="1:15" ht="15" x14ac:dyDescent="0.35">
      <c r="A94" s="1"/>
      <c r="B94" s="2"/>
      <c r="C94" s="2"/>
      <c r="D94" s="15"/>
      <c r="E94" s="2"/>
      <c r="F94" s="1"/>
      <c r="G94" s="2"/>
      <c r="H94" s="2"/>
      <c r="I94" s="2"/>
      <c r="J94" s="2"/>
      <c r="K94" s="1"/>
      <c r="L94" s="2"/>
      <c r="M94" s="2"/>
      <c r="N94" s="15"/>
      <c r="O94" s="3"/>
    </row>
    <row r="95" spans="1:15" ht="15.6" thickBot="1" x14ac:dyDescent="0.4">
      <c r="A95" s="17"/>
      <c r="B95" s="18"/>
      <c r="C95" s="18"/>
      <c r="D95" s="19" t="s">
        <v>16</v>
      </c>
      <c r="E95" s="18"/>
      <c r="F95" s="17"/>
      <c r="G95" s="18"/>
      <c r="H95" s="18"/>
      <c r="I95" s="19" t="s">
        <v>16</v>
      </c>
      <c r="J95" s="18"/>
      <c r="K95" s="17"/>
      <c r="L95" s="18"/>
      <c r="M95" s="18"/>
      <c r="N95" s="19" t="s">
        <v>16</v>
      </c>
      <c r="O95" s="20"/>
    </row>
    <row r="96" spans="1:15" ht="15" x14ac:dyDescent="0.35">
      <c r="A96" s="46" t="s">
        <v>0</v>
      </c>
      <c r="B96" s="47"/>
      <c r="C96" s="47"/>
      <c r="D96" s="47"/>
      <c r="E96" s="47"/>
      <c r="F96" s="46" t="s">
        <v>0</v>
      </c>
      <c r="G96" s="47"/>
      <c r="H96" s="47"/>
      <c r="I96" s="47"/>
      <c r="J96" s="47"/>
      <c r="K96" s="46" t="s">
        <v>0</v>
      </c>
      <c r="L96" s="47"/>
      <c r="M96" s="47"/>
      <c r="N96" s="47"/>
      <c r="O96" s="48"/>
    </row>
    <row r="97" spans="1:15" ht="15" x14ac:dyDescent="0.35">
      <c r="A97" s="1"/>
      <c r="B97" s="2"/>
      <c r="C97" s="2"/>
      <c r="D97" s="2"/>
      <c r="E97" s="2"/>
      <c r="F97" s="1"/>
      <c r="G97" s="2"/>
      <c r="H97" s="2"/>
      <c r="I97" s="2"/>
      <c r="J97" s="2"/>
      <c r="K97" s="1"/>
      <c r="L97" s="2"/>
      <c r="M97" s="2"/>
      <c r="N97" s="2"/>
      <c r="O97" s="3"/>
    </row>
    <row r="98" spans="1:15" ht="15" x14ac:dyDescent="0.35">
      <c r="A98" s="1" t="s">
        <v>1</v>
      </c>
      <c r="B98" s="2" t="s">
        <v>2</v>
      </c>
      <c r="C98" s="51" t="s">
        <v>24</v>
      </c>
      <c r="D98" s="51"/>
      <c r="E98" s="4">
        <v>7</v>
      </c>
      <c r="F98" s="1" t="s">
        <v>1</v>
      </c>
      <c r="G98" s="2" t="s">
        <v>2</v>
      </c>
      <c r="H98" s="50" t="s">
        <v>25</v>
      </c>
      <c r="I98" s="50"/>
      <c r="J98" s="4">
        <v>8</v>
      </c>
      <c r="K98" s="1" t="s">
        <v>1</v>
      </c>
      <c r="L98" s="2" t="s">
        <v>2</v>
      </c>
      <c r="M98" s="50" t="s">
        <v>26</v>
      </c>
      <c r="N98" s="50"/>
      <c r="O98" s="6">
        <v>9</v>
      </c>
    </row>
    <row r="99" spans="1:15" ht="15" x14ac:dyDescent="0.35">
      <c r="A99" s="1" t="s">
        <v>4</v>
      </c>
      <c r="B99" s="2"/>
      <c r="C99" s="2" t="s">
        <v>2</v>
      </c>
      <c r="D99" s="2"/>
      <c r="F99" s="1" t="s">
        <v>4</v>
      </c>
      <c r="G99" s="2"/>
      <c r="H99" s="2" t="s">
        <v>2</v>
      </c>
      <c r="I99" s="2"/>
      <c r="J99" s="2"/>
      <c r="K99" s="1" t="s">
        <v>4</v>
      </c>
      <c r="L99" s="2"/>
      <c r="M99" s="2" t="s">
        <v>2</v>
      </c>
      <c r="N99" s="2"/>
      <c r="O99" s="3"/>
    </row>
    <row r="100" spans="1:15" ht="15" x14ac:dyDescent="0.35">
      <c r="A100" s="1" t="s">
        <v>5</v>
      </c>
      <c r="B100" s="2"/>
      <c r="C100" s="2" t="s">
        <v>2</v>
      </c>
      <c r="D100" s="8">
        <f>'[3]KARNING 2021'!$C$361</f>
        <v>100000</v>
      </c>
      <c r="E100" s="2"/>
      <c r="F100" s="1" t="s">
        <v>5</v>
      </c>
      <c r="G100" s="2"/>
      <c r="H100" s="2" t="s">
        <v>2</v>
      </c>
      <c r="I100" s="8">
        <f>'[3]KARNING 2021'!$C$378</f>
        <v>100000</v>
      </c>
      <c r="J100" s="2"/>
      <c r="K100" s="1" t="s">
        <v>5</v>
      </c>
      <c r="L100" s="2"/>
      <c r="M100" s="2" t="s">
        <v>2</v>
      </c>
      <c r="N100" s="8">
        <f>'[3]KARNING 2021'!$C$395</f>
        <v>100000</v>
      </c>
      <c r="O100" s="3"/>
    </row>
    <row r="101" spans="1:15" ht="15" x14ac:dyDescent="0.35">
      <c r="A101" s="1" t="s">
        <v>6</v>
      </c>
      <c r="B101" s="2"/>
      <c r="C101" s="2" t="s">
        <v>2</v>
      </c>
      <c r="D101" s="8">
        <v>400000</v>
      </c>
      <c r="E101" s="2"/>
      <c r="F101" s="1" t="s">
        <v>6</v>
      </c>
      <c r="G101" s="2"/>
      <c r="H101" s="2" t="s">
        <v>2</v>
      </c>
      <c r="I101" s="8">
        <f>'[3]KARNING 2021'!$D$378</f>
        <v>5000</v>
      </c>
      <c r="J101" s="2"/>
      <c r="K101" s="1" t="s">
        <v>6</v>
      </c>
      <c r="L101" s="2"/>
      <c r="M101" s="2" t="s">
        <v>2</v>
      </c>
      <c r="N101" s="8">
        <f>'[3]KARNING 2021'!$D$395</f>
        <v>5000</v>
      </c>
      <c r="O101" s="3"/>
    </row>
    <row r="102" spans="1:15" ht="15" x14ac:dyDescent="0.35">
      <c r="A102" s="1" t="s">
        <v>7</v>
      </c>
      <c r="B102" s="2"/>
      <c r="C102" s="2" t="s">
        <v>2</v>
      </c>
      <c r="D102" s="8">
        <f>[19]krnmei!$E$362</f>
        <v>200000</v>
      </c>
      <c r="E102" s="2"/>
      <c r="F102" s="1" t="s">
        <v>7</v>
      </c>
      <c r="G102" s="2"/>
      <c r="H102" s="2" t="s">
        <v>2</v>
      </c>
      <c r="I102" s="8">
        <v>150000</v>
      </c>
      <c r="J102" s="2"/>
      <c r="K102" s="1" t="s">
        <v>7</v>
      </c>
      <c r="L102" s="2"/>
      <c r="M102" s="2" t="s">
        <v>2</v>
      </c>
      <c r="N102" s="8">
        <f>[5]krnmei!$E$399</f>
        <v>200000</v>
      </c>
      <c r="O102" s="3"/>
    </row>
    <row r="103" spans="1:15" ht="15" x14ac:dyDescent="0.35">
      <c r="A103" s="1" t="s">
        <v>8</v>
      </c>
      <c r="B103" s="21">
        <v>20</v>
      </c>
      <c r="C103" s="2" t="s">
        <v>2</v>
      </c>
      <c r="D103" s="25">
        <f>[20]krnmei!$I$368</f>
        <v>500000</v>
      </c>
      <c r="E103" s="2"/>
      <c r="F103" s="1" t="s">
        <v>8</v>
      </c>
      <c r="G103" s="21">
        <v>70</v>
      </c>
      <c r="H103" s="2" t="s">
        <v>2</v>
      </c>
      <c r="I103" s="8">
        <f>[21]krnmei!$I$383</f>
        <v>500000</v>
      </c>
      <c r="J103" s="2"/>
      <c r="K103" s="1" t="s">
        <v>8</v>
      </c>
      <c r="L103" s="21">
        <v>7</v>
      </c>
      <c r="M103" s="2" t="s">
        <v>2</v>
      </c>
      <c r="N103" s="8">
        <f>[18]krnmei!$I$404</f>
        <v>1000000</v>
      </c>
      <c r="O103" s="3"/>
    </row>
    <row r="104" spans="1:15" ht="15" x14ac:dyDescent="0.35">
      <c r="A104" s="1" t="s">
        <v>9</v>
      </c>
      <c r="B104" s="2"/>
      <c r="C104" s="2" t="s">
        <v>2</v>
      </c>
      <c r="D104" s="30">
        <f>[38]krnmei!$K$363</f>
        <v>157500</v>
      </c>
      <c r="E104" s="2"/>
      <c r="F104" s="1" t="s">
        <v>9</v>
      </c>
      <c r="G104" s="2"/>
      <c r="H104" s="2" t="s">
        <v>2</v>
      </c>
      <c r="I104" s="11">
        <f>[38]krnmei!$K$380</f>
        <v>321300</v>
      </c>
      <c r="J104" s="2"/>
      <c r="K104" s="1" t="s">
        <v>9</v>
      </c>
      <c r="L104" s="2"/>
      <c r="M104" s="2" t="s">
        <v>2</v>
      </c>
      <c r="N104" s="11">
        <f>[38]krnmei!$K$397</f>
        <v>60000</v>
      </c>
      <c r="O104" s="3"/>
    </row>
    <row r="105" spans="1:15" ht="15" x14ac:dyDescent="0.35">
      <c r="A105" s="1" t="s">
        <v>10</v>
      </c>
      <c r="B105" s="2"/>
      <c r="C105" s="2" t="s">
        <v>2</v>
      </c>
      <c r="D105" s="8">
        <v>0</v>
      </c>
      <c r="E105" s="2"/>
      <c r="F105" s="1" t="s">
        <v>10</v>
      </c>
      <c r="G105" s="2"/>
      <c r="H105" s="2" t="s">
        <v>2</v>
      </c>
      <c r="I105" s="8"/>
      <c r="J105" s="2"/>
      <c r="K105" s="1" t="s">
        <v>10</v>
      </c>
      <c r="L105" s="2"/>
      <c r="M105" s="2" t="s">
        <v>2</v>
      </c>
      <c r="N105" s="8">
        <v>0</v>
      </c>
      <c r="O105" s="3"/>
    </row>
    <row r="106" spans="1:15" ht="15" x14ac:dyDescent="0.35">
      <c r="A106" s="1" t="s">
        <v>11</v>
      </c>
      <c r="B106" s="2"/>
      <c r="C106" s="2" t="s">
        <v>2</v>
      </c>
      <c r="D106" s="8">
        <v>0</v>
      </c>
      <c r="E106" s="2"/>
      <c r="F106" s="1" t="s">
        <v>11</v>
      </c>
      <c r="G106" s="2"/>
      <c r="H106" s="2" t="s">
        <v>2</v>
      </c>
      <c r="I106" s="8">
        <v>0</v>
      </c>
      <c r="J106" s="2"/>
      <c r="K106" s="1" t="s">
        <v>11</v>
      </c>
      <c r="L106" s="2"/>
      <c r="M106" s="2" t="s">
        <v>2</v>
      </c>
      <c r="N106" s="8">
        <f>[14]krnmei!$P$395</f>
        <v>0</v>
      </c>
      <c r="O106" s="3"/>
    </row>
    <row r="107" spans="1:15" ht="15" x14ac:dyDescent="0.35">
      <c r="A107" s="1" t="s">
        <v>12</v>
      </c>
      <c r="B107" s="2"/>
      <c r="C107" s="2" t="s">
        <v>2</v>
      </c>
      <c r="D107" s="8">
        <v>500000</v>
      </c>
      <c r="E107" s="2"/>
      <c r="F107" s="1" t="s">
        <v>12</v>
      </c>
      <c r="G107" s="2"/>
      <c r="H107" s="2" t="s">
        <v>2</v>
      </c>
      <c r="I107" s="8">
        <f>'[3]KARNING 2021'!$F$378</f>
        <v>100000</v>
      </c>
      <c r="J107" s="2"/>
      <c r="K107" s="1" t="s">
        <v>12</v>
      </c>
      <c r="L107" s="2"/>
      <c r="M107" s="2" t="s">
        <v>2</v>
      </c>
      <c r="N107" s="8">
        <f>[14]krnmei!$F$395</f>
        <v>200000</v>
      </c>
      <c r="O107" s="3"/>
    </row>
    <row r="108" spans="1:15" ht="15" x14ac:dyDescent="0.35">
      <c r="A108" s="13" t="s">
        <v>13</v>
      </c>
      <c r="B108" s="5"/>
      <c r="C108" s="5" t="s">
        <v>2</v>
      </c>
      <c r="D108" s="8">
        <f>SUM(D100:D107)</f>
        <v>1857500</v>
      </c>
      <c r="E108" s="2"/>
      <c r="F108" s="13" t="s">
        <v>13</v>
      </c>
      <c r="G108" s="5"/>
      <c r="H108" s="5" t="s">
        <v>2</v>
      </c>
      <c r="I108" s="24">
        <f>SUM(I100:I107)</f>
        <v>1176300</v>
      </c>
      <c r="J108" s="2"/>
      <c r="K108" s="13" t="s">
        <v>13</v>
      </c>
      <c r="L108" s="5"/>
      <c r="M108" s="5" t="s">
        <v>2</v>
      </c>
      <c r="N108" s="8">
        <f>SUM(N100:N107)</f>
        <v>1565000</v>
      </c>
      <c r="O108" s="3"/>
    </row>
    <row r="109" spans="1:15" ht="15" x14ac:dyDescent="0.35">
      <c r="A109" s="1" t="s">
        <v>14</v>
      </c>
      <c r="B109" s="2"/>
      <c r="C109" s="2" t="s">
        <v>2</v>
      </c>
      <c r="D109" s="30">
        <f>[38]krnmei!$J$363</f>
        <v>10000000</v>
      </c>
      <c r="E109" s="2"/>
      <c r="F109" s="1" t="s">
        <v>14</v>
      </c>
      <c r="G109" s="2"/>
      <c r="H109" s="2" t="s">
        <v>2</v>
      </c>
      <c r="I109" s="27">
        <f>[38]krnmei!$J$380</f>
        <v>20920000</v>
      </c>
      <c r="J109" s="2"/>
      <c r="K109" s="1" t="s">
        <v>14</v>
      </c>
      <c r="L109" s="2"/>
      <c r="M109" s="2" t="s">
        <v>2</v>
      </c>
      <c r="N109" s="27">
        <f>[38]krnmei!$J$397</f>
        <v>3000000</v>
      </c>
      <c r="O109" s="3"/>
    </row>
    <row r="110" spans="1:15" ht="15" x14ac:dyDescent="0.35">
      <c r="A110" s="1"/>
      <c r="B110" s="2"/>
      <c r="C110" s="15"/>
      <c r="D110" s="15" t="str">
        <f>D91</f>
        <v>Grogol, 02 Maret  2026</v>
      </c>
      <c r="E110" s="2"/>
      <c r="F110" s="1"/>
      <c r="G110" s="2"/>
      <c r="H110" s="15"/>
      <c r="I110" s="15" t="str">
        <f>D110</f>
        <v>Grogol, 02 Maret  2026</v>
      </c>
      <c r="J110" s="15"/>
      <c r="K110" s="1"/>
      <c r="L110" s="2"/>
      <c r="M110" s="15"/>
      <c r="N110" s="15" t="str">
        <f>I110</f>
        <v>Grogol, 02 Maret  2026</v>
      </c>
      <c r="O110" s="16"/>
    </row>
    <row r="111" spans="1:15" ht="15" x14ac:dyDescent="0.35">
      <c r="A111" s="1"/>
      <c r="B111" s="2"/>
      <c r="C111" s="2"/>
      <c r="D111" s="15" t="s">
        <v>15</v>
      </c>
      <c r="E111" s="15"/>
      <c r="F111" s="1"/>
      <c r="G111" s="2"/>
      <c r="H111" s="2"/>
      <c r="I111" s="15" t="s">
        <v>15</v>
      </c>
      <c r="J111" s="2"/>
      <c r="K111" s="1"/>
      <c r="L111" s="2"/>
      <c r="M111" s="2"/>
      <c r="N111" s="15" t="s">
        <v>15</v>
      </c>
      <c r="O111" s="3"/>
    </row>
    <row r="112" spans="1:15" ht="15" x14ac:dyDescent="0.35">
      <c r="A112" s="1"/>
      <c r="B112" s="2"/>
      <c r="C112" s="2"/>
      <c r="D112" s="15"/>
      <c r="E112" s="2"/>
      <c r="F112" s="1"/>
      <c r="G112" s="2"/>
      <c r="H112" s="2"/>
      <c r="I112" s="15"/>
      <c r="J112" s="2"/>
      <c r="K112" s="1"/>
      <c r="L112" s="2"/>
      <c r="M112" s="2"/>
      <c r="N112" s="15"/>
      <c r="O112" s="3"/>
    </row>
    <row r="113" spans="1:15" ht="15" x14ac:dyDescent="0.35">
      <c r="A113" s="1"/>
      <c r="B113" s="2"/>
      <c r="C113" s="2"/>
      <c r="D113" s="15"/>
      <c r="E113" s="2"/>
      <c r="F113" s="1"/>
      <c r="G113" s="2"/>
      <c r="H113" s="2"/>
      <c r="I113" s="15"/>
      <c r="J113" s="2"/>
      <c r="K113" s="1"/>
      <c r="L113" s="2"/>
      <c r="M113" s="2"/>
      <c r="N113" s="15"/>
      <c r="O113" s="3"/>
    </row>
    <row r="114" spans="1:15" ht="15.6" thickBot="1" x14ac:dyDescent="0.4">
      <c r="A114" s="17"/>
      <c r="B114" s="18"/>
      <c r="C114" s="18"/>
      <c r="D114" s="19" t="s">
        <v>16</v>
      </c>
      <c r="E114" s="18"/>
      <c r="F114" s="17"/>
      <c r="G114" s="18"/>
      <c r="H114" s="18"/>
      <c r="I114" s="19" t="s">
        <v>16</v>
      </c>
      <c r="J114" s="18"/>
      <c r="K114" s="17"/>
      <c r="L114" s="18"/>
      <c r="M114" s="18"/>
      <c r="N114" s="19" t="s">
        <v>16</v>
      </c>
      <c r="O114" s="20"/>
    </row>
    <row r="115" spans="1:15" ht="15" x14ac:dyDescent="0.35">
      <c r="A115" s="46" t="s">
        <v>0</v>
      </c>
      <c r="B115" s="47"/>
      <c r="C115" s="47"/>
      <c r="D115" s="47"/>
      <c r="E115" s="47"/>
      <c r="F115" s="46" t="s">
        <v>0</v>
      </c>
      <c r="G115" s="47"/>
      <c r="H115" s="47"/>
      <c r="I115" s="47"/>
      <c r="J115" s="47"/>
      <c r="K115" s="46" t="s">
        <v>0</v>
      </c>
      <c r="L115" s="47"/>
      <c r="M115" s="47"/>
      <c r="N115" s="47"/>
      <c r="O115" s="48"/>
    </row>
    <row r="116" spans="1:15" ht="15" x14ac:dyDescent="0.35">
      <c r="A116" s="1"/>
      <c r="B116" s="2"/>
      <c r="C116" s="2"/>
      <c r="D116" s="2"/>
      <c r="E116" s="2"/>
      <c r="F116" s="1"/>
      <c r="G116" s="2"/>
      <c r="H116" s="2"/>
      <c r="I116" s="2"/>
      <c r="J116" s="2"/>
      <c r="K116" s="1"/>
      <c r="L116" s="2"/>
      <c r="M116" s="2"/>
      <c r="N116" s="2"/>
      <c r="O116" s="3"/>
    </row>
    <row r="117" spans="1:15" ht="15" x14ac:dyDescent="0.35">
      <c r="A117" s="1" t="s">
        <v>1</v>
      </c>
      <c r="B117" s="2" t="s">
        <v>2</v>
      </c>
      <c r="C117" s="50" t="s">
        <v>81</v>
      </c>
      <c r="D117" s="50"/>
      <c r="E117" s="4">
        <v>54</v>
      </c>
      <c r="F117" s="1" t="s">
        <v>1</v>
      </c>
      <c r="G117" s="2" t="s">
        <v>2</v>
      </c>
      <c r="H117" s="50" t="s">
        <v>79</v>
      </c>
      <c r="I117" s="50"/>
      <c r="J117" s="6">
        <v>41</v>
      </c>
      <c r="K117" s="1" t="s">
        <v>1</v>
      </c>
      <c r="L117" s="2" t="s">
        <v>2</v>
      </c>
      <c r="M117" s="50" t="s">
        <v>27</v>
      </c>
      <c r="N117" s="50"/>
      <c r="O117" s="6">
        <v>10</v>
      </c>
    </row>
    <row r="118" spans="1:15" ht="15" x14ac:dyDescent="0.35">
      <c r="A118" s="1" t="s">
        <v>4</v>
      </c>
      <c r="B118" s="2"/>
      <c r="C118" s="2" t="s">
        <v>2</v>
      </c>
      <c r="D118" s="2"/>
      <c r="F118" s="1" t="s">
        <v>4</v>
      </c>
      <c r="G118" s="2"/>
      <c r="H118" s="2" t="s">
        <v>2</v>
      </c>
      <c r="I118" s="2"/>
      <c r="J118" s="2"/>
      <c r="K118" s="1" t="s">
        <v>4</v>
      </c>
      <c r="L118" s="2"/>
      <c r="M118" s="2" t="s">
        <v>2</v>
      </c>
      <c r="N118" s="2"/>
      <c r="O118" s="3"/>
    </row>
    <row r="119" spans="1:15" ht="15" x14ac:dyDescent="0.35">
      <c r="A119" s="1" t="s">
        <v>5</v>
      </c>
      <c r="B119" s="2"/>
      <c r="C119" s="2" t="s">
        <v>2</v>
      </c>
      <c r="D119" s="8">
        <v>15000</v>
      </c>
      <c r="E119" s="2"/>
      <c r="F119" s="1" t="s">
        <v>5</v>
      </c>
      <c r="G119" s="2"/>
      <c r="H119" s="2" t="s">
        <v>2</v>
      </c>
      <c r="I119" s="8">
        <v>100000</v>
      </c>
      <c r="J119" s="2"/>
      <c r="K119" s="1" t="s">
        <v>5</v>
      </c>
      <c r="L119" s="2"/>
      <c r="M119" s="2" t="s">
        <v>2</v>
      </c>
      <c r="N119" s="8">
        <f>'[3]KARNING 2021'!$C$446</f>
        <v>100000</v>
      </c>
      <c r="O119" s="3"/>
    </row>
    <row r="120" spans="1:15" ht="15" x14ac:dyDescent="0.35">
      <c r="A120" s="1" t="s">
        <v>6</v>
      </c>
      <c r="B120" s="2"/>
      <c r="C120" s="2" t="s">
        <v>2</v>
      </c>
      <c r="D120" s="8">
        <v>10000</v>
      </c>
      <c r="E120" s="2"/>
      <c r="F120" s="1" t="s">
        <v>6</v>
      </c>
      <c r="G120" s="2"/>
      <c r="H120" s="2" t="s">
        <v>2</v>
      </c>
      <c r="I120" s="8">
        <v>10000</v>
      </c>
      <c r="J120" s="2"/>
      <c r="K120" s="1" t="s">
        <v>6</v>
      </c>
      <c r="L120" s="2"/>
      <c r="M120" s="2" t="s">
        <v>2</v>
      </c>
      <c r="N120" s="8">
        <f>'[3]KARNING 2021'!$D$446</f>
        <v>50000</v>
      </c>
      <c r="O120" s="3"/>
    </row>
    <row r="121" spans="1:15" ht="15" x14ac:dyDescent="0.35">
      <c r="A121" s="1" t="s">
        <v>7</v>
      </c>
      <c r="B121" s="2"/>
      <c r="C121" s="2" t="s">
        <v>2</v>
      </c>
      <c r="D121" s="8">
        <v>25000</v>
      </c>
      <c r="E121" s="2"/>
      <c r="F121" s="1" t="s">
        <v>7</v>
      </c>
      <c r="G121" s="2"/>
      <c r="H121" s="2" t="s">
        <v>2</v>
      </c>
      <c r="I121" s="8">
        <v>50000</v>
      </c>
      <c r="J121" s="2"/>
      <c r="K121" s="1" t="s">
        <v>7</v>
      </c>
      <c r="L121" s="2"/>
      <c r="M121" s="2" t="s">
        <v>2</v>
      </c>
      <c r="N121" s="8">
        <f>'[3]KARNING 2021'!$E$446</f>
        <v>200000</v>
      </c>
      <c r="O121" s="3"/>
    </row>
    <row r="122" spans="1:15" ht="15" x14ac:dyDescent="0.35">
      <c r="A122" s="1" t="s">
        <v>8</v>
      </c>
      <c r="B122" s="2"/>
      <c r="C122" s="2" t="s">
        <v>2</v>
      </c>
      <c r="D122" s="8"/>
      <c r="E122" s="2"/>
      <c r="F122" s="1" t="s">
        <v>8</v>
      </c>
      <c r="G122" s="2">
        <v>27</v>
      </c>
      <c r="H122" s="2" t="s">
        <v>2</v>
      </c>
      <c r="I122" s="8">
        <v>150000</v>
      </c>
      <c r="J122" s="2"/>
      <c r="K122" s="1" t="s">
        <v>8</v>
      </c>
      <c r="L122" s="21">
        <v>35</v>
      </c>
      <c r="M122" s="2" t="s">
        <v>2</v>
      </c>
      <c r="N122" s="8">
        <f>'[3]KARNING 2021'!$I$446</f>
        <v>500000</v>
      </c>
      <c r="O122" s="3"/>
    </row>
    <row r="123" spans="1:15" ht="15" x14ac:dyDescent="0.35">
      <c r="A123" s="1" t="s">
        <v>9</v>
      </c>
      <c r="B123" s="2"/>
      <c r="C123" s="2" t="s">
        <v>2</v>
      </c>
      <c r="D123" s="30"/>
      <c r="E123" s="2"/>
      <c r="F123" s="1" t="s">
        <v>9</v>
      </c>
      <c r="G123" s="2"/>
      <c r="H123" s="2" t="s">
        <v>2</v>
      </c>
      <c r="I123" s="30">
        <f>[38]krnmei!$K$499</f>
        <v>523065</v>
      </c>
      <c r="J123" s="2"/>
      <c r="K123" s="1" t="s">
        <v>9</v>
      </c>
      <c r="L123" s="2"/>
      <c r="M123" s="2" t="s">
        <v>2</v>
      </c>
      <c r="N123" s="11">
        <f>[38]krnmei!$K$448</f>
        <v>420000</v>
      </c>
      <c r="O123" s="3"/>
    </row>
    <row r="124" spans="1:15" ht="15" x14ac:dyDescent="0.35">
      <c r="A124" s="1" t="s">
        <v>10</v>
      </c>
      <c r="B124" s="2"/>
      <c r="C124" s="2" t="s">
        <v>2</v>
      </c>
      <c r="D124" s="8"/>
      <c r="E124" s="2"/>
      <c r="F124" s="1" t="s">
        <v>10</v>
      </c>
      <c r="G124" s="2"/>
      <c r="H124" s="2" t="s">
        <v>2</v>
      </c>
      <c r="I124" s="8">
        <v>0</v>
      </c>
      <c r="J124" s="2"/>
      <c r="K124" s="1" t="s">
        <v>10</v>
      </c>
      <c r="L124" s="2"/>
      <c r="M124" s="2" t="s">
        <v>2</v>
      </c>
      <c r="N124" s="8"/>
      <c r="O124" s="3"/>
    </row>
    <row r="125" spans="1:15" ht="15" x14ac:dyDescent="0.35">
      <c r="A125" s="1" t="s">
        <v>11</v>
      </c>
      <c r="B125" s="2"/>
      <c r="C125" s="2" t="s">
        <v>2</v>
      </c>
      <c r="D125" s="8"/>
      <c r="E125" s="2"/>
      <c r="F125" s="1" t="s">
        <v>11</v>
      </c>
      <c r="G125" s="2"/>
      <c r="H125" s="2" t="s">
        <v>2</v>
      </c>
      <c r="I125" s="9"/>
      <c r="J125" s="2"/>
      <c r="K125" s="1" t="s">
        <v>11</v>
      </c>
      <c r="L125" s="2"/>
      <c r="M125" s="2" t="s">
        <v>2</v>
      </c>
      <c r="N125" s="9">
        <v>0</v>
      </c>
      <c r="O125" s="3"/>
    </row>
    <row r="126" spans="1:15" ht="15" x14ac:dyDescent="0.35">
      <c r="A126" s="1" t="s">
        <v>12</v>
      </c>
      <c r="B126" s="2"/>
      <c r="C126" s="2" t="s">
        <v>2</v>
      </c>
      <c r="D126" s="8">
        <v>50000</v>
      </c>
      <c r="E126" s="2"/>
      <c r="F126" s="1" t="s">
        <v>12</v>
      </c>
      <c r="G126" s="2"/>
      <c r="H126" s="2" t="s">
        <v>2</v>
      </c>
      <c r="I126" s="8">
        <v>0</v>
      </c>
      <c r="J126" s="2"/>
      <c r="K126" s="1" t="s">
        <v>12</v>
      </c>
      <c r="L126" s="2"/>
      <c r="M126" s="2" t="s">
        <v>2</v>
      </c>
      <c r="N126" s="8">
        <f>'[3]KARNING 2021'!$F$446</f>
        <v>100000</v>
      </c>
      <c r="O126" s="3"/>
    </row>
    <row r="127" spans="1:15" ht="15" x14ac:dyDescent="0.35">
      <c r="A127" s="13" t="s">
        <v>13</v>
      </c>
      <c r="B127" s="5"/>
      <c r="C127" s="5" t="s">
        <v>2</v>
      </c>
      <c r="D127" s="24">
        <f>SUM(D119:D126)</f>
        <v>100000</v>
      </c>
      <c r="E127" s="2"/>
      <c r="F127" s="13" t="s">
        <v>13</v>
      </c>
      <c r="G127" s="5"/>
      <c r="H127" s="5" t="s">
        <v>2</v>
      </c>
      <c r="I127" s="8">
        <f>SUM(I119:I126)</f>
        <v>833065</v>
      </c>
      <c r="J127" s="2"/>
      <c r="K127" s="13" t="s">
        <v>13</v>
      </c>
      <c r="L127" s="5"/>
      <c r="M127" s="5" t="s">
        <v>2</v>
      </c>
      <c r="N127" s="24">
        <f>SUM(N119:N126)</f>
        <v>1370000</v>
      </c>
      <c r="O127" s="3"/>
    </row>
    <row r="128" spans="1:15" ht="15" x14ac:dyDescent="0.35">
      <c r="A128" s="1" t="s">
        <v>14</v>
      </c>
      <c r="B128" s="2"/>
      <c r="C128" s="2" t="s">
        <v>2</v>
      </c>
      <c r="D128" s="31"/>
      <c r="E128" s="2"/>
      <c r="F128" s="1" t="s">
        <v>14</v>
      </c>
      <c r="G128" s="2"/>
      <c r="H128" s="2" t="s">
        <v>2</v>
      </c>
      <c r="I128" s="25">
        <f>[38]krnmei!$J$499</f>
        <v>34721000</v>
      </c>
      <c r="J128" s="2"/>
      <c r="K128" s="1" t="s">
        <v>14</v>
      </c>
      <c r="L128" s="2"/>
      <c r="M128" s="2" t="s">
        <v>2</v>
      </c>
      <c r="N128" s="27">
        <f>[38]krnmei!$J$448</f>
        <v>27500000</v>
      </c>
      <c r="O128" s="3"/>
    </row>
    <row r="129" spans="1:15" ht="15" x14ac:dyDescent="0.35">
      <c r="A129" s="1"/>
      <c r="B129" s="2"/>
      <c r="C129" s="15"/>
      <c r="D129" s="15" t="str">
        <f>D110</f>
        <v>Grogol, 02 Maret  2026</v>
      </c>
      <c r="E129" s="2"/>
      <c r="F129" s="1"/>
      <c r="G129" s="2"/>
      <c r="H129" s="15"/>
      <c r="I129" s="15" t="str">
        <f>D110</f>
        <v>Grogol, 02 Maret  2026</v>
      </c>
      <c r="J129" s="15"/>
      <c r="K129" s="1"/>
      <c r="L129" s="2"/>
      <c r="M129" s="15"/>
      <c r="N129" s="15" t="str">
        <f>D110</f>
        <v>Grogol, 02 Maret  2026</v>
      </c>
      <c r="O129" s="16"/>
    </row>
    <row r="130" spans="1:15" ht="15" x14ac:dyDescent="0.35">
      <c r="A130" s="1"/>
      <c r="B130" s="2"/>
      <c r="C130" s="2"/>
      <c r="D130" s="15" t="s">
        <v>15</v>
      </c>
      <c r="E130" s="15"/>
      <c r="F130" s="1"/>
      <c r="G130" s="2"/>
      <c r="H130" s="2"/>
      <c r="I130" s="15" t="s">
        <v>15</v>
      </c>
      <c r="J130" s="2"/>
      <c r="K130" s="1"/>
      <c r="L130" s="2"/>
      <c r="M130" s="2"/>
      <c r="N130" s="15" t="s">
        <v>15</v>
      </c>
      <c r="O130" s="3"/>
    </row>
    <row r="131" spans="1:15" ht="15" x14ac:dyDescent="0.35">
      <c r="A131" s="1"/>
      <c r="B131" s="2"/>
      <c r="C131" s="2"/>
      <c r="D131" s="15"/>
      <c r="E131" s="2"/>
      <c r="F131" s="1"/>
      <c r="G131" s="2"/>
      <c r="H131" s="2"/>
      <c r="I131" s="15"/>
      <c r="J131" s="2"/>
      <c r="K131" s="1"/>
      <c r="L131" s="2"/>
      <c r="M131" s="2"/>
      <c r="N131" s="15"/>
      <c r="O131" s="3"/>
    </row>
    <row r="132" spans="1:15" ht="15" x14ac:dyDescent="0.35">
      <c r="A132" s="1"/>
      <c r="B132" s="2"/>
      <c r="C132" s="2"/>
      <c r="D132" s="15"/>
      <c r="E132" s="2"/>
      <c r="F132" s="1"/>
      <c r="G132" s="2"/>
      <c r="H132" s="2"/>
      <c r="I132" s="15"/>
      <c r="J132" s="2"/>
      <c r="K132" s="1"/>
      <c r="L132" s="2"/>
      <c r="M132" s="2"/>
      <c r="N132" s="15"/>
      <c r="O132" s="3"/>
    </row>
    <row r="133" spans="1:15" ht="15.6" thickBot="1" x14ac:dyDescent="0.4">
      <c r="A133" s="17"/>
      <c r="B133" s="18"/>
      <c r="C133" s="18"/>
      <c r="D133" s="19" t="s">
        <v>16</v>
      </c>
      <c r="E133" s="18"/>
      <c r="F133" s="17"/>
      <c r="G133" s="18"/>
      <c r="H133" s="18"/>
      <c r="I133" s="19" t="s">
        <v>16</v>
      </c>
      <c r="J133" s="18"/>
      <c r="K133" s="17"/>
      <c r="L133" s="18"/>
      <c r="M133" s="18"/>
      <c r="N133" s="19" t="s">
        <v>16</v>
      </c>
      <c r="O133" s="20"/>
    </row>
    <row r="134" spans="1:15" ht="15" x14ac:dyDescent="0.35">
      <c r="A134" s="46" t="s">
        <v>0</v>
      </c>
      <c r="B134" s="47"/>
      <c r="C134" s="47"/>
      <c r="D134" s="47"/>
      <c r="E134" s="47"/>
      <c r="F134" s="46" t="s">
        <v>0</v>
      </c>
      <c r="G134" s="47"/>
      <c r="H134" s="47"/>
      <c r="I134" s="47"/>
      <c r="J134" s="47"/>
      <c r="K134" s="46" t="s">
        <v>0</v>
      </c>
      <c r="L134" s="47"/>
      <c r="M134" s="47"/>
      <c r="N134" s="47"/>
      <c r="O134" s="48"/>
    </row>
    <row r="135" spans="1:15" ht="15" x14ac:dyDescent="0.35">
      <c r="A135" s="1"/>
      <c r="B135" s="2"/>
      <c r="C135" s="2"/>
      <c r="D135" s="2"/>
      <c r="E135" s="2"/>
      <c r="F135" s="1"/>
      <c r="G135" s="2"/>
      <c r="H135" s="2"/>
      <c r="I135" s="2"/>
      <c r="J135" s="2"/>
      <c r="K135" s="1"/>
      <c r="L135" s="2"/>
      <c r="M135" s="2"/>
      <c r="N135" s="2"/>
      <c r="O135" s="3"/>
    </row>
    <row r="136" spans="1:15" ht="15" x14ac:dyDescent="0.35">
      <c r="A136" s="1" t="s">
        <v>1</v>
      </c>
      <c r="B136" s="2" t="s">
        <v>2</v>
      </c>
      <c r="C136" s="2"/>
      <c r="D136" s="5"/>
      <c r="E136" s="4"/>
      <c r="F136" s="1" t="s">
        <v>1</v>
      </c>
      <c r="G136" s="2" t="s">
        <v>2</v>
      </c>
      <c r="H136" s="51"/>
      <c r="I136" s="51"/>
      <c r="J136" s="4"/>
      <c r="K136" s="1"/>
      <c r="L136" s="2"/>
      <c r="M136" s="50"/>
      <c r="N136" s="50"/>
      <c r="O136" s="6"/>
    </row>
    <row r="137" spans="1:15" ht="15" x14ac:dyDescent="0.35">
      <c r="A137" s="1" t="s">
        <v>4</v>
      </c>
      <c r="B137" s="2"/>
      <c r="C137" s="2" t="s">
        <v>2</v>
      </c>
      <c r="D137" s="9"/>
      <c r="E137" s="2"/>
      <c r="F137" s="1" t="s">
        <v>4</v>
      </c>
      <c r="G137" s="2"/>
      <c r="H137" s="2"/>
      <c r="I137" s="2"/>
      <c r="J137" s="2"/>
      <c r="K137" s="1"/>
      <c r="L137" s="2"/>
      <c r="M137" s="2"/>
      <c r="N137" s="2"/>
      <c r="O137" s="3"/>
    </row>
    <row r="138" spans="1:15" ht="15" x14ac:dyDescent="0.35">
      <c r="A138" s="1" t="s">
        <v>5</v>
      </c>
      <c r="B138" s="2"/>
      <c r="C138" s="2" t="s">
        <v>2</v>
      </c>
      <c r="D138" s="8">
        <v>0</v>
      </c>
      <c r="E138" s="2"/>
      <c r="F138" s="1" t="s">
        <v>5</v>
      </c>
      <c r="G138" s="2"/>
      <c r="H138" s="2"/>
      <c r="I138" s="8"/>
      <c r="J138" s="2"/>
      <c r="K138" s="1"/>
      <c r="L138" s="2"/>
      <c r="M138" s="2"/>
      <c r="N138" s="25"/>
      <c r="O138" s="3"/>
    </row>
    <row r="139" spans="1:15" ht="15" x14ac:dyDescent="0.35">
      <c r="A139" s="1" t="s">
        <v>6</v>
      </c>
      <c r="B139" s="2"/>
      <c r="C139" s="2" t="s">
        <v>2</v>
      </c>
      <c r="D139" s="8">
        <v>0</v>
      </c>
      <c r="E139" s="2"/>
      <c r="F139" s="1" t="s">
        <v>6</v>
      </c>
      <c r="G139" s="2"/>
      <c r="H139" s="2"/>
      <c r="I139" s="8"/>
      <c r="J139" s="2"/>
      <c r="K139" s="1"/>
      <c r="L139" s="2"/>
      <c r="M139" s="2"/>
      <c r="N139" s="25"/>
      <c r="O139" s="3"/>
    </row>
    <row r="140" spans="1:15" ht="15" x14ac:dyDescent="0.35">
      <c r="A140" s="1" t="s">
        <v>7</v>
      </c>
      <c r="B140" s="2"/>
      <c r="C140" s="2" t="s">
        <v>2</v>
      </c>
      <c r="D140" s="8">
        <v>0</v>
      </c>
      <c r="E140" s="2"/>
      <c r="F140" s="1" t="s">
        <v>7</v>
      </c>
      <c r="G140" s="2"/>
      <c r="H140" s="2"/>
      <c r="I140" s="8"/>
      <c r="J140" s="2"/>
      <c r="K140" s="1"/>
      <c r="L140" s="2"/>
      <c r="M140" s="2"/>
      <c r="N140" s="25"/>
      <c r="O140" s="3"/>
    </row>
    <row r="141" spans="1:15" ht="15" x14ac:dyDescent="0.35">
      <c r="A141" s="1" t="s">
        <v>8</v>
      </c>
      <c r="B141" s="21">
        <v>0</v>
      </c>
      <c r="C141" s="2" t="s">
        <v>2</v>
      </c>
      <c r="D141" s="22">
        <v>0</v>
      </c>
      <c r="E141" s="2"/>
      <c r="F141" s="1" t="s">
        <v>8</v>
      </c>
      <c r="G141" s="2">
        <v>0</v>
      </c>
      <c r="H141" s="2"/>
      <c r="I141" s="8"/>
      <c r="J141" s="2"/>
      <c r="K141" s="1"/>
      <c r="L141" s="21"/>
      <c r="M141" s="2"/>
      <c r="N141" s="40"/>
      <c r="O141" s="3"/>
    </row>
    <row r="142" spans="1:15" ht="15" x14ac:dyDescent="0.35">
      <c r="A142" s="1" t="s">
        <v>9</v>
      </c>
      <c r="B142" s="2"/>
      <c r="C142" s="2" t="s">
        <v>2</v>
      </c>
      <c r="D142" s="11">
        <v>0</v>
      </c>
      <c r="E142" s="2"/>
      <c r="F142" s="1" t="s">
        <v>9</v>
      </c>
      <c r="G142" s="2"/>
      <c r="H142" s="2"/>
      <c r="I142" s="8"/>
      <c r="J142" s="2"/>
      <c r="K142" s="1"/>
      <c r="L142" s="2"/>
      <c r="M142" s="2"/>
      <c r="N142" s="11"/>
      <c r="O142" s="3"/>
    </row>
    <row r="143" spans="1:15" ht="15" x14ac:dyDescent="0.35">
      <c r="A143" s="1" t="s">
        <v>10</v>
      </c>
      <c r="B143" s="2">
        <v>0</v>
      </c>
      <c r="C143" s="2" t="s">
        <v>2</v>
      </c>
      <c r="D143" s="9">
        <v>0</v>
      </c>
      <c r="E143" s="2"/>
      <c r="F143" s="1" t="s">
        <v>10</v>
      </c>
      <c r="G143" s="2">
        <v>0</v>
      </c>
      <c r="H143" s="2"/>
      <c r="I143" s="8"/>
      <c r="J143" s="2"/>
      <c r="K143" s="1"/>
      <c r="L143" s="2"/>
      <c r="M143" s="2"/>
      <c r="N143" s="8"/>
      <c r="O143" s="3"/>
    </row>
    <row r="144" spans="1:15" ht="15" x14ac:dyDescent="0.35">
      <c r="A144" s="1" t="s">
        <v>11</v>
      </c>
      <c r="B144" s="2"/>
      <c r="C144" s="2" t="s">
        <v>2</v>
      </c>
      <c r="D144" s="22">
        <v>0</v>
      </c>
      <c r="E144" s="2"/>
      <c r="F144" s="1" t="s">
        <v>11</v>
      </c>
      <c r="G144" s="2"/>
      <c r="H144" s="2"/>
      <c r="I144" s="8"/>
      <c r="J144" s="2"/>
      <c r="K144" s="1"/>
      <c r="L144" s="2"/>
      <c r="M144" s="2"/>
      <c r="N144" s="22"/>
      <c r="O144" s="3"/>
    </row>
    <row r="145" spans="1:15" ht="15" x14ac:dyDescent="0.35">
      <c r="A145" s="1" t="s">
        <v>12</v>
      </c>
      <c r="B145" s="2"/>
      <c r="C145" s="2" t="s">
        <v>2</v>
      </c>
      <c r="D145" s="9">
        <v>0</v>
      </c>
      <c r="E145" s="2"/>
      <c r="F145" s="1" t="s">
        <v>12</v>
      </c>
      <c r="G145" s="2"/>
      <c r="H145" s="2"/>
      <c r="I145" s="8"/>
      <c r="J145" s="2"/>
      <c r="K145" s="1"/>
      <c r="L145" s="2"/>
      <c r="M145" s="2"/>
      <c r="N145" s="25"/>
      <c r="O145" s="3"/>
    </row>
    <row r="146" spans="1:15" ht="15" x14ac:dyDescent="0.35">
      <c r="A146" s="13" t="s">
        <v>13</v>
      </c>
      <c r="B146" s="5"/>
      <c r="C146" s="5" t="s">
        <v>2</v>
      </c>
      <c r="D146" s="14">
        <f>SUM(D138:D145)</f>
        <v>0</v>
      </c>
      <c r="E146" s="2"/>
      <c r="F146" s="13" t="s">
        <v>13</v>
      </c>
      <c r="G146" s="5"/>
      <c r="H146" s="5"/>
      <c r="I146" s="8"/>
      <c r="J146" s="2"/>
      <c r="K146" s="13"/>
      <c r="L146" s="5"/>
      <c r="M146" s="5"/>
      <c r="N146" s="24"/>
      <c r="O146" s="3"/>
    </row>
    <row r="147" spans="1:15" ht="15" x14ac:dyDescent="0.35">
      <c r="A147" s="1" t="s">
        <v>14</v>
      </c>
      <c r="B147" s="2"/>
      <c r="C147" s="2" t="s">
        <v>2</v>
      </c>
      <c r="D147" s="27">
        <v>0</v>
      </c>
      <c r="E147" s="2"/>
      <c r="F147" s="1" t="s">
        <v>14</v>
      </c>
      <c r="G147" s="2"/>
      <c r="H147" s="2"/>
      <c r="I147" s="8"/>
      <c r="J147" s="2"/>
      <c r="K147" s="1"/>
      <c r="L147" s="2"/>
      <c r="M147" s="2"/>
      <c r="N147" s="27"/>
      <c r="O147" s="3"/>
    </row>
    <row r="148" spans="1:15" ht="15" x14ac:dyDescent="0.35">
      <c r="A148" s="1"/>
      <c r="B148" s="2"/>
      <c r="C148" s="15"/>
      <c r="D148" s="15" t="str">
        <f>D129</f>
        <v>Grogol, 02 Maret  2026</v>
      </c>
      <c r="E148" s="2"/>
      <c r="F148" s="1"/>
      <c r="G148" s="15"/>
      <c r="H148" s="15"/>
      <c r="I148" s="15" t="str">
        <f>I129</f>
        <v>Grogol, 02 Maret  2026</v>
      </c>
      <c r="J148" s="2"/>
      <c r="K148" s="1"/>
      <c r="L148" s="15"/>
      <c r="M148" s="15"/>
      <c r="N148" s="15" t="str">
        <f>N129</f>
        <v>Grogol, 02 Maret  2026</v>
      </c>
      <c r="O148" s="3"/>
    </row>
    <row r="149" spans="1:15" ht="15" x14ac:dyDescent="0.35">
      <c r="A149" s="1"/>
      <c r="B149" s="2"/>
      <c r="C149" s="2"/>
      <c r="D149" s="15" t="s">
        <v>15</v>
      </c>
      <c r="E149" s="15"/>
      <c r="F149" s="1"/>
      <c r="G149" s="2"/>
      <c r="H149" s="2"/>
      <c r="I149" s="15" t="s">
        <v>15</v>
      </c>
      <c r="J149" s="15"/>
      <c r="K149" s="1"/>
      <c r="L149" s="2"/>
      <c r="M149" s="2"/>
      <c r="N149" s="15" t="s">
        <v>15</v>
      </c>
      <c r="O149" s="16"/>
    </row>
    <row r="150" spans="1:15" ht="15" x14ac:dyDescent="0.35">
      <c r="A150" s="1"/>
      <c r="B150" s="2"/>
      <c r="C150" s="2"/>
      <c r="D150" s="15"/>
      <c r="E150" s="2"/>
      <c r="F150" s="1"/>
      <c r="G150" s="2"/>
      <c r="H150" s="2"/>
      <c r="I150" s="15"/>
      <c r="J150" s="2"/>
      <c r="K150" s="1"/>
      <c r="L150" s="2"/>
      <c r="M150" s="2"/>
      <c r="N150" s="15"/>
      <c r="O150" s="3"/>
    </row>
    <row r="151" spans="1:15" ht="15" x14ac:dyDescent="0.35">
      <c r="A151" s="1"/>
      <c r="B151" s="2"/>
      <c r="C151" s="2"/>
      <c r="D151" s="15"/>
      <c r="E151" s="2"/>
      <c r="F151" s="1"/>
      <c r="G151" s="2"/>
      <c r="H151" s="2"/>
      <c r="I151" s="15"/>
      <c r="J151" s="2"/>
      <c r="K151" s="1"/>
      <c r="L151" s="2"/>
      <c r="M151" s="2"/>
      <c r="N151" s="15"/>
      <c r="O151" s="3"/>
    </row>
    <row r="152" spans="1:15" ht="15.6" thickBot="1" x14ac:dyDescent="0.4">
      <c r="A152" s="17"/>
      <c r="B152" s="18"/>
      <c r="C152" s="18"/>
      <c r="D152" s="19" t="s">
        <v>16</v>
      </c>
      <c r="E152" s="18"/>
      <c r="F152" s="17"/>
      <c r="G152" s="18"/>
      <c r="H152" s="18"/>
      <c r="I152" s="19" t="s">
        <v>16</v>
      </c>
      <c r="J152" s="18"/>
      <c r="K152" s="17"/>
      <c r="L152" s="18"/>
      <c r="M152" s="18"/>
      <c r="N152" s="19" t="s">
        <v>16</v>
      </c>
      <c r="O152" s="20"/>
    </row>
    <row r="153" spans="1:15" ht="15" x14ac:dyDescent="0.35">
      <c r="A153" s="46" t="s">
        <v>0</v>
      </c>
      <c r="B153" s="47"/>
      <c r="C153" s="47"/>
      <c r="D153" s="47"/>
      <c r="E153" s="47"/>
      <c r="F153" s="46" t="s">
        <v>0</v>
      </c>
      <c r="G153" s="47"/>
      <c r="H153" s="47"/>
      <c r="I153" s="47"/>
      <c r="J153" s="47"/>
      <c r="K153" s="46" t="s">
        <v>0</v>
      </c>
      <c r="L153" s="47"/>
      <c r="M153" s="47"/>
      <c r="N153" s="47"/>
      <c r="O153" s="48"/>
    </row>
    <row r="154" spans="1:15" ht="15" x14ac:dyDescent="0.35">
      <c r="F154" s="1"/>
      <c r="G154" s="2"/>
      <c r="H154" s="2"/>
      <c r="I154" s="2"/>
      <c r="J154" s="2"/>
      <c r="K154" s="1"/>
      <c r="L154" s="2"/>
      <c r="M154" s="2"/>
      <c r="N154" s="2"/>
      <c r="O154" s="3"/>
    </row>
    <row r="155" spans="1:15" ht="15" x14ac:dyDescent="0.35">
      <c r="A155" s="1" t="s">
        <v>1</v>
      </c>
      <c r="B155" s="2" t="s">
        <v>2</v>
      </c>
      <c r="C155" s="51" t="s">
        <v>29</v>
      </c>
      <c r="D155" s="51"/>
      <c r="E155" s="4">
        <v>11</v>
      </c>
      <c r="F155" s="1" t="s">
        <v>1</v>
      </c>
      <c r="G155" s="2" t="s">
        <v>2</v>
      </c>
      <c r="H155" s="51"/>
      <c r="I155" s="51"/>
      <c r="J155" s="4"/>
      <c r="K155" s="1" t="s">
        <v>1</v>
      </c>
      <c r="L155" s="2" t="s">
        <v>2</v>
      </c>
      <c r="M155" s="51" t="s">
        <v>30</v>
      </c>
      <c r="N155" s="51"/>
      <c r="O155" s="6">
        <v>12</v>
      </c>
    </row>
    <row r="156" spans="1:15" ht="15" x14ac:dyDescent="0.35">
      <c r="A156" s="1" t="s">
        <v>4</v>
      </c>
      <c r="B156" s="2"/>
      <c r="C156" s="2" t="s">
        <v>2</v>
      </c>
      <c r="D156" s="2"/>
      <c r="F156" s="1" t="s">
        <v>4</v>
      </c>
      <c r="G156" s="2"/>
      <c r="H156" s="2" t="s">
        <v>2</v>
      </c>
      <c r="I156" s="2"/>
      <c r="J156" s="2"/>
      <c r="K156" s="1" t="s">
        <v>4</v>
      </c>
      <c r="L156" s="2"/>
      <c r="M156" s="2" t="s">
        <v>2</v>
      </c>
      <c r="N156" s="2"/>
      <c r="O156" s="3"/>
    </row>
    <row r="157" spans="1:15" ht="15" x14ac:dyDescent="0.35">
      <c r="A157" s="1" t="s">
        <v>5</v>
      </c>
      <c r="B157" s="2"/>
      <c r="C157" s="2" t="s">
        <v>2</v>
      </c>
      <c r="D157" s="25">
        <f>[22]krnmei!$C$516</f>
        <v>100000</v>
      </c>
      <c r="E157" s="2"/>
      <c r="F157" s="1" t="s">
        <v>66</v>
      </c>
      <c r="G157" s="2"/>
      <c r="H157" s="2" t="s">
        <v>2</v>
      </c>
      <c r="I157" s="25"/>
      <c r="J157" s="2"/>
      <c r="K157" s="1" t="s">
        <v>5</v>
      </c>
      <c r="L157" s="2"/>
      <c r="M157" s="2" t="s">
        <v>2</v>
      </c>
      <c r="N157" s="8">
        <f>'[3]KARNING 2021'!$C$548</f>
        <v>100000</v>
      </c>
      <c r="O157" s="3"/>
    </row>
    <row r="158" spans="1:15" ht="15" x14ac:dyDescent="0.35">
      <c r="A158" s="1" t="s">
        <v>6</v>
      </c>
      <c r="B158" s="2"/>
      <c r="C158" s="2" t="s">
        <v>2</v>
      </c>
      <c r="D158" s="25">
        <f>[22]krnmei!$D$516</f>
        <v>5000</v>
      </c>
      <c r="E158" s="2"/>
      <c r="F158" s="1" t="s">
        <v>6</v>
      </c>
      <c r="G158" s="2"/>
      <c r="H158" s="2" t="s">
        <v>2</v>
      </c>
      <c r="I158" s="25"/>
      <c r="J158" s="2"/>
      <c r="K158" s="1" t="s">
        <v>6</v>
      </c>
      <c r="L158" s="2"/>
      <c r="M158" s="2" t="s">
        <v>2</v>
      </c>
      <c r="N158" s="8">
        <f>'[3]KARNING 2021'!$D$548</f>
        <v>25000</v>
      </c>
      <c r="O158" s="3"/>
    </row>
    <row r="159" spans="1:15" ht="15" x14ac:dyDescent="0.35">
      <c r="A159" s="1" t="s">
        <v>7</v>
      </c>
      <c r="B159" s="2"/>
      <c r="C159" s="2" t="s">
        <v>2</v>
      </c>
      <c r="D159" s="8">
        <f>[22]krnmei!$E$516</f>
        <v>100000</v>
      </c>
      <c r="E159" s="2"/>
      <c r="F159" s="1" t="s">
        <v>7</v>
      </c>
      <c r="G159" s="2"/>
      <c r="H159" s="2" t="s">
        <v>2</v>
      </c>
      <c r="I159" s="25">
        <v>0</v>
      </c>
      <c r="J159" s="2"/>
      <c r="K159" s="1" t="s">
        <v>7</v>
      </c>
      <c r="L159" s="2"/>
      <c r="M159" s="2" t="s">
        <v>2</v>
      </c>
      <c r="N159" s="8">
        <f>[23]krnmei!$E$552</f>
        <v>300000</v>
      </c>
      <c r="O159" s="3"/>
    </row>
    <row r="160" spans="1:15" ht="15" x14ac:dyDescent="0.35">
      <c r="A160" s="1" t="s">
        <v>8</v>
      </c>
      <c r="B160" s="21">
        <v>28</v>
      </c>
      <c r="C160" s="2" t="s">
        <v>2</v>
      </c>
      <c r="D160" s="25">
        <v>400000</v>
      </c>
      <c r="E160" s="2"/>
      <c r="F160" s="1" t="s">
        <v>8</v>
      </c>
      <c r="G160" s="2">
        <v>0</v>
      </c>
      <c r="H160" s="2" t="s">
        <v>2</v>
      </c>
      <c r="I160" s="8">
        <v>0</v>
      </c>
      <c r="J160" s="2"/>
      <c r="K160" s="1" t="s">
        <v>8</v>
      </c>
      <c r="L160" s="2">
        <v>48</v>
      </c>
      <c r="M160" s="2" t="s">
        <v>2</v>
      </c>
      <c r="N160" s="8">
        <v>500000</v>
      </c>
      <c r="O160" s="3"/>
    </row>
    <row r="161" spans="1:15" ht="15" x14ac:dyDescent="0.35">
      <c r="A161" s="1" t="s">
        <v>9</v>
      </c>
      <c r="B161" s="2"/>
      <c r="C161" s="2" t="s">
        <v>2</v>
      </c>
      <c r="D161" s="11">
        <f>[38]krnmei!$K$516</f>
        <v>315000</v>
      </c>
      <c r="E161" s="2"/>
      <c r="F161" s="1" t="s">
        <v>9</v>
      </c>
      <c r="G161" s="2"/>
      <c r="H161" s="2" t="s">
        <v>2</v>
      </c>
      <c r="I161" s="11">
        <v>0</v>
      </c>
      <c r="J161" s="2"/>
      <c r="K161" s="1" t="s">
        <v>9</v>
      </c>
      <c r="L161" s="2"/>
      <c r="M161" s="2" t="s">
        <v>2</v>
      </c>
      <c r="N161" s="11">
        <f>[38]krnmei!$K$550</f>
        <v>270000</v>
      </c>
      <c r="O161" s="3"/>
    </row>
    <row r="162" spans="1:15" ht="15" x14ac:dyDescent="0.35">
      <c r="A162" s="1" t="s">
        <v>10</v>
      </c>
      <c r="B162" s="2"/>
      <c r="C162" s="2" t="s">
        <v>2</v>
      </c>
      <c r="D162" s="9">
        <v>0</v>
      </c>
      <c r="E162" s="2"/>
      <c r="F162" s="1" t="s">
        <v>10</v>
      </c>
      <c r="G162" s="2">
        <v>0</v>
      </c>
      <c r="H162" s="2" t="s">
        <v>2</v>
      </c>
      <c r="I162" s="8">
        <v>0</v>
      </c>
      <c r="J162" s="2"/>
      <c r="K162" s="1" t="s">
        <v>10</v>
      </c>
      <c r="L162" s="21"/>
      <c r="M162" s="2" t="s">
        <v>2</v>
      </c>
      <c r="N162" s="8"/>
      <c r="O162" s="3"/>
    </row>
    <row r="163" spans="1:15" ht="15" x14ac:dyDescent="0.35">
      <c r="A163" s="1" t="s">
        <v>11</v>
      </c>
      <c r="B163" s="2"/>
      <c r="C163" s="2" t="s">
        <v>2</v>
      </c>
      <c r="D163" s="8">
        <v>0</v>
      </c>
      <c r="E163" s="2"/>
      <c r="F163" s="1" t="s">
        <v>11</v>
      </c>
      <c r="G163" s="2"/>
      <c r="H163" s="2" t="s">
        <v>2</v>
      </c>
      <c r="I163" s="9">
        <v>0</v>
      </c>
      <c r="J163" s="2"/>
      <c r="K163" s="1" t="s">
        <v>11</v>
      </c>
      <c r="L163" s="2"/>
      <c r="M163" s="2" t="s">
        <v>2</v>
      </c>
      <c r="N163" s="27">
        <v>0</v>
      </c>
      <c r="O163" s="3"/>
    </row>
    <row r="164" spans="1:15" ht="15" x14ac:dyDescent="0.35">
      <c r="A164" s="1" t="s">
        <v>12</v>
      </c>
      <c r="B164" s="2"/>
      <c r="C164" s="2" t="s">
        <v>2</v>
      </c>
      <c r="D164" s="7">
        <v>0</v>
      </c>
      <c r="E164" s="2"/>
      <c r="F164" s="1" t="s">
        <v>12</v>
      </c>
      <c r="G164" s="2"/>
      <c r="H164" s="2" t="s">
        <v>2</v>
      </c>
      <c r="I164" s="7">
        <v>0</v>
      </c>
      <c r="J164" s="2"/>
      <c r="K164" s="1" t="s">
        <v>12</v>
      </c>
      <c r="L164" s="2"/>
      <c r="M164" s="2" t="s">
        <v>2</v>
      </c>
      <c r="N164" s="8">
        <f>'[3]KARNING 2021'!$F$548</f>
        <v>50000</v>
      </c>
      <c r="O164" s="3"/>
    </row>
    <row r="165" spans="1:15" ht="15" x14ac:dyDescent="0.35">
      <c r="A165" s="13" t="s">
        <v>13</v>
      </c>
      <c r="B165" s="5"/>
      <c r="C165" s="5" t="s">
        <v>2</v>
      </c>
      <c r="D165" s="24">
        <f>SUM(D157:D164)</f>
        <v>920000</v>
      </c>
      <c r="E165" s="2"/>
      <c r="F165" s="13" t="s">
        <v>13</v>
      </c>
      <c r="G165" s="5"/>
      <c r="H165" s="5" t="s">
        <v>2</v>
      </c>
      <c r="I165" s="24">
        <v>0</v>
      </c>
      <c r="J165" s="2"/>
      <c r="K165" s="13" t="s">
        <v>13</v>
      </c>
      <c r="L165" s="5"/>
      <c r="M165" s="5" t="s">
        <v>2</v>
      </c>
      <c r="N165" s="24">
        <f>SUM(N157:N164)</f>
        <v>1245000</v>
      </c>
      <c r="O165" s="3"/>
    </row>
    <row r="166" spans="1:15" ht="15" x14ac:dyDescent="0.35">
      <c r="A166" s="1" t="s">
        <v>14</v>
      </c>
      <c r="B166" s="2"/>
      <c r="C166" s="2" t="s">
        <v>2</v>
      </c>
      <c r="D166" s="25">
        <f>[38]krnmei!$J$516</f>
        <v>20600000</v>
      </c>
      <c r="E166" s="2"/>
      <c r="F166" s="1" t="s">
        <v>14</v>
      </c>
      <c r="G166" s="2"/>
      <c r="H166" s="2" t="s">
        <v>2</v>
      </c>
      <c r="I166" s="27">
        <v>0</v>
      </c>
      <c r="J166" s="2"/>
      <c r="K166" s="1" t="s">
        <v>14</v>
      </c>
      <c r="L166" s="2"/>
      <c r="M166" s="2" t="s">
        <v>2</v>
      </c>
      <c r="N166" s="25">
        <f>[38]krnmei!$J$550+4500000</f>
        <v>22000000</v>
      </c>
      <c r="O166" s="3"/>
    </row>
    <row r="167" spans="1:15" ht="15" x14ac:dyDescent="0.35">
      <c r="A167" s="1"/>
      <c r="B167" s="2"/>
      <c r="C167" s="15"/>
      <c r="D167" s="15" t="str">
        <f>D148</f>
        <v>Grogol, 02 Maret  2026</v>
      </c>
      <c r="E167" s="2"/>
      <c r="F167" s="1"/>
      <c r="G167" s="2"/>
      <c r="H167" s="15"/>
      <c r="I167" s="15" t="str">
        <f>D167</f>
        <v>Grogol, 02 Maret  2026</v>
      </c>
      <c r="J167" s="15"/>
      <c r="K167" s="1"/>
      <c r="L167" s="2"/>
      <c r="M167" s="15"/>
      <c r="N167" s="15" t="str">
        <f>I167</f>
        <v>Grogol, 02 Maret  2026</v>
      </c>
      <c r="O167" s="16"/>
    </row>
    <row r="168" spans="1:15" ht="15" x14ac:dyDescent="0.35">
      <c r="A168" s="1"/>
      <c r="B168" s="2"/>
      <c r="C168" s="2"/>
      <c r="D168" s="15" t="s">
        <v>15</v>
      </c>
      <c r="E168" s="15"/>
      <c r="F168" s="1"/>
      <c r="G168" s="2"/>
      <c r="H168" s="2"/>
      <c r="I168" s="15" t="s">
        <v>15</v>
      </c>
      <c r="J168" s="2"/>
      <c r="K168" s="1"/>
      <c r="L168" s="2"/>
      <c r="M168" s="2"/>
      <c r="N168" s="15" t="s">
        <v>15</v>
      </c>
      <c r="O168" s="3"/>
    </row>
    <row r="169" spans="1:15" ht="15" x14ac:dyDescent="0.35">
      <c r="A169" s="1"/>
      <c r="B169" s="2"/>
      <c r="C169" s="2"/>
      <c r="D169" s="15"/>
      <c r="E169" s="2"/>
      <c r="F169" s="1"/>
      <c r="G169" s="2"/>
      <c r="H169" s="2"/>
      <c r="I169" s="15"/>
      <c r="J169" s="2"/>
      <c r="K169" s="1"/>
      <c r="L169" s="2"/>
      <c r="M169" s="2"/>
      <c r="N169" s="15"/>
      <c r="O169" s="3"/>
    </row>
    <row r="170" spans="1:15" ht="15" x14ac:dyDescent="0.35">
      <c r="A170" s="1"/>
      <c r="B170" s="2"/>
      <c r="C170" s="2"/>
      <c r="D170" s="15"/>
      <c r="E170" s="2"/>
      <c r="F170" s="1"/>
      <c r="G170" s="2"/>
      <c r="H170" s="2"/>
      <c r="I170" s="15"/>
      <c r="J170" s="2"/>
      <c r="K170" s="1"/>
      <c r="L170" s="2"/>
      <c r="M170" s="2"/>
      <c r="N170" s="15"/>
      <c r="O170" s="3"/>
    </row>
    <row r="171" spans="1:15" ht="15.6" thickBot="1" x14ac:dyDescent="0.4">
      <c r="A171" s="17"/>
      <c r="B171" s="18"/>
      <c r="C171" s="18"/>
      <c r="D171" s="19" t="s">
        <v>16</v>
      </c>
      <c r="E171" s="18"/>
      <c r="F171" s="17"/>
      <c r="G171" s="18"/>
      <c r="H171" s="18"/>
      <c r="I171" s="19" t="s">
        <v>16</v>
      </c>
      <c r="J171" s="18"/>
      <c r="K171" s="17"/>
      <c r="L171" s="18"/>
      <c r="M171" s="18"/>
      <c r="N171" s="19" t="s">
        <v>16</v>
      </c>
      <c r="O171" s="20"/>
    </row>
    <row r="172" spans="1:15" ht="15" x14ac:dyDescent="0.35">
      <c r="A172" s="46" t="s">
        <v>0</v>
      </c>
      <c r="B172" s="47"/>
      <c r="C172" s="47"/>
      <c r="D172" s="47"/>
      <c r="E172" s="47"/>
      <c r="F172" s="46" t="s">
        <v>0</v>
      </c>
      <c r="G172" s="47"/>
      <c r="H172" s="47"/>
      <c r="I172" s="47"/>
      <c r="J172" s="47"/>
      <c r="K172" s="46" t="s">
        <v>0</v>
      </c>
      <c r="L172" s="47"/>
      <c r="M172" s="47"/>
      <c r="N172" s="47"/>
      <c r="O172" s="48"/>
    </row>
    <row r="173" spans="1:15" ht="15" x14ac:dyDescent="0.35">
      <c r="A173" s="1"/>
      <c r="B173" s="2"/>
      <c r="C173" s="2"/>
      <c r="D173" s="2"/>
      <c r="E173" s="2"/>
      <c r="F173" s="1"/>
      <c r="G173" s="2"/>
      <c r="H173" s="2"/>
      <c r="I173" s="2"/>
      <c r="J173" s="2"/>
      <c r="K173" s="1"/>
      <c r="L173" s="2"/>
      <c r="M173" s="2"/>
      <c r="N173" s="2"/>
      <c r="O173" s="3"/>
    </row>
    <row r="174" spans="1:15" ht="15" x14ac:dyDescent="0.35">
      <c r="A174" s="1" t="s">
        <v>1</v>
      </c>
      <c r="B174" s="2" t="s">
        <v>2</v>
      </c>
      <c r="C174" s="50" t="s">
        <v>31</v>
      </c>
      <c r="D174" s="50"/>
      <c r="E174" s="4">
        <v>13</v>
      </c>
      <c r="F174" s="1" t="s">
        <v>1</v>
      </c>
      <c r="G174" s="2" t="s">
        <v>2</v>
      </c>
      <c r="H174" s="50" t="s">
        <v>32</v>
      </c>
      <c r="I174" s="50"/>
      <c r="J174" s="4">
        <v>14</v>
      </c>
      <c r="K174" s="1" t="s">
        <v>1</v>
      </c>
      <c r="L174" s="2" t="s">
        <v>2</v>
      </c>
      <c r="M174" s="50" t="s">
        <v>33</v>
      </c>
      <c r="N174" s="50"/>
      <c r="O174" s="6">
        <v>15</v>
      </c>
    </row>
    <row r="175" spans="1:15" ht="15" x14ac:dyDescent="0.35">
      <c r="A175" s="1" t="s">
        <v>4</v>
      </c>
      <c r="B175" s="2"/>
      <c r="C175" s="2" t="s">
        <v>2</v>
      </c>
      <c r="D175" s="2"/>
      <c r="F175" s="1" t="s">
        <v>4</v>
      </c>
      <c r="G175" s="2"/>
      <c r="H175" s="2" t="s">
        <v>2</v>
      </c>
      <c r="I175" s="2"/>
      <c r="J175" s="2"/>
      <c r="K175" s="1" t="s">
        <v>4</v>
      </c>
      <c r="L175" s="2"/>
      <c r="M175" s="2" t="s">
        <v>2</v>
      </c>
      <c r="N175" s="2"/>
      <c r="O175" s="3"/>
    </row>
    <row r="176" spans="1:15" ht="15" x14ac:dyDescent="0.35">
      <c r="A176" s="1" t="s">
        <v>5</v>
      </c>
      <c r="B176" s="2"/>
      <c r="C176" s="2" t="s">
        <v>2</v>
      </c>
      <c r="D176" s="8">
        <f>'[3]KARNING 2021'!$C$565</f>
        <v>100000</v>
      </c>
      <c r="E176" s="2"/>
      <c r="F176" s="1" t="s">
        <v>5</v>
      </c>
      <c r="G176" s="2"/>
      <c r="H176" s="2" t="s">
        <v>2</v>
      </c>
      <c r="I176" s="8">
        <f>'[3]KARNING 2021'!$C$582</f>
        <v>100000</v>
      </c>
      <c r="J176" s="2"/>
      <c r="K176" s="1" t="s">
        <v>5</v>
      </c>
      <c r="L176" s="2"/>
      <c r="M176" s="2" t="s">
        <v>2</v>
      </c>
      <c r="N176" s="8">
        <v>100000</v>
      </c>
      <c r="O176" s="3"/>
    </row>
    <row r="177" spans="1:15" ht="15" x14ac:dyDescent="0.35">
      <c r="A177" s="1" t="s">
        <v>6</v>
      </c>
      <c r="B177" s="2"/>
      <c r="C177" s="2" t="s">
        <v>2</v>
      </c>
      <c r="D177" s="8">
        <f>[17]krnmei!$D$567</f>
        <v>100000</v>
      </c>
      <c r="E177" s="2"/>
      <c r="F177" s="1" t="s">
        <v>6</v>
      </c>
      <c r="G177" s="2"/>
      <c r="H177" s="2" t="s">
        <v>2</v>
      </c>
      <c r="I177" s="8">
        <f>'[3]KARNING 2021'!$D$582</f>
        <v>25000</v>
      </c>
      <c r="J177" s="2"/>
      <c r="K177" s="1" t="s">
        <v>6</v>
      </c>
      <c r="L177" s="2"/>
      <c r="M177" s="2" t="s">
        <v>2</v>
      </c>
      <c r="N177" s="8">
        <v>25000</v>
      </c>
      <c r="O177" s="3"/>
    </row>
    <row r="178" spans="1:15" ht="15" x14ac:dyDescent="0.35">
      <c r="A178" s="1" t="s">
        <v>7</v>
      </c>
      <c r="B178" s="2"/>
      <c r="C178" s="2" t="s">
        <v>2</v>
      </c>
      <c r="D178" s="8">
        <f>'[3]KARNING 2021'!$E$565</f>
        <v>300000</v>
      </c>
      <c r="E178" s="2"/>
      <c r="F178" s="1" t="s">
        <v>7</v>
      </c>
      <c r="G178" s="2"/>
      <c r="H178" s="2" t="s">
        <v>2</v>
      </c>
      <c r="I178" s="8">
        <f>[4]krnmei!$F$581</f>
        <v>0</v>
      </c>
      <c r="J178" s="2"/>
      <c r="K178" s="1" t="s">
        <v>7</v>
      </c>
      <c r="L178" s="2"/>
      <c r="M178" s="2" t="s">
        <v>2</v>
      </c>
      <c r="N178" s="8">
        <v>100000</v>
      </c>
      <c r="O178" s="3"/>
    </row>
    <row r="179" spans="1:15" ht="15" x14ac:dyDescent="0.35">
      <c r="A179" s="1" t="s">
        <v>8</v>
      </c>
      <c r="B179" s="21">
        <v>43</v>
      </c>
      <c r="C179" s="2" t="s">
        <v>2</v>
      </c>
      <c r="D179" s="8">
        <f>[37]krnmei!$I$565</f>
        <v>2000000</v>
      </c>
      <c r="E179" s="2"/>
      <c r="F179" s="1" t="s">
        <v>8</v>
      </c>
      <c r="G179" s="21">
        <v>0</v>
      </c>
      <c r="H179" s="2" t="s">
        <v>2</v>
      </c>
      <c r="I179" s="8">
        <v>0</v>
      </c>
      <c r="J179" s="2"/>
      <c r="K179" s="1" t="s">
        <v>8</v>
      </c>
      <c r="L179" s="2">
        <v>9</v>
      </c>
      <c r="M179" s="2" t="s">
        <v>2</v>
      </c>
      <c r="N179" s="8">
        <f>[39]krnmei!$I$1059</f>
        <v>500000</v>
      </c>
      <c r="O179" s="3"/>
    </row>
    <row r="180" spans="1:15" ht="15" x14ac:dyDescent="0.35">
      <c r="A180" s="1" t="s">
        <v>9</v>
      </c>
      <c r="B180" s="2"/>
      <c r="C180" s="2" t="s">
        <v>2</v>
      </c>
      <c r="D180" s="11">
        <f>[38]krnmei!$K$567</f>
        <v>330000</v>
      </c>
      <c r="E180" s="2"/>
      <c r="F180" s="1" t="s">
        <v>9</v>
      </c>
      <c r="G180" s="2"/>
      <c r="H180" s="2" t="s">
        <v>2</v>
      </c>
      <c r="I180" s="11">
        <v>0</v>
      </c>
      <c r="J180" s="2"/>
      <c r="K180" s="1" t="s">
        <v>9</v>
      </c>
      <c r="L180" s="2"/>
      <c r="M180" s="2" t="s">
        <v>2</v>
      </c>
      <c r="N180" s="30">
        <f>[38]krnmei!$K$1060</f>
        <v>241500</v>
      </c>
      <c r="O180" s="3"/>
    </row>
    <row r="181" spans="1:15" ht="15" x14ac:dyDescent="0.35">
      <c r="A181" s="1" t="s">
        <v>10</v>
      </c>
      <c r="B181" s="2">
        <v>0</v>
      </c>
      <c r="C181" s="2" t="s">
        <v>2</v>
      </c>
      <c r="D181" s="8">
        <v>0</v>
      </c>
      <c r="E181" s="2"/>
      <c r="F181" s="1" t="s">
        <v>10</v>
      </c>
      <c r="G181" s="2">
        <v>0</v>
      </c>
      <c r="H181" s="2" t="s">
        <v>2</v>
      </c>
      <c r="I181" s="8">
        <v>0</v>
      </c>
      <c r="J181" s="2"/>
      <c r="K181" s="1" t="s">
        <v>10</v>
      </c>
      <c r="L181" s="2"/>
      <c r="M181" s="2" t="s">
        <v>2</v>
      </c>
      <c r="N181" s="8"/>
      <c r="O181" s="3"/>
    </row>
    <row r="182" spans="1:15" ht="15" x14ac:dyDescent="0.35">
      <c r="A182" s="1" t="s">
        <v>11</v>
      </c>
      <c r="B182" s="2"/>
      <c r="C182" s="2" t="s">
        <v>2</v>
      </c>
      <c r="D182" s="9">
        <v>0</v>
      </c>
      <c r="E182" s="2"/>
      <c r="F182" s="1" t="s">
        <v>11</v>
      </c>
      <c r="G182" s="2"/>
      <c r="H182" s="2" t="s">
        <v>2</v>
      </c>
      <c r="I182" s="9">
        <f>[26]krnmei!$P$587</f>
        <v>0</v>
      </c>
      <c r="J182" s="2"/>
      <c r="K182" s="1" t="s">
        <v>11</v>
      </c>
      <c r="L182" s="2"/>
      <c r="M182" s="2" t="s">
        <v>2</v>
      </c>
      <c r="N182" s="8">
        <v>0</v>
      </c>
      <c r="O182" s="3"/>
    </row>
    <row r="183" spans="1:15" ht="15" x14ac:dyDescent="0.35">
      <c r="A183" s="1" t="s">
        <v>12</v>
      </c>
      <c r="B183" s="2"/>
      <c r="C183" s="2" t="s">
        <v>2</v>
      </c>
      <c r="D183" s="8">
        <f>[1]krnmei!$F$566</f>
        <v>1000000</v>
      </c>
      <c r="E183" s="2"/>
      <c r="F183" s="1" t="s">
        <v>12</v>
      </c>
      <c r="G183" s="2"/>
      <c r="H183" s="2" t="s">
        <v>2</v>
      </c>
      <c r="I183" s="8">
        <f>[4]krnmei!$F$581</f>
        <v>0</v>
      </c>
      <c r="J183" s="2"/>
      <c r="K183" s="1" t="s">
        <v>12</v>
      </c>
      <c r="L183" s="2"/>
      <c r="M183" s="2" t="s">
        <v>2</v>
      </c>
      <c r="N183" s="8">
        <v>0</v>
      </c>
      <c r="O183" s="3"/>
    </row>
    <row r="184" spans="1:15" ht="15" x14ac:dyDescent="0.35">
      <c r="A184" s="13" t="s">
        <v>13</v>
      </c>
      <c r="B184" s="5"/>
      <c r="C184" s="5" t="s">
        <v>2</v>
      </c>
      <c r="D184" s="24">
        <f>SUM(D176:D183)</f>
        <v>3830000</v>
      </c>
      <c r="E184" s="2"/>
      <c r="F184" s="13" t="s">
        <v>13</v>
      </c>
      <c r="G184" s="5"/>
      <c r="H184" s="5" t="s">
        <v>2</v>
      </c>
      <c r="I184" s="8">
        <f>SUM(I176:I183)</f>
        <v>125000</v>
      </c>
      <c r="J184" s="2"/>
      <c r="K184" s="13" t="s">
        <v>13</v>
      </c>
      <c r="L184" s="5"/>
      <c r="M184" s="5" t="s">
        <v>2</v>
      </c>
      <c r="N184" s="8">
        <f>SUM(N176:N183)</f>
        <v>966500</v>
      </c>
      <c r="O184" s="3"/>
    </row>
    <row r="185" spans="1:15" ht="15" x14ac:dyDescent="0.35">
      <c r="A185" s="1" t="s">
        <v>14</v>
      </c>
      <c r="B185" s="2"/>
      <c r="C185" s="2" t="s">
        <v>2</v>
      </c>
      <c r="D185" s="25">
        <f>[38]krnmei!$J$567</f>
        <v>20000000</v>
      </c>
      <c r="E185" s="2"/>
      <c r="F185" s="1" t="s">
        <v>14</v>
      </c>
      <c r="G185" s="2"/>
      <c r="H185" s="2" t="s">
        <v>2</v>
      </c>
      <c r="I185" s="8">
        <f>[7]krnmei!$J$592</f>
        <v>0</v>
      </c>
      <c r="J185" s="2"/>
      <c r="K185" s="1" t="s">
        <v>14</v>
      </c>
      <c r="L185" s="2"/>
      <c r="M185" s="2" t="s">
        <v>2</v>
      </c>
      <c r="N185" s="8">
        <f>[38]krnmei!$J$1060</f>
        <v>15600000</v>
      </c>
      <c r="O185" s="3"/>
    </row>
    <row r="186" spans="1:15" ht="15" x14ac:dyDescent="0.35">
      <c r="A186" s="1"/>
      <c r="B186" s="2"/>
      <c r="C186" s="15"/>
      <c r="D186" s="15" t="str">
        <f>D167</f>
        <v>Grogol, 02 Maret  2026</v>
      </c>
      <c r="E186" s="2"/>
      <c r="F186" s="1"/>
      <c r="G186" s="2"/>
      <c r="H186" s="15"/>
      <c r="I186" s="15" t="str">
        <f>D167</f>
        <v>Grogol, 02 Maret  2026</v>
      </c>
      <c r="J186" s="15"/>
      <c r="K186" s="1"/>
      <c r="L186" s="2"/>
      <c r="M186" s="15"/>
      <c r="N186" s="15" t="str">
        <f>D167</f>
        <v>Grogol, 02 Maret  2026</v>
      </c>
      <c r="O186" s="16"/>
    </row>
    <row r="187" spans="1:15" ht="15" x14ac:dyDescent="0.35">
      <c r="A187" s="1"/>
      <c r="B187" s="2"/>
      <c r="C187" s="2"/>
      <c r="D187" s="15" t="s">
        <v>15</v>
      </c>
      <c r="E187" s="15"/>
      <c r="F187" s="1"/>
      <c r="G187" s="2"/>
      <c r="H187" s="2"/>
      <c r="I187" s="15" t="s">
        <v>15</v>
      </c>
      <c r="J187" s="2"/>
      <c r="K187" s="1"/>
      <c r="L187" s="2"/>
      <c r="M187" s="2"/>
      <c r="N187" s="15" t="s">
        <v>15</v>
      </c>
      <c r="O187" s="3"/>
    </row>
    <row r="188" spans="1:15" ht="15" x14ac:dyDescent="0.35">
      <c r="A188" s="1"/>
      <c r="B188" s="2"/>
      <c r="C188" s="2"/>
      <c r="D188" s="15"/>
      <c r="E188" s="2"/>
      <c r="F188" s="1"/>
      <c r="G188" s="2"/>
      <c r="H188" s="2"/>
      <c r="I188" s="15"/>
      <c r="J188" s="2"/>
      <c r="K188" s="1"/>
      <c r="L188" s="2"/>
      <c r="M188" s="2"/>
      <c r="N188" s="15"/>
      <c r="O188" s="3"/>
    </row>
    <row r="189" spans="1:15" ht="15" x14ac:dyDescent="0.35">
      <c r="A189" s="1"/>
      <c r="B189" s="2"/>
      <c r="C189" s="2"/>
      <c r="D189" s="15"/>
      <c r="E189" s="2"/>
      <c r="F189" s="1"/>
      <c r="G189" s="2"/>
      <c r="H189" s="2"/>
      <c r="I189" s="15"/>
      <c r="J189" s="2"/>
      <c r="K189" s="1"/>
      <c r="L189" s="2"/>
      <c r="M189" s="2"/>
      <c r="N189" s="15"/>
      <c r="O189" s="3"/>
    </row>
    <row r="190" spans="1:15" ht="15.6" thickBot="1" x14ac:dyDescent="0.4">
      <c r="A190" s="17"/>
      <c r="B190" s="18"/>
      <c r="C190" s="18"/>
      <c r="D190" s="19" t="s">
        <v>16</v>
      </c>
      <c r="E190" s="20"/>
      <c r="F190" s="17"/>
      <c r="G190" s="18"/>
      <c r="H190" s="18"/>
      <c r="I190" s="19" t="s">
        <v>16</v>
      </c>
      <c r="J190" s="18"/>
      <c r="K190" s="17"/>
      <c r="L190" s="18"/>
      <c r="M190" s="18"/>
      <c r="N190" s="19" t="s">
        <v>16</v>
      </c>
      <c r="O190" s="20"/>
    </row>
    <row r="191" spans="1:15" ht="15" x14ac:dyDescent="0.35">
      <c r="A191" s="46" t="s">
        <v>0</v>
      </c>
      <c r="B191" s="47"/>
      <c r="C191" s="47"/>
      <c r="D191" s="47"/>
      <c r="E191" s="47"/>
      <c r="F191" s="46" t="s">
        <v>0</v>
      </c>
      <c r="G191" s="47"/>
      <c r="H191" s="47"/>
      <c r="I191" s="47"/>
      <c r="J191" s="47"/>
      <c r="K191" s="46" t="s">
        <v>0</v>
      </c>
      <c r="L191" s="47"/>
      <c r="M191" s="47"/>
      <c r="N191" s="47"/>
      <c r="O191" s="48"/>
    </row>
    <row r="192" spans="1:15" ht="15" x14ac:dyDescent="0.35">
      <c r="A192" s="1"/>
      <c r="B192" s="2"/>
      <c r="C192" s="2"/>
      <c r="D192" s="2"/>
      <c r="E192" s="2"/>
      <c r="F192" s="1"/>
      <c r="G192" s="2"/>
      <c r="H192" s="2"/>
      <c r="I192" s="2"/>
      <c r="J192" s="2"/>
      <c r="K192" s="1"/>
      <c r="L192" s="2"/>
      <c r="M192" s="2"/>
      <c r="N192" s="2"/>
      <c r="O192" s="3"/>
    </row>
    <row r="193" spans="1:15" ht="15" x14ac:dyDescent="0.35">
      <c r="A193" s="1" t="s">
        <v>1</v>
      </c>
      <c r="B193" s="2" t="s">
        <v>2</v>
      </c>
      <c r="C193" s="5" t="str">
        <f>[27]krnmei!$B$1123</f>
        <v>DEWI RATRI KALINGGA</v>
      </c>
      <c r="D193" s="5"/>
      <c r="E193" s="4">
        <v>40</v>
      </c>
      <c r="F193" s="1" t="s">
        <v>1</v>
      </c>
      <c r="G193" s="2" t="s">
        <v>2</v>
      </c>
      <c r="H193" s="50" t="s">
        <v>75</v>
      </c>
      <c r="I193" s="50"/>
      <c r="J193" s="4">
        <v>51</v>
      </c>
      <c r="K193" s="1" t="s">
        <v>1</v>
      </c>
      <c r="L193" s="2" t="s">
        <v>2</v>
      </c>
      <c r="M193" s="5" t="s">
        <v>34</v>
      </c>
      <c r="N193" s="5"/>
      <c r="O193" s="6">
        <v>20</v>
      </c>
    </row>
    <row r="194" spans="1:15" ht="15" x14ac:dyDescent="0.35">
      <c r="A194" s="1" t="s">
        <v>4</v>
      </c>
      <c r="B194" s="2"/>
      <c r="C194" s="2" t="s">
        <v>2</v>
      </c>
      <c r="D194" s="2"/>
      <c r="F194" s="1" t="s">
        <v>4</v>
      </c>
      <c r="G194" s="2"/>
      <c r="H194" s="2" t="s">
        <v>2</v>
      </c>
      <c r="I194" s="2"/>
      <c r="J194" s="2"/>
      <c r="K194" s="1" t="s">
        <v>4</v>
      </c>
      <c r="L194" s="2"/>
      <c r="M194" s="2" t="s">
        <v>2</v>
      </c>
      <c r="N194" s="2"/>
      <c r="O194" s="3"/>
    </row>
    <row r="195" spans="1:15" ht="15" x14ac:dyDescent="0.35">
      <c r="A195" s="1" t="s">
        <v>5</v>
      </c>
      <c r="B195" s="2"/>
      <c r="C195" s="2" t="s">
        <v>2</v>
      </c>
      <c r="D195" s="8">
        <f>[27]krnmei!$C$1129</f>
        <v>15000</v>
      </c>
      <c r="E195" s="2"/>
      <c r="F195" s="1" t="s">
        <v>5</v>
      </c>
      <c r="G195" s="2"/>
      <c r="H195" s="2" t="s">
        <v>2</v>
      </c>
      <c r="I195" s="8">
        <f>[1]krnmei!$C$1381</f>
        <v>10000</v>
      </c>
      <c r="J195" s="2"/>
      <c r="K195" s="1" t="s">
        <v>5</v>
      </c>
      <c r="L195" s="2"/>
      <c r="M195" s="2" t="s">
        <v>2</v>
      </c>
      <c r="N195" s="7">
        <f>[28]krnmei!$C$656</f>
        <v>100000</v>
      </c>
      <c r="O195" s="3"/>
    </row>
    <row r="196" spans="1:15" ht="15" x14ac:dyDescent="0.35">
      <c r="A196" s="1" t="s">
        <v>6</v>
      </c>
      <c r="B196" s="2"/>
      <c r="C196" s="2" t="s">
        <v>2</v>
      </c>
      <c r="D196" s="8">
        <f>[29]krnmei!$D$1126</f>
        <v>10000</v>
      </c>
      <c r="E196" s="2"/>
      <c r="F196" s="1" t="s">
        <v>6</v>
      </c>
      <c r="G196" s="2"/>
      <c r="H196" s="2" t="s">
        <v>2</v>
      </c>
      <c r="I196" s="8">
        <f>[1]krnmei!$D$1381</f>
        <v>30000</v>
      </c>
      <c r="J196" s="2"/>
      <c r="K196" s="1" t="s">
        <v>6</v>
      </c>
      <c r="L196" s="2"/>
      <c r="M196" s="2" t="s">
        <v>2</v>
      </c>
      <c r="N196" s="7">
        <f>[5]krnmei!$D$654</f>
        <v>100000</v>
      </c>
      <c r="O196" s="3"/>
    </row>
    <row r="197" spans="1:15" ht="15" x14ac:dyDescent="0.35">
      <c r="A197" s="1" t="s">
        <v>7</v>
      </c>
      <c r="B197" s="2"/>
      <c r="C197" s="2" t="s">
        <v>2</v>
      </c>
      <c r="D197" s="8">
        <f>[5]krnmei!$E$1130</f>
        <v>100000</v>
      </c>
      <c r="E197" s="2"/>
      <c r="F197" s="1" t="s">
        <v>7</v>
      </c>
      <c r="G197" s="2"/>
      <c r="H197" s="2" t="s">
        <v>2</v>
      </c>
      <c r="I197" s="8">
        <f>[1]krnmei!$E$1382</f>
        <v>50000</v>
      </c>
      <c r="J197" s="2"/>
      <c r="K197" s="1" t="s">
        <v>7</v>
      </c>
      <c r="L197" s="2"/>
      <c r="M197" s="2" t="s">
        <v>2</v>
      </c>
      <c r="N197" s="7">
        <f>[5]krnmei!$E$654</f>
        <v>200000</v>
      </c>
      <c r="O197" s="3"/>
    </row>
    <row r="198" spans="1:15" ht="15" x14ac:dyDescent="0.35">
      <c r="A198" s="1" t="s">
        <v>8</v>
      </c>
      <c r="B198" s="2">
        <v>26</v>
      </c>
      <c r="C198" s="2" t="s">
        <v>2</v>
      </c>
      <c r="D198" s="8">
        <v>500000</v>
      </c>
      <c r="E198" s="2"/>
      <c r="F198" s="1" t="s">
        <v>8</v>
      </c>
      <c r="G198" s="2"/>
      <c r="H198" s="2" t="s">
        <v>2</v>
      </c>
      <c r="I198" s="8"/>
      <c r="J198" s="2"/>
      <c r="K198" s="1" t="s">
        <v>8</v>
      </c>
      <c r="L198" s="2"/>
      <c r="M198" s="2" t="s">
        <v>2</v>
      </c>
      <c r="N198" s="2">
        <v>0</v>
      </c>
      <c r="O198" s="3"/>
    </row>
    <row r="199" spans="1:15" ht="15" x14ac:dyDescent="0.35">
      <c r="A199" s="1" t="s">
        <v>9</v>
      </c>
      <c r="B199" s="2"/>
      <c r="C199" s="2" t="s">
        <v>2</v>
      </c>
      <c r="D199" s="30">
        <f>[38]krnmei!$K$1128</f>
        <v>93375</v>
      </c>
      <c r="E199" s="2"/>
      <c r="F199" s="1" t="s">
        <v>9</v>
      </c>
      <c r="G199" s="2"/>
      <c r="H199" s="2" t="s">
        <v>2</v>
      </c>
      <c r="I199" s="30">
        <f>[18]krnmei!$K$1390</f>
        <v>0</v>
      </c>
      <c r="J199" s="2"/>
      <c r="K199" s="1" t="s">
        <v>9</v>
      </c>
      <c r="L199" s="2"/>
      <c r="M199" s="2" t="s">
        <v>2</v>
      </c>
      <c r="N199" s="2">
        <v>0</v>
      </c>
      <c r="O199" s="3"/>
    </row>
    <row r="200" spans="1:15" ht="15" x14ac:dyDescent="0.35">
      <c r="A200" s="1" t="s">
        <v>10</v>
      </c>
      <c r="B200" s="2"/>
      <c r="C200" s="2" t="s">
        <v>2</v>
      </c>
      <c r="D200" s="8"/>
      <c r="E200" s="2"/>
      <c r="F200" s="1" t="s">
        <v>10</v>
      </c>
      <c r="G200" s="2"/>
      <c r="H200" s="2" t="s">
        <v>2</v>
      </c>
      <c r="I200" s="8"/>
      <c r="J200" s="2"/>
      <c r="K200" s="1" t="s">
        <v>10</v>
      </c>
      <c r="L200" s="2"/>
      <c r="M200" s="2" t="s">
        <v>2</v>
      </c>
      <c r="N200" s="2">
        <v>0</v>
      </c>
      <c r="O200" s="3"/>
    </row>
    <row r="201" spans="1:15" ht="15" x14ac:dyDescent="0.35">
      <c r="A201" s="1" t="s">
        <v>11</v>
      </c>
      <c r="B201" s="2"/>
      <c r="C201" s="2" t="s">
        <v>2</v>
      </c>
      <c r="D201" s="8">
        <v>0</v>
      </c>
      <c r="E201" s="2"/>
      <c r="F201" s="1" t="s">
        <v>11</v>
      </c>
      <c r="G201" s="2"/>
      <c r="H201" s="2" t="s">
        <v>2</v>
      </c>
      <c r="I201" s="9">
        <f>[7]krnmei!$P$1391</f>
        <v>120000</v>
      </c>
      <c r="J201" s="2"/>
      <c r="K201" s="1" t="s">
        <v>11</v>
      </c>
      <c r="L201" s="2"/>
      <c r="M201" s="2" t="s">
        <v>2</v>
      </c>
      <c r="N201" s="2">
        <v>0</v>
      </c>
      <c r="O201" s="3"/>
    </row>
    <row r="202" spans="1:15" ht="15" x14ac:dyDescent="0.35">
      <c r="A202" s="1" t="s">
        <v>12</v>
      </c>
      <c r="B202" s="2"/>
      <c r="C202" s="2" t="s">
        <v>2</v>
      </c>
      <c r="D202" s="8">
        <v>225000</v>
      </c>
      <c r="E202" s="2"/>
      <c r="F202" s="1" t="s">
        <v>12</v>
      </c>
      <c r="G202" s="2"/>
      <c r="H202" s="2" t="s">
        <v>2</v>
      </c>
      <c r="I202" s="8">
        <f>[1]krnmei!$F$1382</f>
        <v>10000</v>
      </c>
      <c r="J202" s="2"/>
      <c r="K202" s="1" t="s">
        <v>12</v>
      </c>
      <c r="L202" s="2"/>
      <c r="M202" s="2" t="s">
        <v>2</v>
      </c>
      <c r="N202" s="7">
        <f>[5]krnmei!$F$654</f>
        <v>400000</v>
      </c>
      <c r="O202" s="3"/>
    </row>
    <row r="203" spans="1:15" ht="15" x14ac:dyDescent="0.35">
      <c r="A203" s="13" t="s">
        <v>13</v>
      </c>
      <c r="B203" s="5"/>
      <c r="C203" s="5" t="s">
        <v>2</v>
      </c>
      <c r="D203" s="8">
        <f>SUM(D195:D202)</f>
        <v>943375</v>
      </c>
      <c r="E203" s="2"/>
      <c r="F203" s="13" t="s">
        <v>13</v>
      </c>
      <c r="G203" s="5"/>
      <c r="H203" s="5" t="s">
        <v>2</v>
      </c>
      <c r="I203" s="14">
        <f>SUM(I195:I202)</f>
        <v>220000</v>
      </c>
      <c r="J203" s="2"/>
      <c r="K203" s="13" t="s">
        <v>13</v>
      </c>
      <c r="L203" s="5"/>
      <c r="M203" s="5" t="s">
        <v>2</v>
      </c>
      <c r="N203" s="14">
        <f>SUM(N195:N202)</f>
        <v>800000</v>
      </c>
      <c r="O203" s="3"/>
    </row>
    <row r="204" spans="1:15" ht="15" x14ac:dyDescent="0.35">
      <c r="A204" s="1" t="s">
        <v>14</v>
      </c>
      <c r="B204" s="2"/>
      <c r="C204" s="2" t="s">
        <v>2</v>
      </c>
      <c r="D204" s="8">
        <f>[38]krnmei!$J$1128</f>
        <v>5725000</v>
      </c>
      <c r="E204" s="2"/>
      <c r="F204" s="1" t="s">
        <v>14</v>
      </c>
      <c r="G204" s="2"/>
      <c r="H204" s="2" t="s">
        <v>2</v>
      </c>
      <c r="I204" s="7">
        <f>[7]krnmei!$O$1391</f>
        <v>6000000</v>
      </c>
      <c r="J204" s="2"/>
      <c r="K204" s="1" t="s">
        <v>14</v>
      </c>
      <c r="L204" s="2"/>
      <c r="M204" s="2" t="s">
        <v>2</v>
      </c>
      <c r="N204" s="7">
        <v>0</v>
      </c>
      <c r="O204" s="3"/>
    </row>
    <row r="205" spans="1:15" ht="15" x14ac:dyDescent="0.35">
      <c r="A205" s="1"/>
      <c r="B205" s="2"/>
      <c r="C205" s="15"/>
      <c r="D205" s="15" t="str">
        <f>D186</f>
        <v>Grogol, 02 Maret  2026</v>
      </c>
      <c r="E205" s="2"/>
      <c r="F205" s="1"/>
      <c r="G205" s="2"/>
      <c r="H205" s="15"/>
      <c r="I205" s="15" t="str">
        <f>D205</f>
        <v>Grogol, 02 Maret  2026</v>
      </c>
      <c r="J205" s="15"/>
      <c r="K205" s="1"/>
      <c r="L205" s="2"/>
      <c r="M205" s="15"/>
      <c r="N205" s="15" t="str">
        <f>I205</f>
        <v>Grogol, 02 Maret  2026</v>
      </c>
      <c r="O205" s="16"/>
    </row>
    <row r="206" spans="1:15" ht="15" x14ac:dyDescent="0.35">
      <c r="A206" s="1"/>
      <c r="B206" s="2"/>
      <c r="C206" s="2"/>
      <c r="D206" s="15" t="s">
        <v>15</v>
      </c>
      <c r="E206" s="15"/>
      <c r="F206" s="1"/>
      <c r="G206" s="2"/>
      <c r="H206" s="2"/>
      <c r="I206" s="15" t="s">
        <v>15</v>
      </c>
      <c r="J206" s="2"/>
      <c r="K206" s="1"/>
      <c r="L206" s="2"/>
      <c r="M206" s="2"/>
      <c r="N206" s="15" t="s">
        <v>15</v>
      </c>
      <c r="O206" s="3"/>
    </row>
    <row r="207" spans="1:15" ht="15" x14ac:dyDescent="0.35">
      <c r="A207" s="1"/>
      <c r="B207" s="2"/>
      <c r="C207" s="2"/>
      <c r="D207" s="15"/>
      <c r="E207" s="2"/>
      <c r="F207" s="1"/>
      <c r="G207" s="2"/>
      <c r="H207" s="2"/>
      <c r="I207" s="15"/>
      <c r="J207" s="2"/>
      <c r="K207" s="1"/>
      <c r="L207" s="2"/>
      <c r="M207" s="2"/>
      <c r="N207" s="15"/>
      <c r="O207" s="3"/>
    </row>
    <row r="208" spans="1:15" ht="15" x14ac:dyDescent="0.35">
      <c r="A208" s="1"/>
      <c r="B208" s="2"/>
      <c r="C208" s="2"/>
      <c r="D208" s="15"/>
      <c r="E208" s="2"/>
      <c r="F208" s="1"/>
      <c r="G208" s="2"/>
      <c r="H208" s="2"/>
      <c r="I208" s="15"/>
      <c r="J208" s="2"/>
      <c r="K208" s="1"/>
      <c r="L208" s="2"/>
      <c r="M208" s="2"/>
      <c r="N208" s="15"/>
      <c r="O208" s="3"/>
    </row>
    <row r="209" spans="1:15" ht="15.6" thickBot="1" x14ac:dyDescent="0.4">
      <c r="A209" s="17"/>
      <c r="B209" s="18"/>
      <c r="C209" s="18"/>
      <c r="D209" s="19" t="s">
        <v>16</v>
      </c>
      <c r="E209" s="18"/>
      <c r="F209" s="17"/>
      <c r="G209" s="18"/>
      <c r="H209" s="18"/>
      <c r="I209" s="19" t="s">
        <v>16</v>
      </c>
      <c r="J209" s="18"/>
      <c r="K209" s="17"/>
      <c r="L209" s="18"/>
      <c r="M209" s="18"/>
      <c r="N209" s="19" t="s">
        <v>16</v>
      </c>
      <c r="O209" s="20"/>
    </row>
    <row r="210" spans="1:15" ht="15" x14ac:dyDescent="0.35">
      <c r="A210" s="46" t="s">
        <v>0</v>
      </c>
      <c r="B210" s="47"/>
      <c r="C210" s="47"/>
      <c r="D210" s="47"/>
      <c r="E210" s="47"/>
      <c r="F210" s="46" t="s">
        <v>0</v>
      </c>
      <c r="G210" s="47"/>
      <c r="H210" s="47"/>
      <c r="I210" s="47"/>
      <c r="J210" s="47"/>
      <c r="K210" s="46" t="s">
        <v>0</v>
      </c>
      <c r="L210" s="47"/>
      <c r="M210" s="47"/>
      <c r="N210" s="47"/>
      <c r="O210" s="48"/>
    </row>
    <row r="211" spans="1:15" ht="15" x14ac:dyDescent="0.35">
      <c r="A211" s="1"/>
      <c r="B211" s="2"/>
      <c r="C211" s="2"/>
      <c r="D211" s="2"/>
      <c r="E211" s="2"/>
      <c r="F211" s="1"/>
      <c r="G211" s="2"/>
      <c r="H211" s="2"/>
      <c r="I211" s="2"/>
      <c r="J211" s="2"/>
      <c r="K211" s="1"/>
      <c r="L211" s="2"/>
      <c r="M211" s="2"/>
      <c r="N211" s="2"/>
      <c r="O211" s="3"/>
    </row>
    <row r="212" spans="1:15" ht="15" x14ac:dyDescent="0.35">
      <c r="A212" s="1" t="s">
        <v>1</v>
      </c>
      <c r="B212" s="2" t="s">
        <v>2</v>
      </c>
      <c r="C212" s="50" t="str">
        <f>[17]krnmei!$B$1174</f>
        <v>SRI WAHYUNINGSIH</v>
      </c>
      <c r="D212" s="50"/>
      <c r="E212" s="4">
        <v>43</v>
      </c>
      <c r="F212" s="1" t="s">
        <v>1</v>
      </c>
      <c r="G212" s="2" t="s">
        <v>2</v>
      </c>
      <c r="H212" s="50" t="s">
        <v>35</v>
      </c>
      <c r="I212" s="50"/>
      <c r="J212" s="4">
        <v>28</v>
      </c>
      <c r="K212" s="1" t="s">
        <v>1</v>
      </c>
      <c r="L212" s="2" t="s">
        <v>2</v>
      </c>
      <c r="M212" s="52" t="s">
        <v>70</v>
      </c>
      <c r="N212" s="52"/>
      <c r="O212" s="6">
        <v>27</v>
      </c>
    </row>
    <row r="213" spans="1:15" ht="15" x14ac:dyDescent="0.35">
      <c r="A213" s="1" t="s">
        <v>4</v>
      </c>
      <c r="B213" s="2"/>
      <c r="C213" s="2" t="s">
        <v>2</v>
      </c>
      <c r="D213" s="2"/>
      <c r="F213" s="1" t="s">
        <v>4</v>
      </c>
      <c r="G213" s="2"/>
      <c r="H213" s="2" t="s">
        <v>2</v>
      </c>
      <c r="I213" s="2"/>
      <c r="J213" s="2"/>
      <c r="K213" s="1" t="s">
        <v>4</v>
      </c>
      <c r="L213" s="2"/>
      <c r="M213" s="2" t="s">
        <v>2</v>
      </c>
      <c r="N213" s="2"/>
      <c r="O213" s="3"/>
    </row>
    <row r="214" spans="1:15" ht="15" x14ac:dyDescent="0.35">
      <c r="A214" s="1" t="s">
        <v>5</v>
      </c>
      <c r="B214" s="2"/>
      <c r="C214" s="2" t="s">
        <v>2</v>
      </c>
      <c r="D214" s="8">
        <f>'[3]KARNING 2021'!$C$667</f>
        <v>100000</v>
      </c>
      <c r="E214" s="2"/>
      <c r="F214" s="1" t="s">
        <v>83</v>
      </c>
      <c r="G214" s="2"/>
      <c r="H214" s="2" t="s">
        <v>2</v>
      </c>
      <c r="I214" s="8">
        <f>[18]krnmei!$C$693</f>
        <v>15000</v>
      </c>
      <c r="J214" s="2"/>
      <c r="K214" s="1" t="s">
        <v>82</v>
      </c>
      <c r="L214" s="2"/>
      <c r="M214" s="2" t="s">
        <v>2</v>
      </c>
      <c r="N214" s="8">
        <v>100000</v>
      </c>
      <c r="O214" s="3"/>
    </row>
    <row r="215" spans="1:15" ht="15" x14ac:dyDescent="0.35">
      <c r="A215" s="1" t="s">
        <v>6</v>
      </c>
      <c r="B215" s="2"/>
      <c r="C215" s="2" t="s">
        <v>2</v>
      </c>
      <c r="D215" s="8">
        <f>'[3]KARNING 2021'!$D$667</f>
        <v>25000</v>
      </c>
      <c r="E215" s="2"/>
      <c r="F215" s="1" t="s">
        <v>6</v>
      </c>
      <c r="G215" s="2"/>
      <c r="H215" s="2" t="s">
        <v>2</v>
      </c>
      <c r="I215" s="8">
        <f>'[3]KARNING 2021'!$D$684</f>
        <v>10000</v>
      </c>
      <c r="J215" s="2"/>
      <c r="K215" s="1" t="s">
        <v>6</v>
      </c>
      <c r="L215" s="2"/>
      <c r="M215" s="2" t="s">
        <v>2</v>
      </c>
      <c r="N215" s="8">
        <v>50000</v>
      </c>
      <c r="O215" s="3"/>
    </row>
    <row r="216" spans="1:15" ht="15" x14ac:dyDescent="0.35">
      <c r="A216" s="1" t="s">
        <v>7</v>
      </c>
      <c r="B216" s="2"/>
      <c r="C216" s="2" t="s">
        <v>2</v>
      </c>
      <c r="D216" s="8">
        <f>[30]krnmei!$E$1183+50000</f>
        <v>100000</v>
      </c>
      <c r="E216" s="2"/>
      <c r="F216" s="1" t="s">
        <v>7</v>
      </c>
      <c r="G216" s="2"/>
      <c r="H216" s="2" t="s">
        <v>2</v>
      </c>
      <c r="I216" s="8">
        <f>[10]krnmei!$E$689</f>
        <v>200000</v>
      </c>
      <c r="J216" s="2"/>
      <c r="K216" s="1" t="s">
        <v>7</v>
      </c>
      <c r="L216" s="2"/>
      <c r="M216" s="2" t="s">
        <v>2</v>
      </c>
      <c r="N216" s="8">
        <v>100000</v>
      </c>
      <c r="O216" s="3"/>
    </row>
    <row r="217" spans="1:15" ht="15" x14ac:dyDescent="0.35">
      <c r="A217" s="1" t="s">
        <v>8</v>
      </c>
      <c r="B217" s="21"/>
      <c r="C217" s="2" t="s">
        <v>2</v>
      </c>
      <c r="D217" s="25"/>
      <c r="E217" s="2"/>
      <c r="F217" s="1" t="s">
        <v>8</v>
      </c>
      <c r="G217" s="21">
        <v>8</v>
      </c>
      <c r="H217" s="2" t="s">
        <v>2</v>
      </c>
      <c r="I217" s="8">
        <f>[31]krnmei!$I$691</f>
        <v>1500000</v>
      </c>
      <c r="J217" s="2"/>
      <c r="K217" s="1" t="s">
        <v>8</v>
      </c>
      <c r="L217" s="21">
        <v>0</v>
      </c>
      <c r="M217" s="2"/>
      <c r="N217" s="25">
        <v>0</v>
      </c>
      <c r="O217" s="3"/>
    </row>
    <row r="218" spans="1:15" ht="15" x14ac:dyDescent="0.35">
      <c r="A218" s="1" t="s">
        <v>9</v>
      </c>
      <c r="B218" s="2"/>
      <c r="C218" s="2" t="s">
        <v>2</v>
      </c>
      <c r="D218" s="25">
        <v>0</v>
      </c>
      <c r="E218" s="2"/>
      <c r="F218" s="1" t="s">
        <v>9</v>
      </c>
      <c r="G218" s="2"/>
      <c r="H218" s="2" t="s">
        <v>2</v>
      </c>
      <c r="I218" s="11">
        <f>[38]krnmei!$K$686</f>
        <v>142500</v>
      </c>
      <c r="J218" s="2"/>
      <c r="K218" s="1" t="s">
        <v>9</v>
      </c>
      <c r="L218" s="2"/>
      <c r="M218" s="2" t="s">
        <v>2</v>
      </c>
      <c r="N218" s="11">
        <v>0</v>
      </c>
      <c r="O218" s="3"/>
    </row>
    <row r="219" spans="1:15" ht="15" x14ac:dyDescent="0.35">
      <c r="A219" s="1" t="s">
        <v>10</v>
      </c>
      <c r="B219" s="2"/>
      <c r="C219" s="2" t="s">
        <v>2</v>
      </c>
      <c r="D219" s="8">
        <v>0</v>
      </c>
      <c r="E219" s="2"/>
      <c r="F219" s="1" t="s">
        <v>10</v>
      </c>
      <c r="G219" s="2"/>
      <c r="H219" s="2" t="s">
        <v>2</v>
      </c>
      <c r="I219" s="8">
        <v>0</v>
      </c>
      <c r="J219" s="2"/>
      <c r="K219" s="1" t="s">
        <v>10</v>
      </c>
      <c r="L219" s="2">
        <v>0</v>
      </c>
      <c r="M219" s="2" t="s">
        <v>2</v>
      </c>
      <c r="N219" s="8">
        <v>0</v>
      </c>
      <c r="O219" s="3"/>
    </row>
    <row r="220" spans="1:15" ht="15" x14ac:dyDescent="0.35">
      <c r="A220" s="1" t="s">
        <v>11</v>
      </c>
      <c r="B220" s="2"/>
      <c r="C220" s="2" t="s">
        <v>2</v>
      </c>
      <c r="D220" s="25">
        <v>0</v>
      </c>
      <c r="E220" s="2"/>
      <c r="F220" s="1" t="s">
        <v>11</v>
      </c>
      <c r="G220" s="2"/>
      <c r="H220" s="2" t="s">
        <v>2</v>
      </c>
      <c r="I220" s="9">
        <f>-I2190</f>
        <v>0</v>
      </c>
      <c r="J220" s="2"/>
      <c r="K220" s="1" t="s">
        <v>11</v>
      </c>
      <c r="L220" s="2"/>
      <c r="M220" s="2" t="s">
        <v>2</v>
      </c>
      <c r="N220" s="8">
        <v>0</v>
      </c>
      <c r="O220" s="3"/>
    </row>
    <row r="221" spans="1:15" ht="15" x14ac:dyDescent="0.35">
      <c r="A221" s="1" t="s">
        <v>12</v>
      </c>
      <c r="B221" s="2"/>
      <c r="C221" s="2" t="s">
        <v>2</v>
      </c>
      <c r="D221" s="7">
        <f>[17]krnmei!$F$1179</f>
        <v>25000</v>
      </c>
      <c r="E221" s="2"/>
      <c r="F221" s="1" t="s">
        <v>12</v>
      </c>
      <c r="G221" s="2"/>
      <c r="H221" s="2" t="s">
        <v>2</v>
      </c>
      <c r="I221" s="8">
        <f>[4]krnmei!$F$684</f>
        <v>0</v>
      </c>
      <c r="J221" s="2"/>
      <c r="K221" s="1" t="s">
        <v>12</v>
      </c>
      <c r="L221" s="2"/>
      <c r="M221" s="2" t="s">
        <v>2</v>
      </c>
      <c r="N221" s="8">
        <v>50000</v>
      </c>
      <c r="O221" s="3"/>
    </row>
    <row r="222" spans="1:15" ht="15" x14ac:dyDescent="0.35">
      <c r="A222" s="13" t="s">
        <v>13</v>
      </c>
      <c r="B222" s="5"/>
      <c r="C222" s="5" t="s">
        <v>2</v>
      </c>
      <c r="D222" s="24">
        <f>SUM(D214:D221)</f>
        <v>250000</v>
      </c>
      <c r="E222" s="2"/>
      <c r="F222" s="13" t="s">
        <v>13</v>
      </c>
      <c r="G222" s="5"/>
      <c r="H222" s="5" t="s">
        <v>2</v>
      </c>
      <c r="I222" s="24">
        <f>SUM(I214:I221)</f>
        <v>1867500</v>
      </c>
      <c r="J222" s="2"/>
      <c r="K222" s="13" t="s">
        <v>13</v>
      </c>
      <c r="L222" s="5"/>
      <c r="M222" s="5" t="s">
        <v>2</v>
      </c>
      <c r="N222" s="24">
        <f>SUM(N214:N221)</f>
        <v>300000</v>
      </c>
      <c r="O222" s="3"/>
    </row>
    <row r="223" spans="1:15" ht="15" x14ac:dyDescent="0.35">
      <c r="A223" s="1" t="s">
        <v>14</v>
      </c>
      <c r="B223" s="2"/>
      <c r="C223" s="2" t="s">
        <v>2</v>
      </c>
      <c r="D223" s="25">
        <v>0</v>
      </c>
      <c r="E223" s="2"/>
      <c r="F223" s="1" t="s">
        <v>14</v>
      </c>
      <c r="G223" s="2"/>
      <c r="H223" s="2" t="s">
        <v>2</v>
      </c>
      <c r="I223" s="25">
        <f>[38]krnmei!$J$686</f>
        <v>8000000</v>
      </c>
      <c r="J223" s="2"/>
      <c r="K223" s="1" t="s">
        <v>14</v>
      </c>
      <c r="L223" s="2"/>
      <c r="M223" s="2" t="s">
        <v>2</v>
      </c>
      <c r="N223" s="25">
        <v>0</v>
      </c>
      <c r="O223" s="3"/>
    </row>
    <row r="224" spans="1:15" ht="15" x14ac:dyDescent="0.35">
      <c r="A224" s="1"/>
      <c r="B224" s="2"/>
      <c r="C224" s="15"/>
      <c r="D224" s="15" t="str">
        <f>D205</f>
        <v>Grogol, 02 Maret  2026</v>
      </c>
      <c r="E224" s="2"/>
      <c r="F224" s="1"/>
      <c r="G224" s="2"/>
      <c r="H224" s="15"/>
      <c r="I224" s="15" t="str">
        <f>D224</f>
        <v>Grogol, 02 Maret  2026</v>
      </c>
      <c r="J224" s="15"/>
      <c r="K224" s="1"/>
      <c r="L224" s="2"/>
      <c r="M224" s="15"/>
      <c r="N224" s="15" t="str">
        <f>I224</f>
        <v>Grogol, 02 Maret  2026</v>
      </c>
      <c r="O224" s="16"/>
    </row>
    <row r="225" spans="1:15" ht="15" x14ac:dyDescent="0.35">
      <c r="A225" s="1"/>
      <c r="B225" s="2"/>
      <c r="C225" s="2"/>
      <c r="D225" s="15" t="s">
        <v>15</v>
      </c>
      <c r="E225" s="15"/>
      <c r="F225" s="1"/>
      <c r="G225" s="2"/>
      <c r="H225" s="2"/>
      <c r="I225" s="15" t="s">
        <v>15</v>
      </c>
      <c r="J225" s="2"/>
      <c r="K225" s="1"/>
      <c r="L225" s="2"/>
      <c r="M225" s="2"/>
      <c r="N225" s="15" t="s">
        <v>15</v>
      </c>
      <c r="O225" s="3"/>
    </row>
    <row r="226" spans="1:15" ht="15" x14ac:dyDescent="0.35">
      <c r="A226" s="1"/>
      <c r="B226" s="2"/>
      <c r="C226" s="2"/>
      <c r="D226" s="15"/>
      <c r="E226" s="2"/>
      <c r="F226" s="1"/>
      <c r="G226" s="2"/>
      <c r="H226" s="2"/>
      <c r="I226" s="15"/>
      <c r="J226" s="2"/>
      <c r="K226" s="1"/>
      <c r="L226" s="2"/>
      <c r="M226" s="2"/>
      <c r="N226" s="15"/>
      <c r="O226" s="3"/>
    </row>
    <row r="227" spans="1:15" ht="15" x14ac:dyDescent="0.35">
      <c r="A227" s="1"/>
      <c r="B227" s="2"/>
      <c r="C227" s="2"/>
      <c r="D227" s="15"/>
      <c r="E227" s="2"/>
      <c r="F227" s="1"/>
      <c r="G227" s="2"/>
      <c r="H227" s="2"/>
      <c r="I227" s="15"/>
      <c r="J227" s="2"/>
      <c r="K227" s="1"/>
      <c r="L227" s="2"/>
      <c r="M227" s="2"/>
      <c r="N227" s="15"/>
      <c r="O227" s="3"/>
    </row>
    <row r="228" spans="1:15" ht="15.6" thickBot="1" x14ac:dyDescent="0.4">
      <c r="A228" s="17"/>
      <c r="B228" s="18"/>
      <c r="C228" s="18"/>
      <c r="D228" s="19" t="s">
        <v>16</v>
      </c>
      <c r="E228" s="18"/>
      <c r="F228" s="17"/>
      <c r="G228" s="18"/>
      <c r="H228" s="18"/>
      <c r="I228" s="19" t="s">
        <v>16</v>
      </c>
      <c r="J228" s="18"/>
      <c r="K228" s="17"/>
      <c r="L228" s="18"/>
      <c r="M228" s="18"/>
      <c r="N228" s="19" t="s">
        <v>16</v>
      </c>
      <c r="O228" s="20"/>
    </row>
    <row r="229" spans="1:15" ht="15" x14ac:dyDescent="0.35">
      <c r="A229" s="46" t="s">
        <v>0</v>
      </c>
      <c r="B229" s="47"/>
      <c r="C229" s="47"/>
      <c r="D229" s="47"/>
      <c r="E229" s="47"/>
      <c r="F229" s="46" t="s">
        <v>0</v>
      </c>
      <c r="G229" s="47"/>
      <c r="H229" s="47"/>
      <c r="I229" s="47"/>
      <c r="J229" s="47"/>
      <c r="K229" s="46" t="s">
        <v>0</v>
      </c>
      <c r="L229" s="47"/>
      <c r="M229" s="47"/>
      <c r="N229" s="47"/>
      <c r="O229" s="48"/>
    </row>
    <row r="230" spans="1:15" ht="15" x14ac:dyDescent="0.35">
      <c r="A230" s="1"/>
      <c r="B230" s="2"/>
      <c r="C230" s="2"/>
      <c r="D230" s="2"/>
      <c r="E230" s="2"/>
      <c r="F230" s="1"/>
      <c r="G230" s="2"/>
      <c r="H230" s="2"/>
      <c r="I230" s="2"/>
      <c r="J230" s="2"/>
      <c r="K230" s="1"/>
      <c r="L230" s="2"/>
      <c r="M230" s="2"/>
      <c r="N230" s="2"/>
      <c r="O230" s="3"/>
    </row>
    <row r="231" spans="1:15" ht="15" x14ac:dyDescent="0.35">
      <c r="A231" s="1" t="s">
        <v>1</v>
      </c>
      <c r="B231" s="2" t="s">
        <v>2</v>
      </c>
      <c r="C231" s="5"/>
      <c r="D231" s="5" t="str">
        <f>[17]krnmei!$B$1157</f>
        <v>FAHIMAH D</v>
      </c>
      <c r="E231" s="4">
        <v>19</v>
      </c>
      <c r="F231" s="1" t="s">
        <v>1</v>
      </c>
      <c r="G231" s="2" t="s">
        <v>2</v>
      </c>
      <c r="H231" s="51" t="s">
        <v>36</v>
      </c>
      <c r="I231" s="51"/>
      <c r="J231" s="4">
        <v>29</v>
      </c>
      <c r="K231" s="1" t="s">
        <v>1</v>
      </c>
      <c r="L231" s="2" t="s">
        <v>2</v>
      </c>
      <c r="M231" s="51" t="s">
        <v>37</v>
      </c>
      <c r="N231" s="51"/>
      <c r="O231" s="6">
        <v>30</v>
      </c>
    </row>
    <row r="232" spans="1:15" ht="15" x14ac:dyDescent="0.35">
      <c r="A232" s="1" t="s">
        <v>4</v>
      </c>
      <c r="B232" s="2"/>
      <c r="C232" s="2" t="s">
        <v>2</v>
      </c>
      <c r="D232" s="2"/>
      <c r="F232" s="1" t="s">
        <v>4</v>
      </c>
      <c r="G232" s="2"/>
      <c r="H232" s="2" t="s">
        <v>2</v>
      </c>
      <c r="I232" s="2"/>
      <c r="J232" s="2"/>
      <c r="K232" s="1" t="s">
        <v>4</v>
      </c>
      <c r="L232" s="2"/>
      <c r="M232" s="2" t="s">
        <v>2</v>
      </c>
      <c r="N232" s="2"/>
      <c r="O232" s="3"/>
    </row>
    <row r="233" spans="1:15" ht="15" x14ac:dyDescent="0.35">
      <c r="A233" s="1" t="s">
        <v>5</v>
      </c>
      <c r="B233" s="2"/>
      <c r="C233" s="2" t="s">
        <v>2</v>
      </c>
      <c r="D233" s="8">
        <f>[17]krnmei!$C$1162</f>
        <v>100000</v>
      </c>
      <c r="E233" s="2"/>
      <c r="F233" s="1" t="s">
        <v>5</v>
      </c>
      <c r="G233" s="2"/>
      <c r="H233" s="2" t="s">
        <v>2</v>
      </c>
      <c r="I233" s="8">
        <f>[18]krnmei!$C$744</f>
        <v>15000</v>
      </c>
      <c r="J233" s="2"/>
      <c r="K233" s="1" t="s">
        <v>5</v>
      </c>
      <c r="L233" s="2"/>
      <c r="M233" s="2" t="s">
        <v>2</v>
      </c>
      <c r="N233" s="8">
        <f>'[3]KARNING 2021'!$C$752</f>
        <v>10000</v>
      </c>
      <c r="O233" s="3"/>
    </row>
    <row r="234" spans="1:15" ht="15" x14ac:dyDescent="0.35">
      <c r="A234" s="1" t="s">
        <v>6</v>
      </c>
      <c r="B234" s="2"/>
      <c r="C234" s="2" t="s">
        <v>2</v>
      </c>
      <c r="D234" s="8">
        <v>100000</v>
      </c>
      <c r="E234" s="2"/>
      <c r="F234" s="1" t="s">
        <v>6</v>
      </c>
      <c r="G234" s="2"/>
      <c r="H234" s="2" t="s">
        <v>2</v>
      </c>
      <c r="I234" s="8">
        <f>'[3]KARNING 2021'!$D$735</f>
        <v>5000</v>
      </c>
      <c r="J234" s="2"/>
      <c r="K234" s="1" t="s">
        <v>6</v>
      </c>
      <c r="L234" s="2"/>
      <c r="M234" s="2" t="s">
        <v>2</v>
      </c>
      <c r="N234" s="8">
        <f>'[3]KARNING 2021'!$D$752</f>
        <v>15000</v>
      </c>
      <c r="O234" s="3"/>
    </row>
    <row r="235" spans="1:15" ht="15" x14ac:dyDescent="0.35">
      <c r="A235" s="1" t="s">
        <v>7</v>
      </c>
      <c r="B235" s="2"/>
      <c r="C235" s="2" t="s">
        <v>2</v>
      </c>
      <c r="D235" s="8">
        <f>[17]krnmei!$E$1162</f>
        <v>50000</v>
      </c>
      <c r="E235" s="2"/>
      <c r="F235" s="1" t="s">
        <v>7</v>
      </c>
      <c r="G235" s="2"/>
      <c r="H235" s="2" t="s">
        <v>2</v>
      </c>
      <c r="I235" s="8">
        <f>'[3]KARNING 2021'!$E$735</f>
        <v>150000</v>
      </c>
      <c r="J235" s="2"/>
      <c r="K235" s="1" t="s">
        <v>7</v>
      </c>
      <c r="L235" s="2"/>
      <c r="M235" s="2" t="s">
        <v>2</v>
      </c>
      <c r="N235" s="8">
        <v>0</v>
      </c>
      <c r="O235" s="3"/>
    </row>
    <row r="236" spans="1:15" ht="15" x14ac:dyDescent="0.35">
      <c r="A236" s="1" t="s">
        <v>8</v>
      </c>
      <c r="B236" s="21">
        <v>2</v>
      </c>
      <c r="C236" s="2" t="s">
        <v>2</v>
      </c>
      <c r="D236" s="8">
        <f>[39]krnmei!$I$1161</f>
        <v>300000</v>
      </c>
      <c r="E236" s="2"/>
      <c r="F236" s="1" t="s">
        <v>8</v>
      </c>
      <c r="G236" s="2">
        <v>38</v>
      </c>
      <c r="H236" s="2" t="s">
        <v>2</v>
      </c>
      <c r="I236" s="8">
        <f>[32]krnmei!$I$736</f>
        <v>250000</v>
      </c>
      <c r="J236" s="2"/>
      <c r="K236" s="1" t="s">
        <v>8</v>
      </c>
      <c r="L236" s="2">
        <v>64</v>
      </c>
      <c r="M236" s="2" t="s">
        <v>2</v>
      </c>
      <c r="N236" s="8">
        <f>[4]krnmei!$I$752</f>
        <v>200000</v>
      </c>
      <c r="O236" s="3"/>
    </row>
    <row r="237" spans="1:15" ht="15" x14ac:dyDescent="0.35">
      <c r="A237" s="1" t="s">
        <v>9</v>
      </c>
      <c r="B237" s="2"/>
      <c r="C237" s="2" t="s">
        <v>2</v>
      </c>
      <c r="D237" s="30">
        <f>[38]krnmei!$K$1162</f>
        <v>40500</v>
      </c>
      <c r="E237" s="2"/>
      <c r="F237" s="1" t="s">
        <v>9</v>
      </c>
      <c r="G237" s="2"/>
      <c r="H237" s="2" t="s">
        <v>2</v>
      </c>
      <c r="I237" s="30">
        <f>[38]krnmei!$K$737</f>
        <v>86250</v>
      </c>
      <c r="J237" s="2"/>
      <c r="K237" s="1" t="s">
        <v>9</v>
      </c>
      <c r="L237" s="2"/>
      <c r="M237" s="2" t="s">
        <v>2</v>
      </c>
      <c r="N237" s="11">
        <f>[38]krnmei!$K$754</f>
        <v>98250</v>
      </c>
      <c r="O237" s="3"/>
    </row>
    <row r="238" spans="1:15" ht="15" x14ac:dyDescent="0.35">
      <c r="A238" s="1" t="s">
        <v>10</v>
      </c>
      <c r="B238" s="2"/>
      <c r="C238" s="2" t="s">
        <v>2</v>
      </c>
      <c r="D238" s="8">
        <v>0</v>
      </c>
      <c r="E238" s="2"/>
      <c r="F238" s="1" t="s">
        <v>10</v>
      </c>
      <c r="G238" s="2">
        <v>0</v>
      </c>
      <c r="H238" s="2" t="s">
        <v>2</v>
      </c>
      <c r="I238" s="8">
        <v>0</v>
      </c>
      <c r="J238" s="2"/>
      <c r="K238" s="1" t="s">
        <v>10</v>
      </c>
      <c r="L238" s="21">
        <v>0</v>
      </c>
      <c r="M238" s="2" t="s">
        <v>2</v>
      </c>
      <c r="N238" s="8"/>
      <c r="O238" s="3"/>
    </row>
    <row r="239" spans="1:15" ht="15" x14ac:dyDescent="0.35">
      <c r="A239" s="1" t="s">
        <v>11</v>
      </c>
      <c r="B239" s="2"/>
      <c r="C239" s="2" t="s">
        <v>2</v>
      </c>
      <c r="D239" s="9">
        <f>[39]krnmei!$P$1161</f>
        <v>100000</v>
      </c>
      <c r="E239" s="2"/>
      <c r="F239" s="1" t="s">
        <v>11</v>
      </c>
      <c r="G239" s="2"/>
      <c r="H239" s="2" t="s">
        <v>2</v>
      </c>
      <c r="I239" s="9">
        <v>0</v>
      </c>
      <c r="J239" s="2"/>
      <c r="K239" s="1" t="s">
        <v>11</v>
      </c>
      <c r="L239" s="2"/>
      <c r="M239" s="2" t="s">
        <v>2</v>
      </c>
      <c r="N239" s="22">
        <v>0</v>
      </c>
      <c r="O239" s="3"/>
    </row>
    <row r="240" spans="1:15" ht="15" x14ac:dyDescent="0.35">
      <c r="A240" s="1" t="s">
        <v>12</v>
      </c>
      <c r="B240" s="2"/>
      <c r="C240" s="2" t="s">
        <v>2</v>
      </c>
      <c r="D240" s="8">
        <f>[17]krnmei!$F$1162</f>
        <v>50000</v>
      </c>
      <c r="E240" s="2"/>
      <c r="F240" s="1" t="s">
        <v>12</v>
      </c>
      <c r="G240" s="2"/>
      <c r="H240" s="2" t="s">
        <v>2</v>
      </c>
      <c r="I240" s="8">
        <f>'[3]KARNING 2021'!$F$735</f>
        <v>30000</v>
      </c>
      <c r="J240" s="2"/>
      <c r="K240" s="1" t="s">
        <v>12</v>
      </c>
      <c r="L240" s="2"/>
      <c r="M240" s="2" t="s">
        <v>2</v>
      </c>
      <c r="N240" s="8">
        <v>0</v>
      </c>
      <c r="O240" s="3"/>
    </row>
    <row r="241" spans="1:15" ht="15" x14ac:dyDescent="0.35">
      <c r="A241" s="13" t="s">
        <v>13</v>
      </c>
      <c r="B241" s="5"/>
      <c r="C241" s="5" t="s">
        <v>2</v>
      </c>
      <c r="D241" s="24">
        <f>SUM(D233:D240)</f>
        <v>740500</v>
      </c>
      <c r="E241" s="2"/>
      <c r="F241" s="13" t="s">
        <v>13</v>
      </c>
      <c r="G241" s="5"/>
      <c r="H241" s="5" t="s">
        <v>2</v>
      </c>
      <c r="I241" s="24">
        <f>SUM(I233:I240)</f>
        <v>536250</v>
      </c>
      <c r="J241" s="2"/>
      <c r="K241" s="13" t="s">
        <v>13</v>
      </c>
      <c r="L241" s="5"/>
      <c r="M241" s="5" t="s">
        <v>2</v>
      </c>
      <c r="N241" s="24">
        <f>SUM(N233:N240)</f>
        <v>323250</v>
      </c>
      <c r="O241" s="3"/>
    </row>
    <row r="242" spans="1:15" ht="15" x14ac:dyDescent="0.35">
      <c r="A242" s="1" t="s">
        <v>14</v>
      </c>
      <c r="B242" s="2"/>
      <c r="C242" s="2" t="s">
        <v>2</v>
      </c>
      <c r="D242" s="25">
        <f>[38]krnmei!$J$1162+5000000</f>
        <v>7400000</v>
      </c>
      <c r="E242" s="2"/>
      <c r="F242" s="1" t="s">
        <v>14</v>
      </c>
      <c r="G242" s="2"/>
      <c r="H242" s="2" t="s">
        <v>2</v>
      </c>
      <c r="I242" s="25">
        <f>[38]krnmei!$J$737</f>
        <v>5500000</v>
      </c>
      <c r="J242" s="2"/>
      <c r="K242" s="1" t="s">
        <v>14</v>
      </c>
      <c r="L242" s="2"/>
      <c r="M242" s="2" t="s">
        <v>2</v>
      </c>
      <c r="N242" s="27">
        <f>[38]krnmei!$J$754</f>
        <v>6350000</v>
      </c>
      <c r="O242" s="3"/>
    </row>
    <row r="243" spans="1:15" ht="15" x14ac:dyDescent="0.35">
      <c r="A243" s="1"/>
      <c r="B243" s="2"/>
      <c r="C243" s="15"/>
      <c r="D243" s="15" t="str">
        <f>D224</f>
        <v>Grogol, 02 Maret  2026</v>
      </c>
      <c r="E243" s="2"/>
      <c r="F243" s="1"/>
      <c r="G243" s="2"/>
      <c r="H243" s="15"/>
      <c r="I243" s="15" t="str">
        <f>D243</f>
        <v>Grogol, 02 Maret  2026</v>
      </c>
      <c r="J243" s="15"/>
      <c r="K243" s="1"/>
      <c r="L243" s="2"/>
      <c r="M243" s="15"/>
      <c r="N243" s="15" t="str">
        <f>I243</f>
        <v>Grogol, 02 Maret  2026</v>
      </c>
      <c r="O243" s="16"/>
    </row>
    <row r="244" spans="1:15" ht="15" x14ac:dyDescent="0.35">
      <c r="A244" s="1"/>
      <c r="B244" s="2"/>
      <c r="C244" s="2"/>
      <c r="D244" s="15" t="s">
        <v>15</v>
      </c>
      <c r="E244" s="15"/>
      <c r="F244" s="1"/>
      <c r="G244" s="2"/>
      <c r="H244" s="2"/>
      <c r="I244" s="15" t="s">
        <v>15</v>
      </c>
      <c r="J244" s="2"/>
      <c r="K244" s="1"/>
      <c r="L244" s="2"/>
      <c r="M244" s="2"/>
      <c r="N244" s="15" t="s">
        <v>15</v>
      </c>
      <c r="O244" s="3"/>
    </row>
    <row r="245" spans="1:15" ht="15" x14ac:dyDescent="0.35">
      <c r="A245" s="1"/>
      <c r="B245" s="2"/>
      <c r="C245" s="2"/>
      <c r="D245" s="15"/>
      <c r="E245" s="2"/>
      <c r="F245" s="1"/>
      <c r="G245" s="2"/>
      <c r="H245" s="2"/>
      <c r="I245" s="15"/>
      <c r="J245" s="2"/>
      <c r="K245" s="1"/>
      <c r="L245" s="2"/>
      <c r="M245" s="2"/>
      <c r="N245" s="15"/>
      <c r="O245" s="3"/>
    </row>
    <row r="246" spans="1:15" ht="15" x14ac:dyDescent="0.35">
      <c r="A246" s="1"/>
      <c r="B246" s="2"/>
      <c r="C246" s="2"/>
      <c r="D246" s="15"/>
      <c r="E246" s="2"/>
      <c r="F246" s="1"/>
      <c r="G246" s="2"/>
      <c r="H246" s="2"/>
      <c r="I246" s="15"/>
      <c r="J246" s="2"/>
      <c r="K246" s="1"/>
      <c r="L246" s="2"/>
      <c r="M246" s="2"/>
      <c r="N246" s="15"/>
      <c r="O246" s="3"/>
    </row>
    <row r="247" spans="1:15" ht="15.6" thickBot="1" x14ac:dyDescent="0.4">
      <c r="A247" s="17"/>
      <c r="B247" s="18"/>
      <c r="C247" s="18"/>
      <c r="D247" s="19" t="s">
        <v>16</v>
      </c>
      <c r="E247" s="18"/>
      <c r="F247" s="17"/>
      <c r="G247" s="18"/>
      <c r="H247" s="18"/>
      <c r="I247" s="19" t="s">
        <v>16</v>
      </c>
      <c r="J247" s="18"/>
      <c r="K247" s="17"/>
      <c r="L247" s="18"/>
      <c r="M247" s="18"/>
      <c r="N247" s="19" t="s">
        <v>16</v>
      </c>
      <c r="O247" s="20"/>
    </row>
    <row r="248" spans="1:15" ht="15" x14ac:dyDescent="0.35">
      <c r="A248" s="46" t="s">
        <v>0</v>
      </c>
      <c r="B248" s="47"/>
      <c r="C248" s="47"/>
      <c r="D248" s="47"/>
      <c r="E248" s="47"/>
      <c r="F248" s="46" t="s">
        <v>0</v>
      </c>
      <c r="G248" s="47"/>
      <c r="H248" s="47"/>
      <c r="I248" s="47"/>
      <c r="J248" s="47"/>
      <c r="K248" s="46" t="s">
        <v>0</v>
      </c>
      <c r="L248" s="47"/>
      <c r="M248" s="47"/>
      <c r="N248" s="47"/>
      <c r="O248" s="48"/>
    </row>
    <row r="249" spans="1:15" ht="15" x14ac:dyDescent="0.35">
      <c r="A249" s="1"/>
      <c r="B249" s="2"/>
      <c r="C249" s="2"/>
      <c r="D249" s="2"/>
      <c r="E249" s="2"/>
      <c r="F249" s="1"/>
      <c r="G249" s="2"/>
      <c r="H249" s="2"/>
      <c r="I249" s="2"/>
      <c r="J249" s="2"/>
      <c r="K249" s="1"/>
      <c r="L249" s="2"/>
      <c r="M249" s="2"/>
      <c r="N249" s="2"/>
      <c r="O249" s="3"/>
    </row>
    <row r="250" spans="1:15" ht="15" x14ac:dyDescent="0.35">
      <c r="A250" s="1" t="s">
        <v>1</v>
      </c>
      <c r="B250" s="2" t="s">
        <v>2</v>
      </c>
      <c r="C250" s="51" t="s">
        <v>38</v>
      </c>
      <c r="D250" s="51"/>
      <c r="E250" s="4">
        <v>31</v>
      </c>
      <c r="F250" s="1" t="s">
        <v>1</v>
      </c>
      <c r="G250" s="2" t="s">
        <v>2</v>
      </c>
      <c r="H250" s="50" t="s">
        <v>39</v>
      </c>
      <c r="I250" s="50"/>
      <c r="J250" s="4">
        <v>32</v>
      </c>
      <c r="K250" s="1" t="s">
        <v>1</v>
      </c>
      <c r="L250" s="2" t="s">
        <v>2</v>
      </c>
      <c r="M250" s="50" t="s">
        <v>40</v>
      </c>
      <c r="N250" s="50"/>
      <c r="O250" s="6">
        <v>33</v>
      </c>
    </row>
    <row r="251" spans="1:15" ht="15" x14ac:dyDescent="0.35">
      <c r="A251" s="1" t="s">
        <v>4</v>
      </c>
      <c r="B251" s="2"/>
      <c r="C251" s="2" t="s">
        <v>2</v>
      </c>
      <c r="D251" s="2"/>
      <c r="F251" s="1" t="s">
        <v>4</v>
      </c>
      <c r="G251" s="2"/>
      <c r="H251" s="2" t="s">
        <v>2</v>
      </c>
      <c r="I251" s="2"/>
      <c r="J251" s="2"/>
      <c r="K251" s="1" t="s">
        <v>4</v>
      </c>
      <c r="L251" s="2"/>
      <c r="M251" s="2" t="s">
        <v>2</v>
      </c>
      <c r="N251" s="2"/>
      <c r="O251" s="3"/>
    </row>
    <row r="252" spans="1:15" ht="15" x14ac:dyDescent="0.35">
      <c r="A252" s="1" t="s">
        <v>5</v>
      </c>
      <c r="B252" s="2"/>
      <c r="C252" s="2" t="s">
        <v>2</v>
      </c>
      <c r="D252" s="8">
        <v>0</v>
      </c>
      <c r="E252" s="2"/>
      <c r="F252" s="1" t="s">
        <v>5</v>
      </c>
      <c r="G252" s="2"/>
      <c r="H252" s="2" t="s">
        <v>2</v>
      </c>
      <c r="I252" s="8">
        <f>'[3]KARNING 2021'!$C$786</f>
        <v>15000</v>
      </c>
      <c r="J252" s="2"/>
      <c r="K252" s="1" t="s">
        <v>5</v>
      </c>
      <c r="L252" s="2"/>
      <c r="M252" s="2" t="s">
        <v>2</v>
      </c>
      <c r="N252" s="8">
        <f>'[3]KARNING 2021'!$C$803</f>
        <v>15000</v>
      </c>
      <c r="O252" s="3"/>
    </row>
    <row r="253" spans="1:15" ht="15" x14ac:dyDescent="0.35">
      <c r="A253" s="1" t="s">
        <v>6</v>
      </c>
      <c r="B253" s="2"/>
      <c r="C253" s="2" t="s">
        <v>2</v>
      </c>
      <c r="D253" s="8">
        <v>0</v>
      </c>
      <c r="E253" s="2"/>
      <c r="F253" s="1" t="s">
        <v>6</v>
      </c>
      <c r="G253" s="2"/>
      <c r="H253" s="2" t="s">
        <v>2</v>
      </c>
      <c r="I253" s="8">
        <f>'[3]KARNING 2021'!$D$786</f>
        <v>20000</v>
      </c>
      <c r="J253" s="2"/>
      <c r="K253" s="1" t="s">
        <v>6</v>
      </c>
      <c r="L253" s="2"/>
      <c r="M253" s="2" t="s">
        <v>2</v>
      </c>
      <c r="N253" s="8">
        <f>'[3]KARNING 2021'!$D$803</f>
        <v>5000</v>
      </c>
      <c r="O253" s="3"/>
    </row>
    <row r="254" spans="1:15" ht="15" x14ac:dyDescent="0.35">
      <c r="A254" s="1" t="s">
        <v>7</v>
      </c>
      <c r="B254" s="2"/>
      <c r="C254" s="2" t="s">
        <v>2</v>
      </c>
      <c r="D254" s="8">
        <v>0</v>
      </c>
      <c r="E254" s="2"/>
      <c r="F254" s="1" t="s">
        <v>7</v>
      </c>
      <c r="G254" s="2"/>
      <c r="H254" s="2" t="s">
        <v>2</v>
      </c>
      <c r="I254" s="8">
        <f>'[3]KARNING 2021'!$E$786</f>
        <v>200000</v>
      </c>
      <c r="J254" s="2"/>
      <c r="K254" s="1" t="s">
        <v>7</v>
      </c>
      <c r="L254" s="2"/>
      <c r="M254" s="2" t="s">
        <v>2</v>
      </c>
      <c r="N254" s="8">
        <f>'[3]KARNING 2021'!$E$803</f>
        <v>50000</v>
      </c>
      <c r="O254" s="3"/>
    </row>
    <row r="255" spans="1:15" ht="15" x14ac:dyDescent="0.35">
      <c r="A255" s="1" t="s">
        <v>8</v>
      </c>
      <c r="B255" s="21">
        <v>0</v>
      </c>
      <c r="C255" s="2" t="s">
        <v>2</v>
      </c>
      <c r="D255" s="8">
        <v>0</v>
      </c>
      <c r="E255" s="2"/>
      <c r="F255" s="1" t="s">
        <v>8</v>
      </c>
      <c r="G255" s="21">
        <v>19</v>
      </c>
      <c r="H255" s="2" t="s">
        <v>2</v>
      </c>
      <c r="I255" s="8">
        <f>[4]krnmei!$I$786</f>
        <v>300000</v>
      </c>
      <c r="J255" s="2"/>
      <c r="K255" s="1" t="s">
        <v>8</v>
      </c>
      <c r="L255" s="21">
        <v>0</v>
      </c>
      <c r="M255" s="2" t="s">
        <v>2</v>
      </c>
      <c r="N255" s="25">
        <f>[38]krnmei!$J$804</f>
        <v>0</v>
      </c>
      <c r="O255" s="3"/>
    </row>
    <row r="256" spans="1:15" ht="15" x14ac:dyDescent="0.35">
      <c r="A256" s="1" t="s">
        <v>9</v>
      </c>
      <c r="B256" s="2"/>
      <c r="C256" s="2" t="s">
        <v>2</v>
      </c>
      <c r="D256" s="11">
        <v>0</v>
      </c>
      <c r="E256" s="2"/>
      <c r="F256" s="1" t="s">
        <v>9</v>
      </c>
      <c r="G256" s="2"/>
      <c r="H256" s="2" t="s">
        <v>2</v>
      </c>
      <c r="I256" s="11">
        <f>[38]krnmei!$K$788</f>
        <v>89250</v>
      </c>
      <c r="J256" s="2"/>
      <c r="K256" s="1" t="s">
        <v>9</v>
      </c>
      <c r="L256" s="2"/>
      <c r="M256" s="2" t="s">
        <v>2</v>
      </c>
      <c r="N256" s="11"/>
      <c r="O256" s="3"/>
    </row>
    <row r="257" spans="1:15" ht="15" x14ac:dyDescent="0.35">
      <c r="A257" s="1" t="s">
        <v>10</v>
      </c>
      <c r="B257" s="2"/>
      <c r="C257" s="2" t="s">
        <v>2</v>
      </c>
      <c r="D257" s="8"/>
      <c r="E257" s="2"/>
      <c r="F257" s="1" t="s">
        <v>10</v>
      </c>
      <c r="G257" s="2">
        <v>0</v>
      </c>
      <c r="H257" s="2" t="s">
        <v>2</v>
      </c>
      <c r="I257" s="8"/>
      <c r="J257" s="2"/>
      <c r="K257" s="1" t="s">
        <v>10</v>
      </c>
      <c r="L257" s="2">
        <v>0</v>
      </c>
      <c r="M257" s="2" t="s">
        <v>2</v>
      </c>
      <c r="N257" s="8"/>
      <c r="O257" s="3"/>
    </row>
    <row r="258" spans="1:15" ht="15" x14ac:dyDescent="0.35">
      <c r="A258" s="1" t="s">
        <v>11</v>
      </c>
      <c r="B258" s="2"/>
      <c r="C258" s="2" t="s">
        <v>2</v>
      </c>
      <c r="D258" s="9">
        <v>0</v>
      </c>
      <c r="E258" s="2"/>
      <c r="F258" s="1" t="s">
        <v>11</v>
      </c>
      <c r="G258" s="2"/>
      <c r="H258" s="2" t="s">
        <v>2</v>
      </c>
      <c r="I258" s="9">
        <v>0</v>
      </c>
      <c r="J258" s="2"/>
      <c r="K258" s="1" t="s">
        <v>11</v>
      </c>
      <c r="L258" s="2"/>
      <c r="M258" s="2" t="s">
        <v>2</v>
      </c>
      <c r="N258" s="9">
        <v>0</v>
      </c>
      <c r="O258" s="3"/>
    </row>
    <row r="259" spans="1:15" ht="15" x14ac:dyDescent="0.35">
      <c r="A259" s="1" t="s">
        <v>12</v>
      </c>
      <c r="B259" s="2"/>
      <c r="C259" s="2" t="s">
        <v>2</v>
      </c>
      <c r="D259" s="8">
        <v>0</v>
      </c>
      <c r="E259" s="2"/>
      <c r="F259" s="1" t="s">
        <v>12</v>
      </c>
      <c r="G259" s="2"/>
      <c r="H259" s="2" t="s">
        <v>2</v>
      </c>
      <c r="I259" s="8">
        <v>50000</v>
      </c>
      <c r="J259" s="2"/>
      <c r="K259" s="1" t="s">
        <v>12</v>
      </c>
      <c r="L259" s="2"/>
      <c r="M259" s="2" t="s">
        <v>2</v>
      </c>
      <c r="N259" s="8">
        <f>'[3]KARNING 2021'!$F$803</f>
        <v>10000</v>
      </c>
      <c r="O259" s="3"/>
    </row>
    <row r="260" spans="1:15" ht="15" x14ac:dyDescent="0.35">
      <c r="A260" s="13" t="s">
        <v>13</v>
      </c>
      <c r="B260" s="5"/>
      <c r="C260" s="5" t="s">
        <v>2</v>
      </c>
      <c r="D260" s="24">
        <f>SUM(D252:D259)</f>
        <v>0</v>
      </c>
      <c r="E260" s="2"/>
      <c r="F260" s="13" t="s">
        <v>13</v>
      </c>
      <c r="G260" s="5"/>
      <c r="H260" s="5" t="s">
        <v>2</v>
      </c>
      <c r="I260" s="24">
        <f>SUM(I252:I259)</f>
        <v>674250</v>
      </c>
      <c r="J260" s="2"/>
      <c r="K260" s="13" t="s">
        <v>13</v>
      </c>
      <c r="L260" s="5"/>
      <c r="M260" s="5" t="s">
        <v>2</v>
      </c>
      <c r="N260" s="8">
        <f>SUM(N252:N259)</f>
        <v>80000</v>
      </c>
      <c r="O260" s="3"/>
    </row>
    <row r="261" spans="1:15" ht="15" x14ac:dyDescent="0.35">
      <c r="A261" s="1" t="s">
        <v>14</v>
      </c>
      <c r="B261" s="2"/>
      <c r="C261" s="2" t="s">
        <v>2</v>
      </c>
      <c r="D261" s="27">
        <f>[39]krnmei!$J$770</f>
        <v>0</v>
      </c>
      <c r="E261" s="2"/>
      <c r="F261" s="1" t="s">
        <v>14</v>
      </c>
      <c r="G261" s="2"/>
      <c r="H261" s="2" t="s">
        <v>2</v>
      </c>
      <c r="I261" s="27">
        <f>[38]krnmei!$J$788</f>
        <v>5650000</v>
      </c>
      <c r="J261" s="2"/>
      <c r="K261" s="1" t="s">
        <v>14</v>
      </c>
      <c r="L261" s="2"/>
      <c r="M261" s="2" t="s">
        <v>2</v>
      </c>
      <c r="N261" s="27">
        <f>[39]krnmei!$J$804</f>
        <v>0</v>
      </c>
      <c r="O261" s="3"/>
    </row>
    <row r="262" spans="1:15" ht="15" x14ac:dyDescent="0.35">
      <c r="A262" s="1"/>
      <c r="B262" s="2"/>
      <c r="C262" s="15"/>
      <c r="D262" s="15" t="str">
        <f>D243</f>
        <v>Grogol, 02 Maret  2026</v>
      </c>
      <c r="E262" s="2"/>
      <c r="F262" s="1"/>
      <c r="G262" s="2"/>
      <c r="H262" s="15"/>
      <c r="I262" s="15" t="str">
        <f>D262</f>
        <v>Grogol, 02 Maret  2026</v>
      </c>
      <c r="J262" s="15"/>
      <c r="K262" s="1"/>
      <c r="L262" s="2"/>
      <c r="M262" s="15"/>
      <c r="N262" s="15" t="str">
        <f>I262</f>
        <v>Grogol, 02 Maret  2026</v>
      </c>
      <c r="O262" s="16"/>
    </row>
    <row r="263" spans="1:15" ht="15" x14ac:dyDescent="0.35">
      <c r="A263" s="1"/>
      <c r="B263" s="2"/>
      <c r="C263" s="2"/>
      <c r="D263" s="15" t="s">
        <v>15</v>
      </c>
      <c r="E263" s="15"/>
      <c r="F263" s="1"/>
      <c r="G263" s="2"/>
      <c r="H263" s="2"/>
      <c r="I263" s="15" t="s">
        <v>15</v>
      </c>
      <c r="J263" s="2"/>
      <c r="K263" s="1"/>
      <c r="L263" s="2"/>
      <c r="M263" s="2"/>
      <c r="N263" s="15" t="s">
        <v>15</v>
      </c>
      <c r="O263" s="3"/>
    </row>
    <row r="264" spans="1:15" ht="15" x14ac:dyDescent="0.35">
      <c r="A264" s="1"/>
      <c r="B264" s="2"/>
      <c r="C264" s="2"/>
      <c r="D264" s="15"/>
      <c r="E264" s="2"/>
      <c r="F264" s="1"/>
      <c r="G264" s="2"/>
      <c r="H264" s="2"/>
      <c r="I264" s="15"/>
      <c r="J264" s="2"/>
      <c r="K264" s="1"/>
      <c r="L264" s="2"/>
      <c r="M264" s="2"/>
      <c r="N264" s="15"/>
      <c r="O264" s="3"/>
    </row>
    <row r="265" spans="1:15" ht="15" x14ac:dyDescent="0.35">
      <c r="A265" s="1"/>
      <c r="B265" s="2"/>
      <c r="C265" s="2"/>
      <c r="D265" s="15"/>
      <c r="E265" s="2"/>
      <c r="F265" s="1"/>
      <c r="G265" s="2"/>
      <c r="H265" s="2"/>
      <c r="I265" s="15"/>
      <c r="J265" s="2"/>
      <c r="K265" s="1"/>
      <c r="L265" s="2"/>
      <c r="M265" s="2"/>
      <c r="N265" s="15"/>
      <c r="O265" s="3"/>
    </row>
    <row r="266" spans="1:15" ht="15.6" thickBot="1" x14ac:dyDescent="0.4">
      <c r="A266" s="17"/>
      <c r="B266" s="18"/>
      <c r="C266" s="18"/>
      <c r="D266" s="19" t="s">
        <v>16</v>
      </c>
      <c r="E266" s="18"/>
      <c r="F266" s="17"/>
      <c r="G266" s="18"/>
      <c r="H266" s="18"/>
      <c r="I266" s="19" t="s">
        <v>16</v>
      </c>
      <c r="J266" s="18"/>
      <c r="K266" s="17"/>
      <c r="L266" s="18"/>
      <c r="M266" s="18"/>
      <c r="N266" s="19" t="s">
        <v>16</v>
      </c>
      <c r="O266" s="20"/>
    </row>
    <row r="267" spans="1:15" ht="15" x14ac:dyDescent="0.35">
      <c r="A267" s="46" t="s">
        <v>0</v>
      </c>
      <c r="B267" s="47"/>
      <c r="C267" s="47"/>
      <c r="D267" s="47"/>
      <c r="E267" s="47"/>
      <c r="F267" s="46" t="s">
        <v>0</v>
      </c>
      <c r="G267" s="47"/>
      <c r="H267" s="47"/>
      <c r="I267" s="47"/>
      <c r="J267" s="47"/>
      <c r="K267" s="46" t="s">
        <v>0</v>
      </c>
      <c r="L267" s="47"/>
      <c r="M267" s="47"/>
      <c r="N267" s="47"/>
      <c r="O267" s="48"/>
    </row>
    <row r="268" spans="1:15" ht="15" x14ac:dyDescent="0.35">
      <c r="A268" s="1"/>
      <c r="B268" s="2"/>
      <c r="C268" s="2"/>
      <c r="D268" s="2"/>
      <c r="E268" s="2"/>
      <c r="F268" s="1"/>
      <c r="G268" s="2"/>
      <c r="H268" s="2"/>
      <c r="I268" s="2"/>
      <c r="J268" s="2"/>
      <c r="K268" s="1"/>
      <c r="L268" s="2"/>
      <c r="M268" s="2"/>
      <c r="N268" s="2"/>
      <c r="O268" s="3"/>
    </row>
    <row r="269" spans="1:15" ht="15" x14ac:dyDescent="0.35">
      <c r="A269" s="1" t="s">
        <v>1</v>
      </c>
      <c r="B269" s="2" t="s">
        <v>2</v>
      </c>
      <c r="C269" s="51" t="s">
        <v>41</v>
      </c>
      <c r="D269" s="51"/>
      <c r="E269" s="4">
        <v>34</v>
      </c>
      <c r="F269" s="1" t="s">
        <v>1</v>
      </c>
      <c r="G269" s="2"/>
      <c r="H269" s="50" t="s">
        <v>80</v>
      </c>
      <c r="I269" s="50"/>
      <c r="J269" s="4">
        <v>44</v>
      </c>
      <c r="K269" s="1" t="s">
        <v>1</v>
      </c>
      <c r="L269" s="2" t="s">
        <v>2</v>
      </c>
      <c r="M269" s="50" t="s">
        <v>42</v>
      </c>
      <c r="N269" s="50"/>
      <c r="O269" s="6">
        <v>35</v>
      </c>
    </row>
    <row r="270" spans="1:15" ht="15" x14ac:dyDescent="0.35">
      <c r="A270" s="1" t="s">
        <v>4</v>
      </c>
      <c r="B270" s="2"/>
      <c r="C270" s="2" t="s">
        <v>2</v>
      </c>
      <c r="D270" s="2"/>
      <c r="F270" s="1" t="s">
        <v>4</v>
      </c>
      <c r="G270" s="2"/>
      <c r="H270" s="2" t="s">
        <v>2</v>
      </c>
      <c r="I270" s="2"/>
      <c r="J270" s="2"/>
      <c r="K270" s="1" t="s">
        <v>4</v>
      </c>
      <c r="L270" s="2"/>
      <c r="M270" s="2" t="s">
        <v>2</v>
      </c>
      <c r="N270" s="2"/>
      <c r="O270" s="3"/>
    </row>
    <row r="271" spans="1:15" ht="15" x14ac:dyDescent="0.35">
      <c r="A271" s="1" t="s">
        <v>5</v>
      </c>
      <c r="B271" s="2"/>
      <c r="C271" s="2" t="s">
        <v>2</v>
      </c>
      <c r="D271" s="8">
        <f>'[3]KARNING 2021'!$C$820</f>
        <v>15000</v>
      </c>
      <c r="E271" s="2"/>
      <c r="F271" s="1" t="s">
        <v>5</v>
      </c>
      <c r="G271" s="2"/>
      <c r="H271" s="2" t="s">
        <v>2</v>
      </c>
      <c r="I271" s="8">
        <f>[33]krnmei!$C$1196</f>
        <v>15000</v>
      </c>
      <c r="J271" s="2"/>
      <c r="K271" s="1" t="s">
        <v>66</v>
      </c>
      <c r="L271" s="2"/>
      <c r="M271" s="2" t="s">
        <v>2</v>
      </c>
      <c r="N271" s="8">
        <f>[16]krnmei!$C$856</f>
        <v>15000</v>
      </c>
      <c r="O271" s="3"/>
    </row>
    <row r="272" spans="1:15" ht="15" x14ac:dyDescent="0.35">
      <c r="A272" s="1" t="s">
        <v>6</v>
      </c>
      <c r="B272" s="2"/>
      <c r="C272" s="2" t="s">
        <v>2</v>
      </c>
      <c r="D272" s="8">
        <f>'[3]KARNING 2021'!$D$820</f>
        <v>5000</v>
      </c>
      <c r="E272" s="2"/>
      <c r="F272" s="1" t="s">
        <v>6</v>
      </c>
      <c r="G272" s="2"/>
      <c r="H272" s="2" t="s">
        <v>2</v>
      </c>
      <c r="I272" s="8">
        <f>[33]krnmei!$D$1196</f>
        <v>50000</v>
      </c>
      <c r="J272" s="2"/>
      <c r="K272" s="1" t="s">
        <v>6</v>
      </c>
      <c r="L272" s="2"/>
      <c r="M272" s="2" t="s">
        <v>2</v>
      </c>
      <c r="N272" s="7">
        <f>'[3]KARNING 2021'!$D$854</f>
        <v>5000</v>
      </c>
      <c r="O272" s="3"/>
    </row>
    <row r="273" spans="1:15" ht="15" x14ac:dyDescent="0.35">
      <c r="A273" s="1" t="s">
        <v>7</v>
      </c>
      <c r="B273" s="2"/>
      <c r="C273" s="2" t="s">
        <v>2</v>
      </c>
      <c r="D273" s="8">
        <f>'[3]KARNING 2021'!$E$820</f>
        <v>230000</v>
      </c>
      <c r="E273" s="2"/>
      <c r="F273" s="1" t="s">
        <v>7</v>
      </c>
      <c r="G273" s="2"/>
      <c r="H273" s="2" t="s">
        <v>2</v>
      </c>
      <c r="I273" s="8">
        <v>80000</v>
      </c>
      <c r="J273" s="2"/>
      <c r="K273" s="1" t="s">
        <v>7</v>
      </c>
      <c r="L273" s="2"/>
      <c r="M273" s="2" t="s">
        <v>2</v>
      </c>
      <c r="N273" s="7">
        <v>0</v>
      </c>
      <c r="O273" s="3"/>
    </row>
    <row r="274" spans="1:15" ht="15" x14ac:dyDescent="0.35">
      <c r="A274" s="1" t="s">
        <v>8</v>
      </c>
      <c r="B274" s="21">
        <v>9</v>
      </c>
      <c r="C274" s="2" t="s">
        <v>2</v>
      </c>
      <c r="D274" s="8">
        <v>50000</v>
      </c>
      <c r="E274" s="2"/>
      <c r="F274" s="1" t="s">
        <v>8</v>
      </c>
      <c r="G274" s="2"/>
      <c r="H274" s="2" t="s">
        <v>2</v>
      </c>
      <c r="I274" s="8">
        <v>0</v>
      </c>
      <c r="J274" s="2"/>
      <c r="K274" s="1" t="s">
        <v>8</v>
      </c>
      <c r="L274" s="21">
        <v>32</v>
      </c>
      <c r="M274" s="2" t="s">
        <v>2</v>
      </c>
      <c r="N274" s="7">
        <v>400000</v>
      </c>
      <c r="O274" s="3"/>
    </row>
    <row r="275" spans="1:15" ht="15" x14ac:dyDescent="0.35">
      <c r="A275" s="1" t="s">
        <v>9</v>
      </c>
      <c r="B275" s="2"/>
      <c r="C275" s="2" t="s">
        <v>2</v>
      </c>
      <c r="D275" s="11">
        <f>[38]krnmei!$K$822</f>
        <v>9000</v>
      </c>
      <c r="E275" s="2"/>
      <c r="F275" s="1" t="s">
        <v>9</v>
      </c>
      <c r="G275" s="2"/>
      <c r="H275" s="2" t="s">
        <v>2</v>
      </c>
      <c r="I275" s="11">
        <v>0</v>
      </c>
      <c r="J275" s="2"/>
      <c r="K275" s="1" t="s">
        <v>9</v>
      </c>
      <c r="L275" s="2"/>
      <c r="M275" s="2" t="s">
        <v>2</v>
      </c>
      <c r="N275" s="11">
        <f>[38]krnmei!$K$856</f>
        <v>27000</v>
      </c>
      <c r="O275" s="3"/>
    </row>
    <row r="276" spans="1:15" ht="15" x14ac:dyDescent="0.35">
      <c r="A276" s="1" t="s">
        <v>10</v>
      </c>
      <c r="B276" s="2"/>
      <c r="C276" s="2" t="s">
        <v>2</v>
      </c>
      <c r="D276" s="8"/>
      <c r="E276" s="2"/>
      <c r="F276" s="1" t="s">
        <v>10</v>
      </c>
      <c r="G276" s="2"/>
      <c r="H276" s="2" t="s">
        <v>2</v>
      </c>
      <c r="I276" s="8">
        <v>0</v>
      </c>
      <c r="J276" s="2"/>
      <c r="K276" s="1" t="s">
        <v>10</v>
      </c>
      <c r="L276" s="2">
        <v>0</v>
      </c>
      <c r="M276" s="2" t="s">
        <v>2</v>
      </c>
      <c r="N276" s="7">
        <v>0</v>
      </c>
      <c r="O276" s="3"/>
    </row>
    <row r="277" spans="1:15" ht="15" x14ac:dyDescent="0.35">
      <c r="A277" s="1" t="s">
        <v>11</v>
      </c>
      <c r="B277" s="2"/>
      <c r="C277" s="2" t="s">
        <v>2</v>
      </c>
      <c r="D277" s="9">
        <f>[9]krnmei!$P$830</f>
        <v>0</v>
      </c>
      <c r="E277" s="2"/>
      <c r="F277" s="1" t="s">
        <v>11</v>
      </c>
      <c r="G277" s="2"/>
      <c r="H277" s="2" t="s">
        <v>2</v>
      </c>
      <c r="I277" s="9">
        <v>0</v>
      </c>
      <c r="J277" s="2"/>
      <c r="K277" s="1" t="s">
        <v>11</v>
      </c>
      <c r="L277" s="2"/>
      <c r="M277" s="2" t="s">
        <v>2</v>
      </c>
      <c r="N277" s="7">
        <v>0</v>
      </c>
      <c r="O277" s="3"/>
    </row>
    <row r="278" spans="1:15" ht="15" x14ac:dyDescent="0.35">
      <c r="A278" s="1" t="s">
        <v>12</v>
      </c>
      <c r="B278" s="2"/>
      <c r="C278" s="2" t="s">
        <v>2</v>
      </c>
      <c r="D278" s="8">
        <f>'[3]KARNING 2021'!$F$820</f>
        <v>200000</v>
      </c>
      <c r="E278" s="2"/>
      <c r="F278" s="1" t="s">
        <v>12</v>
      </c>
      <c r="G278" s="2"/>
      <c r="H278" s="2" t="s">
        <v>2</v>
      </c>
      <c r="I278" s="8">
        <f>[33]krnmei!$F$1196</f>
        <v>55000</v>
      </c>
      <c r="J278" s="2"/>
      <c r="K278" s="1" t="s">
        <v>12</v>
      </c>
      <c r="L278" s="2"/>
      <c r="M278" s="2" t="s">
        <v>2</v>
      </c>
      <c r="N278" s="7">
        <v>0</v>
      </c>
      <c r="O278" s="3"/>
    </row>
    <row r="279" spans="1:15" ht="15" x14ac:dyDescent="0.35">
      <c r="A279" s="13" t="s">
        <v>13</v>
      </c>
      <c r="B279" s="5"/>
      <c r="C279" s="5" t="s">
        <v>2</v>
      </c>
      <c r="D279" s="8">
        <f>SUM(D271:D278)</f>
        <v>509000</v>
      </c>
      <c r="E279" s="2"/>
      <c r="F279" s="13" t="s">
        <v>13</v>
      </c>
      <c r="G279" s="5"/>
      <c r="H279" s="5" t="s">
        <v>2</v>
      </c>
      <c r="I279" s="24">
        <f>SUM(I271:I278)</f>
        <v>200000</v>
      </c>
      <c r="J279" s="2"/>
      <c r="K279" s="13" t="s">
        <v>13</v>
      </c>
      <c r="L279" s="5"/>
      <c r="M279" s="5" t="s">
        <v>2</v>
      </c>
      <c r="N279" s="8">
        <f>SUM(N271:N278)</f>
        <v>447000</v>
      </c>
      <c r="O279" s="3"/>
    </row>
    <row r="280" spans="1:15" ht="15" x14ac:dyDescent="0.35">
      <c r="A280" s="1" t="s">
        <v>14</v>
      </c>
      <c r="B280" s="2"/>
      <c r="C280" s="2" t="s">
        <v>2</v>
      </c>
      <c r="D280" s="27">
        <f>[38]krnmei!$J$822</f>
        <v>550000</v>
      </c>
      <c r="E280" s="2"/>
      <c r="F280" s="1" t="s">
        <v>14</v>
      </c>
      <c r="G280" s="2"/>
      <c r="H280" s="2" t="s">
        <v>2</v>
      </c>
      <c r="I280" s="27">
        <v>0</v>
      </c>
      <c r="J280" s="2"/>
      <c r="K280" s="1" t="s">
        <v>14</v>
      </c>
      <c r="L280" s="2"/>
      <c r="M280" s="2" t="s">
        <v>2</v>
      </c>
      <c r="N280" s="10">
        <f>[38]krnmei!$J$856</f>
        <v>1400000</v>
      </c>
      <c r="O280" s="3"/>
    </row>
    <row r="281" spans="1:15" ht="15" x14ac:dyDescent="0.35">
      <c r="A281" s="1"/>
      <c r="B281" s="2"/>
      <c r="C281" s="15"/>
      <c r="D281" s="15" t="str">
        <f>D262</f>
        <v>Grogol, 02 Maret  2026</v>
      </c>
      <c r="E281" s="2"/>
      <c r="F281" s="1"/>
      <c r="G281" s="2"/>
      <c r="H281" s="15"/>
      <c r="I281" s="15" t="str">
        <f>D281</f>
        <v>Grogol, 02 Maret  2026</v>
      </c>
      <c r="J281" s="15"/>
      <c r="K281" s="1"/>
      <c r="L281" s="2"/>
      <c r="M281" s="15"/>
      <c r="N281" s="15" t="str">
        <f>I281</f>
        <v>Grogol, 02 Maret  2026</v>
      </c>
      <c r="O281" s="16"/>
    </row>
    <row r="282" spans="1:15" ht="15" x14ac:dyDescent="0.35">
      <c r="A282" s="1"/>
      <c r="B282" s="2"/>
      <c r="C282" s="2"/>
      <c r="D282" s="15" t="s">
        <v>15</v>
      </c>
      <c r="E282" s="15"/>
      <c r="F282" s="1"/>
      <c r="G282" s="2"/>
      <c r="H282" s="2"/>
      <c r="I282" s="15" t="s">
        <v>15</v>
      </c>
      <c r="J282" s="2"/>
      <c r="K282" s="1"/>
      <c r="L282" s="2"/>
      <c r="M282" s="2"/>
      <c r="N282" s="15" t="s">
        <v>15</v>
      </c>
      <c r="O282" s="3"/>
    </row>
    <row r="283" spans="1:15" ht="15" x14ac:dyDescent="0.35">
      <c r="A283" s="1"/>
      <c r="B283" s="2"/>
      <c r="C283" s="2"/>
      <c r="D283" s="15"/>
      <c r="E283" s="2"/>
      <c r="F283" s="1"/>
      <c r="G283" s="2"/>
      <c r="H283" s="2"/>
      <c r="I283" s="15"/>
      <c r="J283" s="2"/>
      <c r="K283" s="1"/>
      <c r="L283" s="2"/>
      <c r="M283" s="2"/>
      <c r="N283" s="2"/>
      <c r="O283" s="3"/>
    </row>
    <row r="284" spans="1:15" ht="15" x14ac:dyDescent="0.35">
      <c r="A284" s="1"/>
      <c r="B284" s="2"/>
      <c r="C284" s="2"/>
      <c r="D284" s="15"/>
      <c r="E284" s="2"/>
      <c r="F284" s="1"/>
      <c r="G284" s="2"/>
      <c r="H284" s="2"/>
      <c r="I284" s="15"/>
      <c r="J284" s="2"/>
      <c r="K284" s="1"/>
      <c r="L284" s="2"/>
      <c r="M284" s="2"/>
      <c r="N284" s="15"/>
      <c r="O284" s="3"/>
    </row>
    <row r="285" spans="1:15" ht="15.6" thickBot="1" x14ac:dyDescent="0.4">
      <c r="A285" s="17"/>
      <c r="B285" s="18"/>
      <c r="C285" s="18"/>
      <c r="D285" s="19" t="s">
        <v>16</v>
      </c>
      <c r="E285" s="18"/>
      <c r="F285" s="17"/>
      <c r="G285" s="18"/>
      <c r="H285" s="18"/>
      <c r="I285" s="19" t="s">
        <v>16</v>
      </c>
      <c r="J285" s="18"/>
      <c r="K285" s="17"/>
      <c r="L285" s="18"/>
      <c r="M285" s="18"/>
      <c r="N285" s="19" t="s">
        <v>16</v>
      </c>
      <c r="O285" s="20"/>
    </row>
    <row r="286" spans="1:15" ht="15" x14ac:dyDescent="0.35">
      <c r="A286" s="46" t="s">
        <v>0</v>
      </c>
      <c r="B286" s="47"/>
      <c r="C286" s="47"/>
      <c r="D286" s="47"/>
      <c r="E286" s="47"/>
      <c r="F286" s="46" t="s">
        <v>0</v>
      </c>
      <c r="G286" s="47"/>
      <c r="H286" s="47"/>
      <c r="I286" s="47"/>
      <c r="J286" s="47"/>
      <c r="K286" s="46" t="s">
        <v>0</v>
      </c>
      <c r="L286" s="47"/>
      <c r="M286" s="47"/>
      <c r="N286" s="47"/>
      <c r="O286" s="48"/>
    </row>
    <row r="287" spans="1:15" ht="15" x14ac:dyDescent="0.35">
      <c r="A287" s="1"/>
      <c r="B287" s="2"/>
      <c r="C287" s="2"/>
      <c r="D287" s="2"/>
      <c r="E287" s="4"/>
      <c r="F287" s="1"/>
      <c r="G287" s="2"/>
      <c r="H287" s="2"/>
      <c r="I287" s="2"/>
      <c r="J287" s="2"/>
      <c r="K287" s="1"/>
      <c r="L287" s="2"/>
      <c r="M287" s="2"/>
      <c r="N287" s="2"/>
      <c r="O287" s="3"/>
    </row>
    <row r="288" spans="1:15" ht="15" x14ac:dyDescent="0.35">
      <c r="A288" s="1" t="s">
        <v>1</v>
      </c>
      <c r="B288" s="2" t="s">
        <v>2</v>
      </c>
      <c r="C288" s="50" t="s">
        <v>43</v>
      </c>
      <c r="D288" s="50"/>
      <c r="E288" s="5">
        <v>22</v>
      </c>
      <c r="F288" s="1" t="s">
        <v>1</v>
      </c>
      <c r="G288" s="2" t="s">
        <v>2</v>
      </c>
      <c r="H288" s="50" t="s">
        <v>44</v>
      </c>
      <c r="I288" s="50"/>
      <c r="J288" s="5">
        <v>21</v>
      </c>
      <c r="K288" s="1" t="s">
        <v>1</v>
      </c>
      <c r="L288" s="2" t="s">
        <v>2</v>
      </c>
      <c r="M288" s="50" t="s">
        <v>45</v>
      </c>
      <c r="N288" s="50"/>
      <c r="O288" s="33">
        <v>24</v>
      </c>
    </row>
    <row r="289" spans="1:15" ht="15" x14ac:dyDescent="0.35">
      <c r="A289" s="1" t="s">
        <v>4</v>
      </c>
      <c r="B289" s="5" t="s">
        <v>2</v>
      </c>
      <c r="C289" s="5"/>
      <c r="D289" s="2"/>
      <c r="E289" s="5"/>
      <c r="F289" s="1" t="s">
        <v>4</v>
      </c>
      <c r="G289" s="2" t="s">
        <v>2</v>
      </c>
      <c r="H289" s="2"/>
      <c r="I289" s="2"/>
      <c r="J289" s="2"/>
      <c r="K289" s="1" t="s">
        <v>4</v>
      </c>
      <c r="L289" s="2" t="s">
        <v>2</v>
      </c>
      <c r="M289" s="2"/>
      <c r="N289" s="2"/>
      <c r="O289" s="3"/>
    </row>
    <row r="290" spans="1:15" ht="15" x14ac:dyDescent="0.35">
      <c r="A290" s="1" t="s">
        <v>5</v>
      </c>
      <c r="B290" s="2"/>
      <c r="C290" s="5" t="s">
        <v>2</v>
      </c>
      <c r="D290" s="7">
        <v>100000</v>
      </c>
      <c r="E290" s="2"/>
      <c r="F290" s="1" t="s">
        <v>5</v>
      </c>
      <c r="G290" s="2"/>
      <c r="H290" s="2" t="s">
        <v>2</v>
      </c>
      <c r="I290" s="25">
        <f>[28]krnmei!$C$894</f>
        <v>100000</v>
      </c>
      <c r="J290" s="2"/>
      <c r="K290" s="1" t="s">
        <v>5</v>
      </c>
      <c r="L290" s="2"/>
      <c r="M290" s="2" t="s">
        <v>2</v>
      </c>
      <c r="N290" s="25">
        <f>[8]krnmei!$C$912</f>
        <v>100000</v>
      </c>
      <c r="O290" s="3"/>
    </row>
    <row r="291" spans="1:15" ht="15" x14ac:dyDescent="0.35">
      <c r="A291" s="1" t="s">
        <v>6</v>
      </c>
      <c r="B291" s="2"/>
      <c r="C291" s="5" t="s">
        <v>2</v>
      </c>
      <c r="D291" s="7">
        <v>10000</v>
      </c>
      <c r="E291" s="2"/>
      <c r="F291" s="1" t="s">
        <v>6</v>
      </c>
      <c r="G291" s="2"/>
      <c r="H291" s="2" t="s">
        <v>2</v>
      </c>
      <c r="I291" s="25">
        <f>[32]krnmei!$D$889</f>
        <v>10000</v>
      </c>
      <c r="J291" s="2"/>
      <c r="K291" s="1" t="s">
        <v>6</v>
      </c>
      <c r="L291" s="2"/>
      <c r="M291" s="2" t="s">
        <v>2</v>
      </c>
      <c r="N291" s="25">
        <f>'[3]KARNING 2021'!$D$905</f>
        <v>10000</v>
      </c>
      <c r="O291" s="3"/>
    </row>
    <row r="292" spans="1:15" ht="15" x14ac:dyDescent="0.35">
      <c r="A292" s="1" t="s">
        <v>7</v>
      </c>
      <c r="B292" s="2"/>
      <c r="C292" s="5" t="s">
        <v>2</v>
      </c>
      <c r="D292" s="2">
        <v>0</v>
      </c>
      <c r="E292" s="2"/>
      <c r="F292" s="1" t="s">
        <v>7</v>
      </c>
      <c r="G292" s="2"/>
      <c r="H292" s="2" t="s">
        <v>2</v>
      </c>
      <c r="I292" s="25">
        <f>[24]krnmei!$E$895</f>
        <v>100000</v>
      </c>
      <c r="J292" s="2"/>
      <c r="K292" s="1" t="s">
        <v>7</v>
      </c>
      <c r="L292" s="2"/>
      <c r="M292" s="2" t="s">
        <v>2</v>
      </c>
      <c r="N292" s="25">
        <f>[5]krnmei!$E$909</f>
        <v>100000</v>
      </c>
      <c r="O292" s="3"/>
    </row>
    <row r="293" spans="1:15" ht="15" x14ac:dyDescent="0.35">
      <c r="A293" s="1" t="s">
        <v>8</v>
      </c>
      <c r="B293" s="21">
        <v>24</v>
      </c>
      <c r="C293" s="5" t="s">
        <v>2</v>
      </c>
      <c r="D293" s="21">
        <f>[34]krnmei!$I$1013</f>
        <v>500000</v>
      </c>
      <c r="E293" s="2"/>
      <c r="F293" s="1" t="s">
        <v>8</v>
      </c>
      <c r="G293" s="21"/>
      <c r="H293" s="2" t="s">
        <v>2</v>
      </c>
      <c r="I293" s="25"/>
      <c r="J293" s="2"/>
      <c r="K293" s="1" t="s">
        <v>8</v>
      </c>
      <c r="L293" s="21">
        <v>22</v>
      </c>
      <c r="M293" s="2" t="s">
        <v>2</v>
      </c>
      <c r="N293" s="34">
        <f>[26]krnmei!$I$910</f>
        <v>600000</v>
      </c>
      <c r="O293" s="3"/>
    </row>
    <row r="294" spans="1:15" ht="15" x14ac:dyDescent="0.35">
      <c r="A294" s="1" t="s">
        <v>9</v>
      </c>
      <c r="B294" s="2"/>
      <c r="C294" s="5" t="s">
        <v>2</v>
      </c>
      <c r="D294" s="11">
        <f>[38]krnmei!$K$1009</f>
        <v>18750</v>
      </c>
      <c r="E294" s="2"/>
      <c r="F294" s="1" t="s">
        <v>9</v>
      </c>
      <c r="G294" s="2"/>
      <c r="H294" s="2" t="s">
        <v>2</v>
      </c>
      <c r="I294" s="11"/>
      <c r="J294" s="2"/>
      <c r="K294" s="1" t="s">
        <v>9</v>
      </c>
      <c r="L294" s="2"/>
      <c r="M294" s="2" t="s">
        <v>2</v>
      </c>
      <c r="N294" s="11">
        <f>[38]krnmei!$K$907</f>
        <v>186000</v>
      </c>
      <c r="O294" s="3"/>
    </row>
    <row r="295" spans="1:15" ht="15" x14ac:dyDescent="0.35">
      <c r="A295" s="1" t="s">
        <v>10</v>
      </c>
      <c r="B295" s="2"/>
      <c r="C295" s="5" t="s">
        <v>2</v>
      </c>
      <c r="D295" s="2">
        <v>0</v>
      </c>
      <c r="E295" s="2"/>
      <c r="F295" s="1" t="s">
        <v>10</v>
      </c>
      <c r="G295" s="2"/>
      <c r="H295" s="2" t="s">
        <v>2</v>
      </c>
      <c r="I295" s="8">
        <v>0</v>
      </c>
      <c r="J295" s="2"/>
      <c r="K295" s="1" t="s">
        <v>10</v>
      </c>
      <c r="L295" s="2"/>
      <c r="M295" s="2" t="s">
        <v>2</v>
      </c>
      <c r="N295" s="9">
        <v>0</v>
      </c>
      <c r="O295" s="3"/>
    </row>
    <row r="296" spans="1:15" ht="15" x14ac:dyDescent="0.35">
      <c r="A296" s="1" t="s">
        <v>11</v>
      </c>
      <c r="B296" s="2"/>
      <c r="C296" s="5" t="s">
        <v>2</v>
      </c>
      <c r="D296" s="2">
        <v>0</v>
      </c>
      <c r="E296" s="2"/>
      <c r="F296" s="1" t="s">
        <v>11</v>
      </c>
      <c r="G296" s="2"/>
      <c r="H296" s="2" t="s">
        <v>2</v>
      </c>
      <c r="I296" s="9">
        <f>[12]krnmei!$P$899</f>
        <v>60000</v>
      </c>
      <c r="J296" s="2"/>
      <c r="K296" s="1" t="s">
        <v>11</v>
      </c>
      <c r="L296" s="2"/>
      <c r="M296" s="2" t="s">
        <v>2</v>
      </c>
      <c r="N296" s="9">
        <v>0</v>
      </c>
      <c r="O296" s="3"/>
    </row>
    <row r="297" spans="1:15" ht="15" x14ac:dyDescent="0.35">
      <c r="A297" s="1" t="s">
        <v>12</v>
      </c>
      <c r="B297" s="2"/>
      <c r="C297" s="5" t="s">
        <v>2</v>
      </c>
      <c r="D297" s="2">
        <v>0</v>
      </c>
      <c r="E297" s="2"/>
      <c r="F297" s="1" t="s">
        <v>12</v>
      </c>
      <c r="G297" s="2"/>
      <c r="H297" s="2" t="s">
        <v>2</v>
      </c>
      <c r="I297" s="7"/>
      <c r="J297" s="2"/>
      <c r="K297" s="1" t="s">
        <v>12</v>
      </c>
      <c r="L297" s="2"/>
      <c r="M297" s="2" t="s">
        <v>2</v>
      </c>
      <c r="N297" s="25">
        <f>[5]krnmei!$F$909</f>
        <v>100000</v>
      </c>
      <c r="O297" s="3"/>
    </row>
    <row r="298" spans="1:15" ht="15" x14ac:dyDescent="0.35">
      <c r="A298" s="13" t="s">
        <v>13</v>
      </c>
      <c r="B298" s="5"/>
      <c r="C298" s="5" t="s">
        <v>2</v>
      </c>
      <c r="D298" s="14">
        <f>SUM(D290:D297)</f>
        <v>628750</v>
      </c>
      <c r="E298" s="2"/>
      <c r="F298" s="13" t="s">
        <v>13</v>
      </c>
      <c r="G298" s="5"/>
      <c r="H298" s="5" t="s">
        <v>2</v>
      </c>
      <c r="I298" s="24">
        <f>SUM(I290:I297)</f>
        <v>270000</v>
      </c>
      <c r="J298" s="2"/>
      <c r="K298" s="13" t="s">
        <v>13</v>
      </c>
      <c r="L298" s="5"/>
      <c r="M298" s="2" t="s">
        <v>2</v>
      </c>
      <c r="N298" s="24">
        <f>SUM(N290:N297)</f>
        <v>1096000</v>
      </c>
      <c r="O298" s="3"/>
    </row>
    <row r="299" spans="1:15" ht="15" x14ac:dyDescent="0.35">
      <c r="A299" s="1" t="s">
        <v>14</v>
      </c>
      <c r="B299" s="2"/>
      <c r="C299" s="2" t="s">
        <v>2</v>
      </c>
      <c r="D299" s="27">
        <f>[38]krnmei!$J$1009</f>
        <v>750000</v>
      </c>
      <c r="E299" s="2"/>
      <c r="F299" s="1" t="s">
        <v>14</v>
      </c>
      <c r="G299" s="2"/>
      <c r="H299" s="2" t="s">
        <v>2</v>
      </c>
      <c r="I299" s="27">
        <f>[12]krnmei!$O$899</f>
        <v>3000000</v>
      </c>
      <c r="J299" s="2"/>
      <c r="K299" s="1" t="s">
        <v>14</v>
      </c>
      <c r="L299" s="2"/>
      <c r="M299" s="2" t="s">
        <v>2</v>
      </c>
      <c r="N299" s="27">
        <f>[38]krnmei!$J$907</f>
        <v>11800000</v>
      </c>
      <c r="O299" s="3"/>
    </row>
    <row r="300" spans="1:15" ht="15" x14ac:dyDescent="0.35">
      <c r="A300" s="1"/>
      <c r="B300" s="2"/>
      <c r="C300" s="2"/>
      <c r="D300" s="2" t="str">
        <f>D281</f>
        <v>Grogol, 02 Maret  2026</v>
      </c>
      <c r="E300" s="2"/>
      <c r="F300" s="1"/>
      <c r="G300" s="2"/>
      <c r="H300" s="15"/>
      <c r="I300" s="15" t="str">
        <f>I281</f>
        <v>Grogol, 02 Maret  2026</v>
      </c>
      <c r="J300" s="15"/>
      <c r="K300" s="1"/>
      <c r="L300" s="2"/>
      <c r="M300" s="2"/>
      <c r="N300" s="2" t="str">
        <f>D167</f>
        <v>Grogol, 02 Maret  2026</v>
      </c>
      <c r="O300" s="3"/>
    </row>
    <row r="301" spans="1:15" ht="15" x14ac:dyDescent="0.35">
      <c r="A301" s="1"/>
      <c r="B301" s="2"/>
      <c r="C301" s="2"/>
      <c r="D301" s="15" t="s">
        <v>15</v>
      </c>
      <c r="E301" s="2"/>
      <c r="F301" s="1"/>
      <c r="G301" s="2"/>
      <c r="H301" s="2"/>
      <c r="I301" s="15" t="s">
        <v>15</v>
      </c>
      <c r="J301" s="2"/>
      <c r="K301" s="1"/>
      <c r="L301" s="2"/>
      <c r="M301" s="2"/>
      <c r="N301" s="15" t="s">
        <v>15</v>
      </c>
      <c r="O301" s="3"/>
    </row>
    <row r="302" spans="1:15" ht="15" x14ac:dyDescent="0.35">
      <c r="A302" s="1"/>
      <c r="B302" s="2"/>
      <c r="C302" s="2"/>
      <c r="D302" s="2"/>
      <c r="E302" s="2"/>
      <c r="F302" s="1"/>
      <c r="G302" s="2"/>
      <c r="H302" s="2"/>
      <c r="I302" s="15"/>
      <c r="J302" s="2"/>
      <c r="K302" s="1"/>
      <c r="L302" s="2"/>
      <c r="M302" s="2"/>
      <c r="N302" s="2"/>
      <c r="O302" s="3"/>
    </row>
    <row r="303" spans="1:15" ht="15" x14ac:dyDescent="0.35">
      <c r="A303" s="1"/>
      <c r="B303" s="2"/>
      <c r="C303" s="2"/>
      <c r="D303" s="2"/>
      <c r="E303" s="2"/>
      <c r="F303" s="1"/>
      <c r="G303" s="2"/>
      <c r="H303" s="2"/>
      <c r="I303" s="15"/>
      <c r="J303" s="2"/>
      <c r="K303" s="1"/>
      <c r="L303" s="2"/>
      <c r="M303" s="2"/>
      <c r="N303" s="2"/>
      <c r="O303" s="3"/>
    </row>
    <row r="304" spans="1:15" ht="15.6" thickBot="1" x14ac:dyDescent="0.4">
      <c r="A304" s="17"/>
      <c r="B304" s="18"/>
      <c r="C304" s="18"/>
      <c r="D304" s="19" t="s">
        <v>16</v>
      </c>
      <c r="E304" s="18"/>
      <c r="F304" s="17"/>
      <c r="G304" s="18"/>
      <c r="H304" s="18"/>
      <c r="I304" s="19" t="s">
        <v>16</v>
      </c>
      <c r="J304" s="18"/>
      <c r="K304" s="17"/>
      <c r="L304" s="18"/>
      <c r="M304" s="18"/>
      <c r="N304" s="19" t="s">
        <v>16</v>
      </c>
      <c r="O304" s="20"/>
    </row>
    <row r="305" spans="1:15" ht="15" x14ac:dyDescent="0.35">
      <c r="A305" s="46" t="s">
        <v>0</v>
      </c>
      <c r="B305" s="47"/>
      <c r="C305" s="47"/>
      <c r="D305" s="47"/>
      <c r="E305" s="47"/>
      <c r="F305" s="46" t="s">
        <v>0</v>
      </c>
      <c r="G305" s="47"/>
      <c r="H305" s="47"/>
      <c r="I305" s="47"/>
      <c r="J305" s="47"/>
      <c r="K305" s="46" t="s">
        <v>0</v>
      </c>
      <c r="L305" s="47"/>
      <c r="M305" s="47"/>
      <c r="N305" s="47"/>
      <c r="O305" s="48"/>
    </row>
    <row r="306" spans="1:15" ht="15" x14ac:dyDescent="0.35">
      <c r="A306" s="1"/>
      <c r="B306" s="2"/>
      <c r="C306" s="2"/>
      <c r="D306" s="2"/>
      <c r="E306" s="2"/>
      <c r="F306" s="1"/>
      <c r="G306" s="2"/>
      <c r="H306" s="2"/>
      <c r="I306" s="2"/>
      <c r="J306" s="2"/>
      <c r="K306" s="1"/>
      <c r="L306" s="2"/>
      <c r="M306" s="2"/>
      <c r="N306" s="2"/>
      <c r="O306" s="3"/>
    </row>
    <row r="307" spans="1:15" ht="15" x14ac:dyDescent="0.35">
      <c r="A307" s="1" t="s">
        <v>1</v>
      </c>
      <c r="B307" s="2" t="s">
        <v>2</v>
      </c>
      <c r="C307" s="51" t="s">
        <v>46</v>
      </c>
      <c r="D307" s="51"/>
      <c r="E307" s="4">
        <v>36</v>
      </c>
      <c r="F307" s="1" t="s">
        <v>1</v>
      </c>
      <c r="G307" s="2" t="s">
        <v>2</v>
      </c>
      <c r="H307" s="50" t="str">
        <f>[17]krnmei!$B$1140</f>
        <v>SITI RODIYAH</v>
      </c>
      <c r="I307" s="50"/>
      <c r="J307" s="4">
        <v>18</v>
      </c>
      <c r="K307" s="1" t="s">
        <v>1</v>
      </c>
      <c r="L307" s="2"/>
      <c r="M307" s="5" t="s">
        <v>2</v>
      </c>
      <c r="N307" s="5" t="s">
        <v>68</v>
      </c>
      <c r="O307" s="6">
        <v>25</v>
      </c>
    </row>
    <row r="308" spans="1:15" ht="15" x14ac:dyDescent="0.35">
      <c r="A308" s="1" t="s">
        <v>4</v>
      </c>
      <c r="B308" s="2"/>
      <c r="C308" s="2" t="s">
        <v>2</v>
      </c>
      <c r="D308" s="2"/>
      <c r="F308" s="1" t="s">
        <v>4</v>
      </c>
      <c r="G308" s="2"/>
      <c r="H308" s="2" t="s">
        <v>2</v>
      </c>
      <c r="I308" s="2"/>
      <c r="J308" s="2"/>
      <c r="K308" s="1" t="s">
        <v>4</v>
      </c>
      <c r="L308" s="2"/>
      <c r="M308" s="2" t="s">
        <v>2</v>
      </c>
      <c r="N308" s="2"/>
      <c r="O308" s="3"/>
    </row>
    <row r="309" spans="1:15" ht="15" x14ac:dyDescent="0.35">
      <c r="A309" s="1" t="s">
        <v>5</v>
      </c>
      <c r="B309" s="2"/>
      <c r="C309" s="2" t="s">
        <v>2</v>
      </c>
      <c r="D309" s="25">
        <f>'[3]KARNING 2021'!$C$922</f>
        <v>15000</v>
      </c>
      <c r="E309" s="2"/>
      <c r="F309" s="1" t="s">
        <v>5</v>
      </c>
      <c r="G309" s="2"/>
      <c r="H309" s="2" t="s">
        <v>2</v>
      </c>
      <c r="I309" s="25">
        <f>[17]krnmei!$C$1145</f>
        <v>100000</v>
      </c>
      <c r="J309" s="2"/>
      <c r="K309" s="1" t="s">
        <v>5</v>
      </c>
      <c r="L309" s="2"/>
      <c r="M309" s="2" t="s">
        <v>2</v>
      </c>
      <c r="N309" s="25">
        <v>100000</v>
      </c>
      <c r="O309" s="3"/>
    </row>
    <row r="310" spans="1:15" ht="15" x14ac:dyDescent="0.35">
      <c r="A310" s="1" t="s">
        <v>6</v>
      </c>
      <c r="B310" s="2"/>
      <c r="C310" s="2" t="s">
        <v>2</v>
      </c>
      <c r="D310" s="25">
        <f>'[3]KARNING 2021'!$D$922</f>
        <v>35000</v>
      </c>
      <c r="E310" s="2"/>
      <c r="F310" s="1" t="s">
        <v>6</v>
      </c>
      <c r="G310" s="2"/>
      <c r="H310" s="2" t="s">
        <v>2</v>
      </c>
      <c r="I310" s="25">
        <f>[32]krnmei!$D$1144</f>
        <v>100000</v>
      </c>
      <c r="J310" s="2"/>
      <c r="K310" s="1" t="s">
        <v>6</v>
      </c>
      <c r="L310" s="2"/>
      <c r="M310" s="2" t="s">
        <v>2</v>
      </c>
      <c r="N310" s="25">
        <v>50000</v>
      </c>
      <c r="O310" s="3"/>
    </row>
    <row r="311" spans="1:15" ht="15" x14ac:dyDescent="0.35">
      <c r="A311" s="1" t="s">
        <v>7</v>
      </c>
      <c r="B311" s="2"/>
      <c r="C311" s="2" t="s">
        <v>2</v>
      </c>
      <c r="D311" s="25">
        <f>'[3]KARNING 2021'!$E$922</f>
        <v>50000</v>
      </c>
      <c r="E311" s="2"/>
      <c r="F311" s="1" t="s">
        <v>7</v>
      </c>
      <c r="G311" s="2"/>
      <c r="H311" s="2" t="s">
        <v>2</v>
      </c>
      <c r="I311" s="25">
        <f>[5]krnmei!$E$1147</f>
        <v>300000</v>
      </c>
      <c r="J311" s="2"/>
      <c r="K311" s="1" t="s">
        <v>7</v>
      </c>
      <c r="L311" s="2"/>
      <c r="M311" s="2" t="s">
        <v>2</v>
      </c>
      <c r="N311" s="8">
        <v>100000</v>
      </c>
      <c r="O311" s="3"/>
    </row>
    <row r="312" spans="1:15" ht="15" x14ac:dyDescent="0.35">
      <c r="A312" s="1" t="s">
        <v>8</v>
      </c>
      <c r="B312" s="2"/>
      <c r="C312" s="2" t="s">
        <v>2</v>
      </c>
      <c r="D312" s="25"/>
      <c r="E312" s="2"/>
      <c r="F312" s="1" t="s">
        <v>8</v>
      </c>
      <c r="G312" s="21">
        <v>20</v>
      </c>
      <c r="H312" s="2" t="s">
        <v>2</v>
      </c>
      <c r="I312" s="25">
        <v>0</v>
      </c>
      <c r="J312" s="2"/>
      <c r="K312" s="1" t="s">
        <v>8</v>
      </c>
      <c r="L312" s="21">
        <v>0</v>
      </c>
      <c r="M312" s="2" t="s">
        <v>2</v>
      </c>
      <c r="N312" s="11">
        <v>0</v>
      </c>
      <c r="O312" s="3"/>
    </row>
    <row r="313" spans="1:15" ht="15" x14ac:dyDescent="0.35">
      <c r="A313" s="1" t="s">
        <v>9</v>
      </c>
      <c r="B313" s="2"/>
      <c r="C313" s="2" t="s">
        <v>2</v>
      </c>
      <c r="D313" s="25"/>
      <c r="E313" s="2"/>
      <c r="F313" s="1" t="s">
        <v>9</v>
      </c>
      <c r="G313" s="2"/>
      <c r="H313" s="2" t="s">
        <v>2</v>
      </c>
      <c r="I313" s="31">
        <f>[38]krnmei!$J$1144</f>
        <v>0</v>
      </c>
      <c r="J313" s="2"/>
      <c r="K313" s="1" t="s">
        <v>9</v>
      </c>
      <c r="L313" s="2"/>
      <c r="M313" s="2" t="s">
        <v>2</v>
      </c>
      <c r="N313" s="11">
        <v>0</v>
      </c>
      <c r="O313" s="3"/>
    </row>
    <row r="314" spans="1:15" ht="15" x14ac:dyDescent="0.35">
      <c r="A314" s="1" t="s">
        <v>10</v>
      </c>
      <c r="B314" s="2"/>
      <c r="C314" s="2" t="s">
        <v>2</v>
      </c>
      <c r="D314" s="8"/>
      <c r="E314" s="2"/>
      <c r="F314" s="1" t="s">
        <v>10</v>
      </c>
      <c r="G314" s="2"/>
      <c r="H314" s="2" t="s">
        <v>2</v>
      </c>
      <c r="I314" s="8">
        <v>0</v>
      </c>
      <c r="J314" s="2"/>
      <c r="K314" s="1" t="s">
        <v>10</v>
      </c>
      <c r="L314" s="2"/>
      <c r="M314" s="2" t="s">
        <v>2</v>
      </c>
      <c r="N314" s="8">
        <v>0</v>
      </c>
      <c r="O314" s="3"/>
    </row>
    <row r="315" spans="1:15" ht="15" x14ac:dyDescent="0.35">
      <c r="A315" s="1" t="s">
        <v>11</v>
      </c>
      <c r="B315" s="2"/>
      <c r="C315" s="2" t="s">
        <v>2</v>
      </c>
      <c r="D315" s="9"/>
      <c r="E315" s="2"/>
      <c r="F315" s="1" t="s">
        <v>11</v>
      </c>
      <c r="G315" s="2"/>
      <c r="H315" s="2" t="s">
        <v>2</v>
      </c>
      <c r="I315" s="9">
        <v>0</v>
      </c>
      <c r="J315" s="2"/>
      <c r="K315" s="1" t="s">
        <v>11</v>
      </c>
      <c r="L315" s="2"/>
      <c r="M315" s="2" t="s">
        <v>2</v>
      </c>
      <c r="N315" s="9">
        <f>[32]krnmei!$P$1127</f>
        <v>0</v>
      </c>
      <c r="O315" s="3"/>
    </row>
    <row r="316" spans="1:15" ht="15" x14ac:dyDescent="0.35">
      <c r="A316" s="1" t="s">
        <v>12</v>
      </c>
      <c r="B316" s="2"/>
      <c r="C316" s="2" t="s">
        <v>2</v>
      </c>
      <c r="D316" s="7"/>
      <c r="E316" s="2"/>
      <c r="F316" s="1" t="s">
        <v>12</v>
      </c>
      <c r="G316" s="2"/>
      <c r="H316" s="2" t="s">
        <v>2</v>
      </c>
      <c r="I316" s="8">
        <f>[17]krnmei!$F$1145</f>
        <v>50000</v>
      </c>
      <c r="J316" s="2"/>
      <c r="K316" s="1" t="s">
        <v>12</v>
      </c>
      <c r="L316" s="2"/>
      <c r="M316" s="2" t="s">
        <v>2</v>
      </c>
      <c r="N316" s="8">
        <v>50000</v>
      </c>
      <c r="O316" s="3"/>
    </row>
    <row r="317" spans="1:15" ht="15" x14ac:dyDescent="0.35">
      <c r="A317" s="13" t="s">
        <v>13</v>
      </c>
      <c r="B317" s="5"/>
      <c r="C317" s="5" t="s">
        <v>2</v>
      </c>
      <c r="D317" s="24">
        <f>SUM(D309:D316)</f>
        <v>100000</v>
      </c>
      <c r="E317" s="2"/>
      <c r="F317" s="13" t="s">
        <v>13</v>
      </c>
      <c r="G317" s="5"/>
      <c r="H317" s="5"/>
      <c r="I317" s="24">
        <f>SUM(I309:I316)</f>
        <v>550000</v>
      </c>
      <c r="J317" s="2"/>
      <c r="K317" s="13" t="s">
        <v>13</v>
      </c>
      <c r="L317" s="5"/>
      <c r="M317" s="5" t="s">
        <v>2</v>
      </c>
      <c r="N317" s="24">
        <f>N309+N310+N311+N316+N315</f>
        <v>300000</v>
      </c>
      <c r="O317" s="3"/>
    </row>
    <row r="318" spans="1:15" ht="15" x14ac:dyDescent="0.35">
      <c r="A318" s="1" t="s">
        <v>14</v>
      </c>
      <c r="B318" s="2"/>
      <c r="C318" s="2" t="s">
        <v>2</v>
      </c>
      <c r="D318" s="25">
        <v>0</v>
      </c>
      <c r="E318" s="2"/>
      <c r="F318" s="1" t="s">
        <v>14</v>
      </c>
      <c r="G318" s="2"/>
      <c r="H318" s="2"/>
      <c r="I318" s="25">
        <f>[39]krnmei!$J$1144</f>
        <v>0</v>
      </c>
      <c r="J318" s="2"/>
      <c r="K318" s="1" t="s">
        <v>14</v>
      </c>
      <c r="L318" s="2"/>
      <c r="M318" s="2" t="s">
        <v>2</v>
      </c>
      <c r="N318" s="25">
        <v>0</v>
      </c>
      <c r="O318" s="3"/>
    </row>
    <row r="319" spans="1:15" ht="15" x14ac:dyDescent="0.35">
      <c r="A319" s="1"/>
      <c r="B319" s="2"/>
      <c r="C319" s="15"/>
      <c r="D319" s="15" t="str">
        <f>I300</f>
        <v>Grogol, 02 Maret  2026</v>
      </c>
      <c r="E319" s="2"/>
      <c r="F319" s="1"/>
      <c r="G319" s="2"/>
      <c r="H319" s="15"/>
      <c r="I319" s="35" t="str">
        <f>D167</f>
        <v>Grogol, 02 Maret  2026</v>
      </c>
      <c r="J319" s="15"/>
      <c r="K319" s="1"/>
      <c r="L319" s="2"/>
      <c r="M319" s="15"/>
      <c r="N319" s="35" t="str">
        <f>D167</f>
        <v>Grogol, 02 Maret  2026</v>
      </c>
      <c r="O319" s="16"/>
    </row>
    <row r="320" spans="1:15" ht="15" x14ac:dyDescent="0.35">
      <c r="A320" s="1"/>
      <c r="B320" s="2"/>
      <c r="C320" s="2"/>
      <c r="D320" s="15" t="s">
        <v>15</v>
      </c>
      <c r="E320" s="15"/>
      <c r="F320" s="1"/>
      <c r="G320" s="2"/>
      <c r="H320" s="2"/>
      <c r="I320" s="15" t="s">
        <v>15</v>
      </c>
      <c r="J320" s="2"/>
      <c r="K320" s="1"/>
      <c r="L320" s="2"/>
      <c r="M320" s="2"/>
      <c r="N320" s="15" t="s">
        <v>15</v>
      </c>
      <c r="O320" s="3"/>
    </row>
    <row r="321" spans="1:15" ht="15" x14ac:dyDescent="0.35">
      <c r="A321" s="1"/>
      <c r="B321" s="2"/>
      <c r="C321" s="2"/>
      <c r="D321" s="15"/>
      <c r="E321" s="2"/>
      <c r="F321" s="1"/>
      <c r="G321" s="2"/>
      <c r="H321" s="2"/>
      <c r="I321" s="15"/>
      <c r="J321" s="2"/>
      <c r="K321" s="1"/>
      <c r="L321" s="2"/>
      <c r="M321" s="2"/>
      <c r="N321" s="15"/>
      <c r="O321" s="3"/>
    </row>
    <row r="322" spans="1:15" ht="15" x14ac:dyDescent="0.35">
      <c r="A322" s="1"/>
      <c r="B322" s="2"/>
      <c r="C322" s="2"/>
      <c r="D322" s="15"/>
      <c r="E322" s="2"/>
      <c r="F322" s="1"/>
      <c r="G322" s="2"/>
      <c r="H322" s="2"/>
      <c r="I322" s="15"/>
      <c r="J322" s="2"/>
      <c r="K322" s="1"/>
      <c r="L322" s="2"/>
      <c r="M322" s="2"/>
      <c r="N322" s="15"/>
      <c r="O322" s="3"/>
    </row>
    <row r="323" spans="1:15" ht="15.6" thickBot="1" x14ac:dyDescent="0.4">
      <c r="A323" s="17"/>
      <c r="B323" s="18"/>
      <c r="C323" s="18"/>
      <c r="D323" s="19" t="s">
        <v>16</v>
      </c>
      <c r="E323" s="18"/>
      <c r="F323" s="17"/>
      <c r="G323" s="18"/>
      <c r="H323" s="18"/>
      <c r="I323" s="19" t="s">
        <v>16</v>
      </c>
      <c r="J323" s="18"/>
      <c r="K323" s="17"/>
      <c r="L323" s="18"/>
      <c r="M323" s="18"/>
      <c r="N323" s="19" t="s">
        <v>16</v>
      </c>
      <c r="O323" s="20"/>
    </row>
    <row r="324" spans="1:15" ht="15" x14ac:dyDescent="0.35">
      <c r="A324" s="46" t="s">
        <v>0</v>
      </c>
      <c r="B324" s="47"/>
      <c r="C324" s="47"/>
      <c r="D324" s="47"/>
      <c r="E324" s="47"/>
      <c r="F324" s="46" t="s">
        <v>0</v>
      </c>
      <c r="G324" s="47"/>
      <c r="H324" s="47"/>
      <c r="I324" s="47"/>
      <c r="J324" s="47"/>
      <c r="K324" s="46" t="s">
        <v>0</v>
      </c>
      <c r="L324" s="47"/>
      <c r="M324" s="47"/>
      <c r="N324" s="47"/>
      <c r="O324" s="48"/>
    </row>
    <row r="325" spans="1:15" ht="15" x14ac:dyDescent="0.35">
      <c r="A325" s="1"/>
      <c r="B325" s="2"/>
      <c r="C325" s="2"/>
      <c r="D325" s="2"/>
      <c r="E325" s="4"/>
      <c r="F325" s="1"/>
      <c r="G325" s="2"/>
      <c r="H325" s="2"/>
      <c r="I325" s="2"/>
      <c r="J325" s="2"/>
      <c r="K325" s="1"/>
      <c r="L325" s="2"/>
      <c r="M325" s="2"/>
      <c r="N325" s="2"/>
      <c r="O325" s="3"/>
    </row>
    <row r="326" spans="1:15" ht="15" x14ac:dyDescent="0.35">
      <c r="A326" s="1" t="s">
        <v>1</v>
      </c>
      <c r="B326" s="2" t="s">
        <v>2</v>
      </c>
      <c r="C326" s="51" t="s">
        <v>47</v>
      </c>
      <c r="D326" s="51"/>
      <c r="E326" s="4">
        <v>37</v>
      </c>
      <c r="F326" s="1" t="s">
        <v>1</v>
      </c>
      <c r="G326" s="2" t="s">
        <v>2</v>
      </c>
      <c r="H326" s="50" t="s">
        <v>48</v>
      </c>
      <c r="I326" s="50"/>
      <c r="J326" s="4">
        <v>42</v>
      </c>
      <c r="K326" s="1" t="s">
        <v>1</v>
      </c>
      <c r="L326" s="24"/>
      <c r="M326" s="5" t="s">
        <v>2</v>
      </c>
      <c r="N326" s="5" t="s">
        <v>67</v>
      </c>
      <c r="O326" s="6">
        <v>26</v>
      </c>
    </row>
    <row r="327" spans="1:15" ht="15" x14ac:dyDescent="0.35">
      <c r="A327" s="1" t="s">
        <v>4</v>
      </c>
      <c r="B327" s="2"/>
      <c r="C327" s="2" t="s">
        <v>2</v>
      </c>
      <c r="D327" s="2"/>
      <c r="F327" s="1" t="s">
        <v>4</v>
      </c>
      <c r="G327" s="2"/>
      <c r="H327" s="2" t="s">
        <v>2</v>
      </c>
      <c r="I327" s="2"/>
      <c r="J327" s="2"/>
      <c r="K327" s="1" t="s">
        <v>4</v>
      </c>
      <c r="L327" s="2"/>
      <c r="M327" s="2"/>
      <c r="N327" s="2"/>
      <c r="O327" s="3"/>
    </row>
    <row r="328" spans="1:15" ht="15" x14ac:dyDescent="0.35">
      <c r="A328" s="1" t="s">
        <v>5</v>
      </c>
      <c r="B328" s="2"/>
      <c r="C328" s="2" t="s">
        <v>2</v>
      </c>
      <c r="D328" s="25">
        <f>'[3]KARNING 2021'!$C$973</f>
        <v>15000</v>
      </c>
      <c r="E328" s="2"/>
      <c r="F328" s="1" t="s">
        <v>5</v>
      </c>
      <c r="G328" s="2"/>
      <c r="H328" s="2" t="s">
        <v>2</v>
      </c>
      <c r="I328" s="25">
        <f>'[3]KARNING 2021'!$C$990</f>
        <v>100000</v>
      </c>
      <c r="J328" s="2"/>
      <c r="K328" s="1" t="s">
        <v>49</v>
      </c>
      <c r="L328" s="2"/>
      <c r="M328" s="2" t="s">
        <v>2</v>
      </c>
      <c r="N328" s="7">
        <v>100000</v>
      </c>
      <c r="O328" s="3"/>
    </row>
    <row r="329" spans="1:15" ht="15" x14ac:dyDescent="0.35">
      <c r="A329" s="1" t="s">
        <v>6</v>
      </c>
      <c r="B329" s="2"/>
      <c r="C329" s="2" t="s">
        <v>2</v>
      </c>
      <c r="D329" s="25">
        <f>'[3]KARNING 2021'!$D$973</f>
        <v>10000</v>
      </c>
      <c r="E329" s="2"/>
      <c r="F329" s="1" t="s">
        <v>6</v>
      </c>
      <c r="G329" s="2"/>
      <c r="H329" s="2" t="s">
        <v>2</v>
      </c>
      <c r="I329" s="25">
        <f>'[3]KARNING 2021'!$D$990</f>
        <v>75000</v>
      </c>
      <c r="J329" s="2"/>
      <c r="K329" s="1" t="s">
        <v>6</v>
      </c>
      <c r="L329" s="2"/>
      <c r="M329" s="2" t="s">
        <v>2</v>
      </c>
      <c r="N329" s="7">
        <v>50000</v>
      </c>
      <c r="O329" s="3"/>
    </row>
    <row r="330" spans="1:15" ht="15" x14ac:dyDescent="0.35">
      <c r="A330" s="1" t="s">
        <v>7</v>
      </c>
      <c r="B330" s="2"/>
      <c r="C330" s="2" t="s">
        <v>2</v>
      </c>
      <c r="D330" s="25">
        <f>[21]krnmei!$E$978</f>
        <v>500000</v>
      </c>
      <c r="E330" s="2"/>
      <c r="F330" s="1" t="s">
        <v>7</v>
      </c>
      <c r="G330" s="2"/>
      <c r="H330" s="2" t="s">
        <v>2</v>
      </c>
      <c r="I330" s="25">
        <f>'[3]KARNING 2021'!$E$990</f>
        <v>100000</v>
      </c>
      <c r="J330" s="2"/>
      <c r="K330" s="1" t="s">
        <v>7</v>
      </c>
      <c r="L330" s="2"/>
      <c r="M330" s="2" t="s">
        <v>2</v>
      </c>
      <c r="N330" s="7">
        <v>100000</v>
      </c>
      <c r="O330" s="3"/>
    </row>
    <row r="331" spans="1:15" ht="15" x14ac:dyDescent="0.35">
      <c r="A331" s="1" t="s">
        <v>8</v>
      </c>
      <c r="B331" s="7">
        <v>36</v>
      </c>
      <c r="C331" s="2" t="s">
        <v>2</v>
      </c>
      <c r="D331" s="25">
        <f>'[3]KARNING 2021'!$I$973</f>
        <v>200000</v>
      </c>
      <c r="E331" s="2"/>
      <c r="F331" s="1" t="s">
        <v>8</v>
      </c>
      <c r="G331" s="7">
        <v>31</v>
      </c>
      <c r="H331" s="2" t="s">
        <v>2</v>
      </c>
      <c r="I331" s="25">
        <f>[26]krnmei!$I$995</f>
        <v>1500000</v>
      </c>
      <c r="J331" s="2"/>
      <c r="K331" s="1" t="s">
        <v>8</v>
      </c>
      <c r="L331" s="2"/>
      <c r="M331" s="2" t="s">
        <v>2</v>
      </c>
      <c r="N331" s="7"/>
      <c r="O331" s="3"/>
    </row>
    <row r="332" spans="1:15" ht="15" x14ac:dyDescent="0.35">
      <c r="A332" s="1" t="s">
        <v>9</v>
      </c>
      <c r="B332" s="2"/>
      <c r="C332" s="2" t="s">
        <v>2</v>
      </c>
      <c r="D332" s="11">
        <f>[38]krnmei!$K$975</f>
        <v>27000</v>
      </c>
      <c r="E332" s="2"/>
      <c r="F332" s="1" t="s">
        <v>9</v>
      </c>
      <c r="G332" s="7"/>
      <c r="H332" s="2" t="s">
        <v>2</v>
      </c>
      <c r="I332" s="11">
        <f>[38]krnmei!$K$992</f>
        <v>187500</v>
      </c>
      <c r="J332" s="2"/>
      <c r="K332" s="1" t="s">
        <v>9</v>
      </c>
      <c r="L332" s="2"/>
      <c r="M332" s="2" t="s">
        <v>2</v>
      </c>
      <c r="N332" s="11"/>
      <c r="O332" s="3"/>
    </row>
    <row r="333" spans="1:15" ht="15" x14ac:dyDescent="0.35">
      <c r="A333" s="1" t="s">
        <v>10</v>
      </c>
      <c r="B333" s="7"/>
      <c r="C333" s="2" t="s">
        <v>2</v>
      </c>
      <c r="D333" s="8">
        <v>0</v>
      </c>
      <c r="E333" s="2"/>
      <c r="F333" s="1" t="s">
        <v>10</v>
      </c>
      <c r="G333" s="7"/>
      <c r="H333" s="2" t="s">
        <v>2</v>
      </c>
      <c r="I333" s="8">
        <v>0</v>
      </c>
      <c r="J333" s="2"/>
      <c r="K333" s="1" t="s">
        <v>10</v>
      </c>
      <c r="L333" s="2"/>
      <c r="M333" s="2" t="s">
        <v>2</v>
      </c>
      <c r="N333" s="7"/>
      <c r="O333" s="3"/>
    </row>
    <row r="334" spans="1:15" ht="15" x14ac:dyDescent="0.35">
      <c r="A334" s="1" t="s">
        <v>11</v>
      </c>
      <c r="B334" s="2"/>
      <c r="C334" s="2" t="s">
        <v>2</v>
      </c>
      <c r="D334" s="8">
        <v>0</v>
      </c>
      <c r="E334" s="2"/>
      <c r="F334" s="1" t="s">
        <v>11</v>
      </c>
      <c r="G334" s="2"/>
      <c r="H334" s="2" t="s">
        <v>2</v>
      </c>
      <c r="I334" s="8">
        <v>0</v>
      </c>
      <c r="J334" s="2"/>
      <c r="K334" s="1" t="s">
        <v>11</v>
      </c>
      <c r="L334" s="2"/>
      <c r="M334" s="2" t="s">
        <v>2</v>
      </c>
      <c r="N334" s="2"/>
      <c r="O334" s="3"/>
    </row>
    <row r="335" spans="1:15" ht="15" x14ac:dyDescent="0.35">
      <c r="A335" s="1" t="s">
        <v>12</v>
      </c>
      <c r="B335" s="2"/>
      <c r="C335" s="2" t="s">
        <v>2</v>
      </c>
      <c r="D335" s="7">
        <f>'[3]KARNING 2021'!$F$973</f>
        <v>50000</v>
      </c>
      <c r="E335" s="2"/>
      <c r="F335" s="1" t="s">
        <v>12</v>
      </c>
      <c r="G335" s="2"/>
      <c r="H335" s="2" t="s">
        <v>2</v>
      </c>
      <c r="I335" s="8">
        <f>'[3]KARNING 2021'!$F$990</f>
        <v>50000</v>
      </c>
      <c r="J335" s="2"/>
      <c r="K335" s="1" t="s">
        <v>12</v>
      </c>
      <c r="L335" s="2"/>
      <c r="M335" s="2" t="s">
        <v>2</v>
      </c>
      <c r="N335" s="8">
        <v>100000</v>
      </c>
      <c r="O335" s="3"/>
    </row>
    <row r="336" spans="1:15" ht="15" x14ac:dyDescent="0.35">
      <c r="A336" s="13" t="s">
        <v>13</v>
      </c>
      <c r="B336" s="5"/>
      <c r="C336" s="5" t="s">
        <v>2</v>
      </c>
      <c r="D336" s="24">
        <f>SUM(D328:D335)</f>
        <v>802000</v>
      </c>
      <c r="E336" s="2"/>
      <c r="F336" s="13" t="s">
        <v>13</v>
      </c>
      <c r="G336" s="5"/>
      <c r="H336" s="5" t="s">
        <v>2</v>
      </c>
      <c r="I336" s="24">
        <f>SUM(I328:I335)</f>
        <v>2012500</v>
      </c>
      <c r="J336" s="2"/>
      <c r="K336" s="13" t="s">
        <v>13</v>
      </c>
      <c r="L336" s="5"/>
      <c r="M336" s="5"/>
      <c r="N336" s="24">
        <f>SUM(N328:N335)</f>
        <v>350000</v>
      </c>
      <c r="O336" s="3"/>
    </row>
    <row r="337" spans="1:15" ht="15" x14ac:dyDescent="0.35">
      <c r="A337" s="1" t="s">
        <v>14</v>
      </c>
      <c r="B337" s="2"/>
      <c r="C337" s="2" t="s">
        <v>2</v>
      </c>
      <c r="D337" s="25">
        <f>[38]krnmei!$J$975</f>
        <v>1600000</v>
      </c>
      <c r="E337" s="2"/>
      <c r="F337" s="1" t="s">
        <v>14</v>
      </c>
      <c r="G337" s="2"/>
      <c r="H337" s="2" t="s">
        <v>2</v>
      </c>
      <c r="I337" s="32">
        <f>[38]krnmei!$J$992</f>
        <v>16000000</v>
      </c>
      <c r="J337" s="2"/>
      <c r="K337" s="1" t="s">
        <v>14</v>
      </c>
      <c r="L337" s="2"/>
      <c r="M337" s="2" t="s">
        <v>2</v>
      </c>
      <c r="N337" s="32">
        <f>[24]krnmei!$J$1014</f>
        <v>0</v>
      </c>
      <c r="O337" s="3"/>
    </row>
    <row r="338" spans="1:15" ht="15" x14ac:dyDescent="0.35">
      <c r="A338" s="1"/>
      <c r="B338" s="2"/>
      <c r="C338" s="15"/>
      <c r="D338" s="35" t="str">
        <f>D167</f>
        <v>Grogol, 02 Maret  2026</v>
      </c>
      <c r="E338" s="2"/>
      <c r="F338" s="1"/>
      <c r="G338" s="2"/>
      <c r="H338" s="15"/>
      <c r="I338" s="35" t="str">
        <f>D167</f>
        <v>Grogol, 02 Maret  2026</v>
      </c>
      <c r="J338" s="15"/>
      <c r="K338" s="1"/>
      <c r="L338" s="49" t="str">
        <f>I338</f>
        <v>Grogol, 02 Maret  2026</v>
      </c>
      <c r="M338" s="49"/>
      <c r="N338" s="49"/>
      <c r="O338" s="16"/>
    </row>
    <row r="339" spans="1:15" ht="15" x14ac:dyDescent="0.35">
      <c r="A339" s="1"/>
      <c r="B339" s="2"/>
      <c r="C339" s="2"/>
      <c r="D339" s="15" t="s">
        <v>15</v>
      </c>
      <c r="E339" s="15"/>
      <c r="F339" s="1"/>
      <c r="G339" s="2"/>
      <c r="H339" s="2"/>
      <c r="I339" s="15" t="s">
        <v>15</v>
      </c>
      <c r="J339" s="2"/>
      <c r="K339" s="1"/>
      <c r="L339" s="2"/>
      <c r="M339" s="2"/>
      <c r="N339" s="15" t="s">
        <v>15</v>
      </c>
      <c r="O339" s="3"/>
    </row>
    <row r="340" spans="1:15" ht="15" x14ac:dyDescent="0.35">
      <c r="A340" s="1"/>
      <c r="B340" s="2"/>
      <c r="C340" s="2"/>
      <c r="D340" s="15"/>
      <c r="E340" s="2"/>
      <c r="F340" s="1"/>
      <c r="G340" s="2"/>
      <c r="H340" s="2"/>
      <c r="I340" s="15"/>
      <c r="J340" s="2"/>
      <c r="K340" s="1"/>
      <c r="L340" s="2"/>
      <c r="M340" s="2"/>
      <c r="N340" s="2"/>
      <c r="O340" s="3"/>
    </row>
    <row r="341" spans="1:15" ht="15" x14ac:dyDescent="0.35">
      <c r="A341" s="1"/>
      <c r="B341" s="2"/>
      <c r="C341" s="2"/>
      <c r="D341" s="15"/>
      <c r="E341" s="2"/>
      <c r="F341" s="1"/>
      <c r="G341" s="2"/>
      <c r="H341" s="2"/>
      <c r="I341" s="15"/>
      <c r="J341" s="2"/>
      <c r="K341" s="1"/>
      <c r="L341" s="2"/>
      <c r="M341" s="2"/>
      <c r="N341" s="2"/>
      <c r="O341" s="3"/>
    </row>
    <row r="342" spans="1:15" ht="15.6" thickBot="1" x14ac:dyDescent="0.4">
      <c r="A342" s="17"/>
      <c r="B342" s="18"/>
      <c r="C342" s="18"/>
      <c r="D342" s="19" t="s">
        <v>16</v>
      </c>
      <c r="E342" s="18"/>
      <c r="F342" s="17"/>
      <c r="G342" s="18"/>
      <c r="H342" s="18"/>
      <c r="I342" s="19" t="s">
        <v>16</v>
      </c>
      <c r="J342" s="18"/>
      <c r="K342" s="17"/>
      <c r="L342" s="18"/>
      <c r="M342" s="18"/>
      <c r="N342" s="19" t="s">
        <v>16</v>
      </c>
      <c r="O342" s="20"/>
    </row>
    <row r="343" spans="1:15" ht="15" x14ac:dyDescent="0.35">
      <c r="A343" s="46" t="s">
        <v>0</v>
      </c>
      <c r="B343" s="47"/>
      <c r="C343" s="47"/>
      <c r="D343" s="47"/>
      <c r="E343" s="47"/>
      <c r="F343" s="46" t="s">
        <v>0</v>
      </c>
      <c r="G343" s="47"/>
      <c r="H343" s="47"/>
      <c r="I343" s="47"/>
      <c r="J343" s="47"/>
      <c r="K343" s="46" t="s">
        <v>0</v>
      </c>
      <c r="L343" s="47"/>
      <c r="M343" s="47"/>
      <c r="N343" s="47"/>
      <c r="O343" s="48"/>
    </row>
    <row r="344" spans="1:15" ht="15" x14ac:dyDescent="0.35">
      <c r="A344" s="1"/>
      <c r="B344" s="2"/>
      <c r="C344" s="2"/>
      <c r="D344" s="2"/>
      <c r="E344" s="2"/>
      <c r="F344" s="1"/>
      <c r="G344" s="2"/>
      <c r="H344" s="2"/>
      <c r="I344" s="2"/>
      <c r="J344" s="2"/>
      <c r="K344" s="1"/>
      <c r="L344" s="2"/>
      <c r="M344" s="2"/>
      <c r="N344" s="2"/>
      <c r="O344" s="3"/>
    </row>
    <row r="345" spans="1:15" ht="15" x14ac:dyDescent="0.35">
      <c r="A345" s="1" t="s">
        <v>1</v>
      </c>
      <c r="B345" s="2" t="s">
        <v>2</v>
      </c>
      <c r="C345" s="50" t="s">
        <v>50</v>
      </c>
      <c r="D345" s="50"/>
      <c r="E345" s="4">
        <v>38</v>
      </c>
      <c r="F345" s="1" t="s">
        <v>1</v>
      </c>
      <c r="G345" s="2" t="s">
        <v>2</v>
      </c>
      <c r="H345" s="50" t="s">
        <v>51</v>
      </c>
      <c r="I345" s="50"/>
      <c r="J345" s="4">
        <v>39</v>
      </c>
      <c r="K345" s="1" t="s">
        <v>1</v>
      </c>
      <c r="L345" s="2" t="s">
        <v>2</v>
      </c>
      <c r="M345" s="50"/>
      <c r="N345" s="50"/>
      <c r="O345" s="6"/>
    </row>
    <row r="346" spans="1:15" ht="15" x14ac:dyDescent="0.35">
      <c r="A346" s="1" t="s">
        <v>4</v>
      </c>
      <c r="B346" s="2"/>
      <c r="C346" s="2" t="s">
        <v>2</v>
      </c>
      <c r="D346" s="2"/>
      <c r="F346" s="1" t="s">
        <v>4</v>
      </c>
      <c r="G346" s="2"/>
      <c r="H346" s="2" t="s">
        <v>2</v>
      </c>
      <c r="I346" s="2"/>
      <c r="J346" s="2"/>
      <c r="K346" s="1" t="s">
        <v>52</v>
      </c>
      <c r="L346" s="2" t="s">
        <v>2</v>
      </c>
      <c r="M346" s="2"/>
      <c r="N346" s="2"/>
      <c r="O346" s="3"/>
    </row>
    <row r="347" spans="1:15" ht="15" x14ac:dyDescent="0.35">
      <c r="A347" s="1" t="s">
        <v>5</v>
      </c>
      <c r="B347" s="2"/>
      <c r="C347" s="2" t="s">
        <v>2</v>
      </c>
      <c r="D347" s="25">
        <f>'[3]KARNING 2021'!$C$1024</f>
        <v>20000</v>
      </c>
      <c r="E347" s="2"/>
      <c r="F347" s="1" t="s">
        <v>5</v>
      </c>
      <c r="G347" s="2"/>
      <c r="H347" s="2" t="s">
        <v>2</v>
      </c>
      <c r="I347" s="25">
        <f>'[3]KARNING 2021'!$C$1041</f>
        <v>15000</v>
      </c>
      <c r="J347" s="2"/>
      <c r="K347" s="1" t="s">
        <v>53</v>
      </c>
      <c r="L347" s="2"/>
      <c r="M347" s="2" t="s">
        <v>2</v>
      </c>
      <c r="N347" s="7">
        <v>0</v>
      </c>
      <c r="O347" s="3"/>
    </row>
    <row r="348" spans="1:15" ht="15" x14ac:dyDescent="0.35">
      <c r="A348" s="1" t="s">
        <v>6</v>
      </c>
      <c r="B348" s="2"/>
      <c r="C348" s="2" t="s">
        <v>2</v>
      </c>
      <c r="D348" s="25">
        <v>20000</v>
      </c>
      <c r="E348" s="2"/>
      <c r="F348" s="1" t="s">
        <v>6</v>
      </c>
      <c r="G348" s="2"/>
      <c r="H348" s="2" t="s">
        <v>2</v>
      </c>
      <c r="I348" s="25">
        <f>'[3]KARNING 2021'!$D$1041</f>
        <v>10000</v>
      </c>
      <c r="J348" s="2"/>
      <c r="K348" s="1" t="s">
        <v>54</v>
      </c>
      <c r="L348" s="2"/>
      <c r="M348" s="2" t="s">
        <v>2</v>
      </c>
      <c r="N348" s="7">
        <v>0</v>
      </c>
      <c r="O348" s="3"/>
    </row>
    <row r="349" spans="1:15" ht="15" x14ac:dyDescent="0.35">
      <c r="A349" s="1" t="s">
        <v>7</v>
      </c>
      <c r="B349" s="2"/>
      <c r="C349" s="2" t="s">
        <v>2</v>
      </c>
      <c r="D349" s="25">
        <v>20000</v>
      </c>
      <c r="E349" s="2"/>
      <c r="F349" s="1" t="s">
        <v>7</v>
      </c>
      <c r="G349" s="2"/>
      <c r="H349" s="2" t="s">
        <v>2</v>
      </c>
      <c r="I349" s="8">
        <v>50000</v>
      </c>
      <c r="J349" s="2"/>
      <c r="K349" s="1" t="s">
        <v>55</v>
      </c>
      <c r="L349" s="2"/>
      <c r="M349" s="2" t="s">
        <v>2</v>
      </c>
      <c r="N349" s="7">
        <v>0</v>
      </c>
      <c r="O349" s="3"/>
    </row>
    <row r="350" spans="1:15" ht="15" x14ac:dyDescent="0.35">
      <c r="A350" s="1" t="s">
        <v>8</v>
      </c>
      <c r="B350" s="21">
        <v>1</v>
      </c>
      <c r="C350" s="2" t="s">
        <v>2</v>
      </c>
      <c r="D350" s="25">
        <f>[38]krnmei!$I$1026</f>
        <v>150000</v>
      </c>
      <c r="E350" s="2"/>
      <c r="F350" s="1" t="s">
        <v>8</v>
      </c>
      <c r="G350" s="21">
        <v>9</v>
      </c>
      <c r="H350" s="2" t="s">
        <v>2</v>
      </c>
      <c r="I350" s="25">
        <f>[31]krnmei!$I$1048</f>
        <v>500000</v>
      </c>
      <c r="J350" s="2"/>
      <c r="K350" s="1" t="s">
        <v>8</v>
      </c>
      <c r="L350" s="2"/>
      <c r="M350" s="2" t="s">
        <v>2</v>
      </c>
      <c r="N350" s="7"/>
      <c r="O350" s="3"/>
    </row>
    <row r="351" spans="1:15" ht="15" x14ac:dyDescent="0.35">
      <c r="A351" s="1" t="s">
        <v>9</v>
      </c>
      <c r="B351" s="2"/>
      <c r="C351" s="2" t="s">
        <v>2</v>
      </c>
      <c r="D351" s="11">
        <f>[38]krnmei!$K$1026</f>
        <v>45000</v>
      </c>
      <c r="E351" s="2"/>
      <c r="F351" s="1" t="s">
        <v>9</v>
      </c>
      <c r="G351" s="2"/>
      <c r="H351" s="2" t="s">
        <v>2</v>
      </c>
      <c r="I351" s="11">
        <f>[38]krnmei!$K$1043</f>
        <v>52500</v>
      </c>
      <c r="J351" s="2"/>
      <c r="K351" s="1" t="s">
        <v>56</v>
      </c>
      <c r="L351" s="2"/>
      <c r="M351" s="2" t="s">
        <v>2</v>
      </c>
      <c r="N351" s="11"/>
      <c r="O351" s="3"/>
    </row>
    <row r="352" spans="1:15" ht="15" x14ac:dyDescent="0.35">
      <c r="A352" s="1" t="s">
        <v>10</v>
      </c>
      <c r="B352" s="2"/>
      <c r="C352" s="2" t="s">
        <v>2</v>
      </c>
      <c r="D352" s="8">
        <v>0</v>
      </c>
      <c r="E352" s="2"/>
      <c r="F352" s="1" t="s">
        <v>10</v>
      </c>
      <c r="G352" s="2"/>
      <c r="H352" s="2" t="s">
        <v>2</v>
      </c>
      <c r="I352" s="8"/>
      <c r="J352" s="2"/>
      <c r="K352" s="1" t="s">
        <v>57</v>
      </c>
      <c r="L352" s="2"/>
      <c r="M352" s="2" t="s">
        <v>2</v>
      </c>
      <c r="N352" s="2"/>
      <c r="O352" s="3"/>
    </row>
    <row r="353" spans="1:15" ht="15" x14ac:dyDescent="0.35">
      <c r="A353" s="1" t="s">
        <v>11</v>
      </c>
      <c r="B353" s="2"/>
      <c r="C353" s="2" t="s">
        <v>2</v>
      </c>
      <c r="D353" s="9">
        <v>0</v>
      </c>
      <c r="E353" s="2"/>
      <c r="F353" s="1" t="s">
        <v>11</v>
      </c>
      <c r="G353" s="2"/>
      <c r="H353" s="2" t="s">
        <v>2</v>
      </c>
      <c r="I353" s="9"/>
      <c r="J353" s="2"/>
      <c r="K353" s="1" t="s">
        <v>58</v>
      </c>
      <c r="L353" s="2"/>
      <c r="M353" s="2" t="s">
        <v>2</v>
      </c>
      <c r="N353" s="2"/>
      <c r="O353" s="3"/>
    </row>
    <row r="354" spans="1:15" ht="15" x14ac:dyDescent="0.35">
      <c r="A354" s="1" t="s">
        <v>12</v>
      </c>
      <c r="B354" s="2"/>
      <c r="C354" s="2" t="s">
        <v>2</v>
      </c>
      <c r="D354" s="8">
        <v>20000</v>
      </c>
      <c r="E354" s="2"/>
      <c r="F354" s="1" t="s">
        <v>12</v>
      </c>
      <c r="G354" s="2"/>
      <c r="H354" s="2" t="s">
        <v>2</v>
      </c>
      <c r="I354" s="8"/>
      <c r="J354" s="2"/>
      <c r="K354" s="1" t="s">
        <v>59</v>
      </c>
      <c r="L354" s="2"/>
      <c r="M354" s="2" t="s">
        <v>2</v>
      </c>
      <c r="N354" s="36"/>
      <c r="O354" s="3"/>
    </row>
    <row r="355" spans="1:15" ht="15" x14ac:dyDescent="0.35">
      <c r="A355" s="13" t="s">
        <v>13</v>
      </c>
      <c r="B355" s="5"/>
      <c r="C355" s="5" t="s">
        <v>2</v>
      </c>
      <c r="D355" s="24">
        <f>SUM(D347:D354)</f>
        <v>275000</v>
      </c>
      <c r="E355" s="2"/>
      <c r="F355" s="13" t="s">
        <v>13</v>
      </c>
      <c r="G355" s="5"/>
      <c r="H355" s="5" t="s">
        <v>2</v>
      </c>
      <c r="I355" s="24">
        <f>SUM(I347:I354)</f>
        <v>627500</v>
      </c>
      <c r="J355" s="2"/>
      <c r="K355" s="13" t="s">
        <v>13</v>
      </c>
      <c r="L355" s="5"/>
      <c r="M355" s="5"/>
      <c r="N355" s="24">
        <f>SUM(N347:N354)</f>
        <v>0</v>
      </c>
      <c r="O355" s="3"/>
    </row>
    <row r="356" spans="1:15" ht="15" x14ac:dyDescent="0.35">
      <c r="A356" s="1" t="s">
        <v>14</v>
      </c>
      <c r="B356" s="2"/>
      <c r="C356" s="2" t="s">
        <v>2</v>
      </c>
      <c r="D356" s="25">
        <f>[38]krnmei!$J$1026</f>
        <v>2850000</v>
      </c>
      <c r="E356" s="2"/>
      <c r="F356" s="1" t="s">
        <v>14</v>
      </c>
      <c r="G356" s="2"/>
      <c r="H356" s="2" t="s">
        <v>2</v>
      </c>
      <c r="I356" s="27">
        <f>[38]krnmei!$J$1043</f>
        <v>3000000</v>
      </c>
      <c r="J356" s="2"/>
      <c r="K356" s="1" t="s">
        <v>14</v>
      </c>
      <c r="L356" s="2"/>
      <c r="M356" s="2"/>
      <c r="N356" s="27"/>
      <c r="O356" s="3"/>
    </row>
    <row r="357" spans="1:15" ht="15" x14ac:dyDescent="0.35">
      <c r="A357" s="1"/>
      <c r="B357" s="2"/>
      <c r="C357" s="15"/>
      <c r="D357" s="35" t="str">
        <f>D167</f>
        <v>Grogol, 02 Maret  2026</v>
      </c>
      <c r="E357" s="2"/>
      <c r="F357" s="1"/>
      <c r="G357" s="2"/>
      <c r="H357" s="15"/>
      <c r="I357" s="15" t="str">
        <f>D357</f>
        <v>Grogol, 02 Maret  2026</v>
      </c>
      <c r="J357" s="15"/>
      <c r="K357" s="1"/>
      <c r="L357" s="2"/>
      <c r="M357" s="15"/>
      <c r="N357" s="15" t="s">
        <v>84</v>
      </c>
      <c r="O357" s="16"/>
    </row>
    <row r="358" spans="1:15" ht="15" x14ac:dyDescent="0.35">
      <c r="A358" s="1"/>
      <c r="B358" s="2"/>
      <c r="C358" s="2"/>
      <c r="D358" s="15" t="s">
        <v>15</v>
      </c>
      <c r="E358" s="15"/>
      <c r="F358" s="1"/>
      <c r="G358" s="2"/>
      <c r="H358" s="2"/>
      <c r="I358" s="15" t="s">
        <v>15</v>
      </c>
      <c r="J358" s="2"/>
      <c r="K358" s="1"/>
      <c r="L358" s="2"/>
      <c r="M358" s="2"/>
      <c r="N358" s="15" t="s">
        <v>15</v>
      </c>
      <c r="O358" s="3"/>
    </row>
    <row r="359" spans="1:15" ht="15" x14ac:dyDescent="0.35">
      <c r="A359" s="1"/>
      <c r="B359" s="2"/>
      <c r="C359" s="2"/>
      <c r="D359" s="15"/>
      <c r="E359" s="2"/>
      <c r="F359" s="1"/>
      <c r="G359" s="2"/>
      <c r="H359" s="2"/>
      <c r="I359" s="15"/>
      <c r="J359" s="2"/>
      <c r="K359" s="1"/>
      <c r="L359" s="2"/>
      <c r="M359" s="2"/>
      <c r="N359" s="2"/>
      <c r="O359" s="3"/>
    </row>
    <row r="360" spans="1:15" ht="15" x14ac:dyDescent="0.35">
      <c r="A360" s="1"/>
      <c r="B360" s="2"/>
      <c r="C360" s="2"/>
      <c r="D360" s="15"/>
      <c r="E360" s="2"/>
      <c r="F360" s="1"/>
      <c r="G360" s="2"/>
      <c r="H360" s="2"/>
      <c r="I360" s="15"/>
      <c r="J360" s="2"/>
      <c r="K360" s="1"/>
      <c r="L360" s="2"/>
      <c r="M360" s="2"/>
      <c r="N360" s="2"/>
      <c r="O360" s="3"/>
    </row>
    <row r="361" spans="1:15" ht="15.6" thickBot="1" x14ac:dyDescent="0.4">
      <c r="A361" s="17"/>
      <c r="B361" s="18"/>
      <c r="C361" s="18"/>
      <c r="D361" s="19" t="s">
        <v>16</v>
      </c>
      <c r="E361" s="18"/>
      <c r="F361" s="17"/>
      <c r="G361" s="18"/>
      <c r="H361" s="18"/>
      <c r="I361" s="19" t="s">
        <v>16</v>
      </c>
      <c r="J361" s="18"/>
      <c r="K361" s="17"/>
      <c r="L361" s="18"/>
      <c r="M361" s="37"/>
      <c r="N361" s="19" t="s">
        <v>16</v>
      </c>
      <c r="O361" s="20"/>
    </row>
    <row r="362" spans="1:15" ht="15" x14ac:dyDescent="0.35">
      <c r="A362" s="46" t="s">
        <v>0</v>
      </c>
      <c r="B362" s="47"/>
      <c r="C362" s="47"/>
      <c r="D362" s="47"/>
      <c r="E362" s="47"/>
      <c r="F362" s="46" t="s">
        <v>0</v>
      </c>
      <c r="G362" s="47"/>
      <c r="H362" s="47"/>
      <c r="I362" s="47"/>
      <c r="J362" s="47"/>
      <c r="K362" s="46" t="s">
        <v>0</v>
      </c>
      <c r="L362" s="47"/>
      <c r="M362" s="47"/>
      <c r="N362" s="47"/>
      <c r="O362" s="48"/>
    </row>
    <row r="363" spans="1:15" ht="15" x14ac:dyDescent="0.35">
      <c r="A363" s="1"/>
      <c r="B363" s="2"/>
      <c r="C363" s="2"/>
      <c r="D363" s="2"/>
      <c r="E363" s="2"/>
      <c r="F363" s="1"/>
      <c r="G363" s="2"/>
      <c r="H363" s="2"/>
      <c r="I363" s="2"/>
      <c r="J363" s="2"/>
      <c r="K363" s="1"/>
      <c r="L363" s="2"/>
      <c r="M363" s="2"/>
      <c r="N363" s="2"/>
      <c r="O363" s="3"/>
    </row>
    <row r="364" spans="1:15" ht="15" x14ac:dyDescent="0.35">
      <c r="A364" s="1" t="s">
        <v>1</v>
      </c>
      <c r="B364" s="2"/>
      <c r="C364" s="5" t="s">
        <v>2</v>
      </c>
      <c r="D364" s="42" t="s">
        <v>64</v>
      </c>
      <c r="E364" s="4">
        <v>45</v>
      </c>
      <c r="F364" s="1" t="s">
        <v>1</v>
      </c>
      <c r="G364" s="2"/>
      <c r="H364" s="5" t="s">
        <v>2</v>
      </c>
      <c r="I364" s="4" t="s">
        <v>60</v>
      </c>
      <c r="J364" s="4">
        <v>16</v>
      </c>
      <c r="K364" s="1" t="s">
        <v>1</v>
      </c>
      <c r="L364" s="2"/>
      <c r="M364" s="5" t="s">
        <v>2</v>
      </c>
      <c r="N364" s="4" t="s">
        <v>61</v>
      </c>
      <c r="O364" s="6">
        <v>17</v>
      </c>
    </row>
    <row r="365" spans="1:15" ht="15" x14ac:dyDescent="0.35">
      <c r="A365" s="1" t="s">
        <v>52</v>
      </c>
      <c r="B365" s="2"/>
      <c r="C365" s="2" t="s">
        <v>2</v>
      </c>
      <c r="D365" s="2"/>
      <c r="E365" s="2"/>
      <c r="F365" s="1" t="s">
        <v>52</v>
      </c>
      <c r="G365" s="2"/>
      <c r="H365" s="2" t="s">
        <v>2</v>
      </c>
      <c r="I365" s="2"/>
      <c r="J365" s="2"/>
      <c r="K365" s="1" t="s">
        <v>52</v>
      </c>
      <c r="L365" s="2"/>
      <c r="M365" s="2" t="s">
        <v>2</v>
      </c>
      <c r="N365" s="2"/>
      <c r="O365" s="3"/>
    </row>
    <row r="366" spans="1:15" ht="15" x14ac:dyDescent="0.35">
      <c r="A366" s="1" t="s">
        <v>65</v>
      </c>
      <c r="B366" s="2"/>
      <c r="C366" s="2" t="s">
        <v>2</v>
      </c>
      <c r="D366" s="7">
        <f>[26]krnmei!$C$1233</f>
        <v>15000</v>
      </c>
      <c r="E366" s="2"/>
      <c r="F366" s="1" t="s">
        <v>53</v>
      </c>
      <c r="G366" s="2"/>
      <c r="H366" s="2" t="s">
        <v>2</v>
      </c>
      <c r="I366" s="7">
        <f>[17]krnmei!$C$1094</f>
        <v>100000</v>
      </c>
      <c r="K366" s="1" t="s">
        <v>53</v>
      </c>
      <c r="L366" s="2"/>
      <c r="M366" s="2" t="s">
        <v>2</v>
      </c>
      <c r="N366" s="7">
        <f>[17]krnmei!$C$1111</f>
        <v>100000</v>
      </c>
      <c r="O366" s="3"/>
    </row>
    <row r="367" spans="1:15" ht="15" x14ac:dyDescent="0.35">
      <c r="A367" s="1" t="s">
        <v>54</v>
      </c>
      <c r="B367" s="2"/>
      <c r="C367" s="2" t="s">
        <v>2</v>
      </c>
      <c r="D367" s="7">
        <f>[5]krnmei!$D$1232</f>
        <v>10000</v>
      </c>
      <c r="E367" s="2"/>
      <c r="F367" s="1" t="s">
        <v>54</v>
      </c>
      <c r="G367" s="2"/>
      <c r="H367" s="2" t="s">
        <v>2</v>
      </c>
      <c r="I367" s="2">
        <v>25000</v>
      </c>
      <c r="J367" s="2"/>
      <c r="K367" s="1" t="s">
        <v>54</v>
      </c>
      <c r="L367" s="2"/>
      <c r="M367" s="2" t="s">
        <v>2</v>
      </c>
      <c r="N367" s="2">
        <v>25000</v>
      </c>
      <c r="O367" s="3"/>
    </row>
    <row r="368" spans="1:15" ht="15" x14ac:dyDescent="0.35">
      <c r="A368" s="1" t="s">
        <v>55</v>
      </c>
      <c r="B368" s="2"/>
      <c r="C368" s="2" t="s">
        <v>2</v>
      </c>
      <c r="D368" s="7">
        <f>[35]krnmei!$E$1238</f>
        <v>50000</v>
      </c>
      <c r="E368" s="2"/>
      <c r="F368" s="1" t="s">
        <v>55</v>
      </c>
      <c r="G368" s="2"/>
      <c r="H368" s="2" t="s">
        <v>2</v>
      </c>
      <c r="I368" s="7">
        <f>[25]krnmei!$E$1097</f>
        <v>200000</v>
      </c>
      <c r="J368" s="2"/>
      <c r="K368" s="1" t="s">
        <v>55</v>
      </c>
      <c r="L368" s="2"/>
      <c r="M368" s="2" t="s">
        <v>2</v>
      </c>
      <c r="N368" s="2">
        <v>0</v>
      </c>
      <c r="O368" s="3"/>
    </row>
    <row r="369" spans="1:15" ht="15" x14ac:dyDescent="0.35">
      <c r="A369" s="1" t="s">
        <v>8</v>
      </c>
      <c r="B369" s="2">
        <v>20</v>
      </c>
      <c r="C369" s="2" t="s">
        <v>2</v>
      </c>
      <c r="D369" s="2">
        <f>[6]krnmei!$I$1236</f>
        <v>400000</v>
      </c>
      <c r="E369" s="2"/>
      <c r="F369" s="1" t="s">
        <v>8</v>
      </c>
      <c r="G369" s="2"/>
      <c r="H369" s="2" t="s">
        <v>2</v>
      </c>
      <c r="I369" s="2">
        <v>0</v>
      </c>
      <c r="J369" s="2"/>
      <c r="K369" s="1" t="s">
        <v>8</v>
      </c>
      <c r="L369" s="2">
        <v>3</v>
      </c>
      <c r="M369" s="2" t="s">
        <v>2</v>
      </c>
      <c r="N369" s="2">
        <f>[39]krnmei!$I$1110</f>
        <v>1000000</v>
      </c>
      <c r="O369" s="3"/>
    </row>
    <row r="370" spans="1:15" ht="15" x14ac:dyDescent="0.35">
      <c r="A370" s="1" t="s">
        <v>56</v>
      </c>
      <c r="B370" s="2"/>
      <c r="C370" s="2" t="s">
        <v>2</v>
      </c>
      <c r="D370" s="43">
        <f>[38]krnmei!$K$1230</f>
        <v>39750</v>
      </c>
      <c r="E370" s="2"/>
      <c r="F370" s="1" t="s">
        <v>56</v>
      </c>
      <c r="G370" s="2"/>
      <c r="H370" s="2" t="s">
        <v>2</v>
      </c>
      <c r="I370" s="2">
        <v>0</v>
      </c>
      <c r="J370" s="2"/>
      <c r="K370" s="1" t="s">
        <v>56</v>
      </c>
      <c r="L370" s="2"/>
      <c r="M370" s="2" t="s">
        <v>2</v>
      </c>
      <c r="N370" s="43">
        <f>[38]krnmei!$K$1111</f>
        <v>495000</v>
      </c>
      <c r="O370" s="3"/>
    </row>
    <row r="371" spans="1:15" ht="15" x14ac:dyDescent="0.35">
      <c r="A371" s="1" t="s">
        <v>57</v>
      </c>
      <c r="B371" s="2"/>
      <c r="C371" s="2" t="s">
        <v>2</v>
      </c>
      <c r="D371" s="2">
        <v>0</v>
      </c>
      <c r="E371" s="2"/>
      <c r="F371" s="1" t="s">
        <v>57</v>
      </c>
      <c r="G371" s="2"/>
      <c r="H371" s="2" t="s">
        <v>2</v>
      </c>
      <c r="I371" s="2">
        <v>0</v>
      </c>
      <c r="J371" s="2"/>
      <c r="K371" s="1" t="s">
        <v>57</v>
      </c>
      <c r="L371" s="2"/>
      <c r="M371" s="2" t="s">
        <v>2</v>
      </c>
      <c r="N371" s="2">
        <v>0</v>
      </c>
      <c r="O371" s="3"/>
    </row>
    <row r="372" spans="1:15" ht="15" x14ac:dyDescent="0.35">
      <c r="A372" s="1" t="s">
        <v>62</v>
      </c>
      <c r="B372" s="2"/>
      <c r="C372" s="2" t="s">
        <v>2</v>
      </c>
      <c r="D372" s="2">
        <v>0</v>
      </c>
      <c r="E372" s="2"/>
      <c r="F372" s="1" t="s">
        <v>62</v>
      </c>
      <c r="G372" s="2"/>
      <c r="H372" s="2" t="s">
        <v>2</v>
      </c>
      <c r="I372" s="2">
        <v>0</v>
      </c>
      <c r="J372" s="2"/>
      <c r="K372" s="1" t="s">
        <v>62</v>
      </c>
      <c r="L372" s="2"/>
      <c r="M372" s="2" t="s">
        <v>2</v>
      </c>
      <c r="N372" s="2">
        <v>0</v>
      </c>
      <c r="O372" s="3"/>
    </row>
    <row r="373" spans="1:15" ht="15.6" thickBot="1" x14ac:dyDescent="0.4">
      <c r="A373" s="1" t="s">
        <v>59</v>
      </c>
      <c r="B373" s="2"/>
      <c r="C373" s="2" t="s">
        <v>2</v>
      </c>
      <c r="D373" s="2">
        <v>0</v>
      </c>
      <c r="E373" s="2"/>
      <c r="F373" s="1" t="s">
        <v>59</v>
      </c>
      <c r="G373" s="2"/>
      <c r="H373" s="2" t="s">
        <v>2</v>
      </c>
      <c r="I373" s="7">
        <f>[36]krnmei!$F$1096</f>
        <v>150000</v>
      </c>
      <c r="J373" s="2"/>
      <c r="K373" s="1" t="s">
        <v>59</v>
      </c>
      <c r="L373" s="2"/>
      <c r="M373" s="2" t="s">
        <v>2</v>
      </c>
      <c r="N373" s="7">
        <f>[36]krnmei!$F$1113</f>
        <v>150000</v>
      </c>
      <c r="O373" s="3"/>
    </row>
    <row r="374" spans="1:15" ht="15.6" thickTop="1" x14ac:dyDescent="0.35">
      <c r="A374" s="13" t="s">
        <v>13</v>
      </c>
      <c r="B374" s="5"/>
      <c r="C374" s="5"/>
      <c r="D374" s="38">
        <f>SUM(D366:D373)</f>
        <v>514750</v>
      </c>
      <c r="E374" s="2"/>
      <c r="F374" s="13" t="s">
        <v>13</v>
      </c>
      <c r="G374" s="5"/>
      <c r="H374" s="5" t="s">
        <v>2</v>
      </c>
      <c r="I374" s="38">
        <f>SUM(I366:I373)</f>
        <v>475000</v>
      </c>
      <c r="J374" s="2"/>
      <c r="K374" s="13" t="s">
        <v>13</v>
      </c>
      <c r="L374" s="5"/>
      <c r="M374" s="5" t="s">
        <v>2</v>
      </c>
      <c r="N374" s="38">
        <f>SUM(N366:N373)</f>
        <v>1770000</v>
      </c>
      <c r="O374" s="3"/>
    </row>
    <row r="375" spans="1:15" ht="15" x14ac:dyDescent="0.35">
      <c r="A375" s="1" t="s">
        <v>14</v>
      </c>
      <c r="B375" s="2"/>
      <c r="C375" s="2"/>
      <c r="D375" s="39">
        <f>[38]krnmei!$J$1230</f>
        <v>2250000</v>
      </c>
      <c r="E375" s="2"/>
      <c r="F375" s="1" t="s">
        <v>14</v>
      </c>
      <c r="G375" s="2"/>
      <c r="H375" s="2" t="s">
        <v>2</v>
      </c>
      <c r="I375" s="39">
        <v>0</v>
      </c>
      <c r="J375" s="2"/>
      <c r="K375" s="1" t="s">
        <v>14</v>
      </c>
      <c r="L375" s="2"/>
      <c r="M375" s="2" t="s">
        <v>2</v>
      </c>
      <c r="N375" s="39">
        <f>[38]krnmei!$J$1111</f>
        <v>27000000</v>
      </c>
      <c r="O375" s="3"/>
    </row>
    <row r="376" spans="1:15" ht="15" x14ac:dyDescent="0.35">
      <c r="A376" s="1"/>
      <c r="B376" s="2"/>
      <c r="C376" s="2"/>
      <c r="D376" s="15" t="s">
        <v>88</v>
      </c>
      <c r="E376" s="2"/>
      <c r="F376" s="1"/>
      <c r="G376" s="2"/>
      <c r="H376" s="15"/>
      <c r="I376" s="15" t="str">
        <f>D167</f>
        <v>Grogol, 02 Maret  2026</v>
      </c>
      <c r="J376" s="15"/>
      <c r="K376" s="1"/>
      <c r="L376" s="2"/>
      <c r="M376" s="15"/>
      <c r="N376" s="15" t="str">
        <f>D167</f>
        <v>Grogol, 02 Maret  2026</v>
      </c>
      <c r="O376" s="16"/>
    </row>
    <row r="377" spans="1:15" ht="15" x14ac:dyDescent="0.35">
      <c r="A377" s="1"/>
      <c r="B377" s="2"/>
      <c r="C377" s="2"/>
      <c r="D377" s="15" t="s">
        <v>15</v>
      </c>
      <c r="E377" s="2"/>
      <c r="F377" s="1"/>
      <c r="G377" s="2"/>
      <c r="H377" s="2"/>
      <c r="I377" s="15" t="s">
        <v>15</v>
      </c>
      <c r="J377" s="2"/>
      <c r="K377" s="1"/>
      <c r="L377" s="2"/>
      <c r="M377" s="2"/>
      <c r="N377" s="15" t="s">
        <v>15</v>
      </c>
      <c r="O377" s="3"/>
    </row>
    <row r="378" spans="1:15" ht="15" x14ac:dyDescent="0.35">
      <c r="A378" s="1"/>
      <c r="B378" s="2"/>
      <c r="C378" s="2"/>
      <c r="D378" s="15"/>
      <c r="E378" s="2"/>
      <c r="F378" s="1"/>
      <c r="G378" s="2"/>
      <c r="H378" s="2"/>
      <c r="I378" s="15"/>
      <c r="J378" s="2"/>
      <c r="K378" s="1"/>
      <c r="L378" s="2"/>
      <c r="M378" s="2"/>
      <c r="N378" s="15"/>
      <c r="O378" s="3"/>
    </row>
    <row r="379" spans="1:15" ht="15" x14ac:dyDescent="0.35">
      <c r="A379" s="1"/>
      <c r="B379" s="2"/>
      <c r="C379" s="2"/>
      <c r="D379" s="2"/>
      <c r="E379" s="2"/>
      <c r="F379" s="1"/>
      <c r="G379" s="2"/>
      <c r="H379" s="2"/>
      <c r="I379" s="15"/>
      <c r="J379" s="2"/>
      <c r="K379" s="1"/>
      <c r="L379" s="2"/>
      <c r="M379" s="2"/>
      <c r="N379" s="2"/>
      <c r="O379" s="3"/>
    </row>
    <row r="380" spans="1:15" ht="15.6" thickBot="1" x14ac:dyDescent="0.4">
      <c r="A380" s="17"/>
      <c r="B380" s="18"/>
      <c r="C380" s="18"/>
      <c r="D380" s="19" t="s">
        <v>16</v>
      </c>
      <c r="E380" s="18"/>
      <c r="F380" s="17"/>
      <c r="G380" s="18"/>
      <c r="H380" s="18"/>
      <c r="I380" s="19" t="s">
        <v>16</v>
      </c>
      <c r="J380" s="18"/>
      <c r="K380" s="17"/>
      <c r="L380" s="18"/>
      <c r="M380" s="18"/>
      <c r="N380" s="19" t="s">
        <v>16</v>
      </c>
      <c r="O380" s="20"/>
    </row>
  </sheetData>
  <mergeCells count="113">
    <mergeCell ref="A20:E20"/>
    <mergeCell ref="F20:J20"/>
    <mergeCell ref="K20:O20"/>
    <mergeCell ref="C22:D22"/>
    <mergeCell ref="H22:I22"/>
    <mergeCell ref="M22:N22"/>
    <mergeCell ref="A1:E1"/>
    <mergeCell ref="F1:J1"/>
    <mergeCell ref="K1:O1"/>
    <mergeCell ref="C3:D3"/>
    <mergeCell ref="H3:I3"/>
    <mergeCell ref="M3:N3"/>
    <mergeCell ref="A58:E58"/>
    <mergeCell ref="F58:J58"/>
    <mergeCell ref="K58:O58"/>
    <mergeCell ref="C60:D60"/>
    <mergeCell ref="H60:I60"/>
    <mergeCell ref="M60:N60"/>
    <mergeCell ref="A39:E39"/>
    <mergeCell ref="F39:J39"/>
    <mergeCell ref="K39:O39"/>
    <mergeCell ref="C41:D41"/>
    <mergeCell ref="H41:I41"/>
    <mergeCell ref="M41:N41"/>
    <mergeCell ref="H91:J91"/>
    <mergeCell ref="A96:E96"/>
    <mergeCell ref="F96:J96"/>
    <mergeCell ref="K96:O96"/>
    <mergeCell ref="C98:D98"/>
    <mergeCell ref="H98:I98"/>
    <mergeCell ref="M98:N98"/>
    <mergeCell ref="A77:E77"/>
    <mergeCell ref="F77:J77"/>
    <mergeCell ref="K77:O77"/>
    <mergeCell ref="C79:D79"/>
    <mergeCell ref="H79:I79"/>
    <mergeCell ref="M79:N79"/>
    <mergeCell ref="A134:E134"/>
    <mergeCell ref="F134:J134"/>
    <mergeCell ref="K134:O134"/>
    <mergeCell ref="H136:I136"/>
    <mergeCell ref="M136:N136"/>
    <mergeCell ref="A153:E153"/>
    <mergeCell ref="F153:J153"/>
    <mergeCell ref="K153:O153"/>
    <mergeCell ref="A115:E115"/>
    <mergeCell ref="F115:J115"/>
    <mergeCell ref="K115:O115"/>
    <mergeCell ref="C117:D117"/>
    <mergeCell ref="H117:I117"/>
    <mergeCell ref="M117:N117"/>
    <mergeCell ref="C174:D174"/>
    <mergeCell ref="H174:I174"/>
    <mergeCell ref="M174:N174"/>
    <mergeCell ref="A191:E191"/>
    <mergeCell ref="F191:J191"/>
    <mergeCell ref="K191:O191"/>
    <mergeCell ref="C155:D155"/>
    <mergeCell ref="H155:I155"/>
    <mergeCell ref="M155:N155"/>
    <mergeCell ref="A172:E172"/>
    <mergeCell ref="F172:J172"/>
    <mergeCell ref="K172:O172"/>
    <mergeCell ref="A229:E229"/>
    <mergeCell ref="F229:J229"/>
    <mergeCell ref="K229:O229"/>
    <mergeCell ref="H231:I231"/>
    <mergeCell ref="M231:N231"/>
    <mergeCell ref="A248:E248"/>
    <mergeCell ref="F248:J248"/>
    <mergeCell ref="K248:O248"/>
    <mergeCell ref="H193:I193"/>
    <mergeCell ref="A210:E210"/>
    <mergeCell ref="F210:J210"/>
    <mergeCell ref="K210:O210"/>
    <mergeCell ref="C212:D212"/>
    <mergeCell ref="H212:I212"/>
    <mergeCell ref="M212:N212"/>
    <mergeCell ref="C269:D269"/>
    <mergeCell ref="H269:I269"/>
    <mergeCell ref="M269:N269"/>
    <mergeCell ref="A286:E286"/>
    <mergeCell ref="F286:J286"/>
    <mergeCell ref="K286:O286"/>
    <mergeCell ref="C250:D250"/>
    <mergeCell ref="H250:I250"/>
    <mergeCell ref="M250:N250"/>
    <mergeCell ref="A267:E267"/>
    <mergeCell ref="F267:J267"/>
    <mergeCell ref="K267:O267"/>
    <mergeCell ref="C307:D307"/>
    <mergeCell ref="H307:I307"/>
    <mergeCell ref="A324:E324"/>
    <mergeCell ref="F324:J324"/>
    <mergeCell ref="K324:O324"/>
    <mergeCell ref="C326:D326"/>
    <mergeCell ref="H326:I326"/>
    <mergeCell ref="C288:D288"/>
    <mergeCell ref="H288:I288"/>
    <mergeCell ref="M288:N288"/>
    <mergeCell ref="A305:E305"/>
    <mergeCell ref="F305:J305"/>
    <mergeCell ref="K305:O305"/>
    <mergeCell ref="A362:E362"/>
    <mergeCell ref="F362:J362"/>
    <mergeCell ref="K362:O362"/>
    <mergeCell ref="L338:N338"/>
    <mergeCell ref="A343:E343"/>
    <mergeCell ref="F343:J343"/>
    <mergeCell ref="K343:O343"/>
    <mergeCell ref="C345:D345"/>
    <mergeCell ref="H345:I345"/>
    <mergeCell ref="M345:N345"/>
  </mergeCells>
  <pageMargins left="0.11811023622047245" right="1.299212598425197" top="0.15748031496062992" bottom="0.15748031496062992" header="0.31496062992125984" footer="0.31496062992125984"/>
  <pageSetup paperSize="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60730-FB41-4DED-9CF4-6795B1631B5B}">
  <dimension ref="A1:O380"/>
  <sheetViews>
    <sheetView workbookViewId="0">
      <selection sqref="A1:O380"/>
    </sheetView>
  </sheetViews>
  <sheetFormatPr defaultRowHeight="14.4" x14ac:dyDescent="0.3"/>
  <cols>
    <col min="1" max="1" width="18.33203125" customWidth="1"/>
    <col min="2" max="2" width="4" customWidth="1"/>
    <col min="3" max="3" width="2.5546875" customWidth="1"/>
    <col min="4" max="4" width="19.6640625" customWidth="1"/>
    <col min="5" max="5" width="5.6640625" customWidth="1"/>
    <col min="6" max="6" width="18.33203125" customWidth="1"/>
    <col min="7" max="7" width="4.6640625" customWidth="1"/>
    <col min="8" max="8" width="2.88671875" customWidth="1"/>
    <col min="9" max="9" width="17.88671875" customWidth="1"/>
    <col min="10" max="10" width="5.88671875" customWidth="1"/>
    <col min="11" max="11" width="18.44140625" customWidth="1"/>
    <col min="12" max="12" width="4.44140625" customWidth="1"/>
    <col min="13" max="13" width="4" customWidth="1"/>
    <col min="14" max="14" width="19.33203125" customWidth="1"/>
    <col min="15" max="15" width="6.33203125" customWidth="1"/>
  </cols>
  <sheetData>
    <row r="1" spans="1:15" ht="15" x14ac:dyDescent="0.35">
      <c r="A1" s="46" t="s">
        <v>0</v>
      </c>
      <c r="B1" s="47"/>
      <c r="C1" s="47"/>
      <c r="D1" s="47"/>
      <c r="E1" s="47"/>
      <c r="F1" s="46" t="s">
        <v>0</v>
      </c>
      <c r="G1" s="47"/>
      <c r="H1" s="47"/>
      <c r="I1" s="47"/>
      <c r="J1" s="47"/>
      <c r="K1" s="46" t="s">
        <v>0</v>
      </c>
      <c r="L1" s="47"/>
      <c r="M1" s="47"/>
      <c r="N1" s="47"/>
      <c r="O1" s="48"/>
    </row>
    <row r="2" spans="1:15" ht="15" x14ac:dyDescent="0.35">
      <c r="A2" s="1"/>
      <c r="B2" s="2"/>
      <c r="C2" s="2"/>
      <c r="D2" s="2"/>
      <c r="E2" s="2"/>
      <c r="F2" s="1"/>
      <c r="G2" s="2"/>
      <c r="H2" s="2"/>
      <c r="I2" s="2"/>
      <c r="J2" s="2"/>
      <c r="K2" s="1"/>
      <c r="L2" s="2"/>
      <c r="M2" s="2"/>
      <c r="N2" s="2"/>
      <c r="O2" s="3"/>
    </row>
    <row r="3" spans="1:15" ht="15" x14ac:dyDescent="0.35">
      <c r="A3" s="1" t="s">
        <v>1</v>
      </c>
      <c r="B3" s="2" t="s">
        <v>2</v>
      </c>
      <c r="C3" s="50" t="s">
        <v>74</v>
      </c>
      <c r="D3" s="50"/>
      <c r="E3" s="4">
        <v>50</v>
      </c>
      <c r="F3" s="1" t="s">
        <v>1</v>
      </c>
      <c r="G3" s="2" t="s">
        <v>2</v>
      </c>
      <c r="H3" s="50" t="s">
        <v>69</v>
      </c>
      <c r="I3" s="50"/>
      <c r="J3" s="4">
        <v>46</v>
      </c>
      <c r="K3" s="1" t="s">
        <v>1</v>
      </c>
      <c r="L3" s="2" t="s">
        <v>2</v>
      </c>
      <c r="M3" s="50"/>
      <c r="N3" s="50"/>
      <c r="O3" s="6"/>
    </row>
    <row r="4" spans="1:15" ht="15" x14ac:dyDescent="0.35">
      <c r="A4" s="1" t="s">
        <v>4</v>
      </c>
      <c r="B4" s="2"/>
      <c r="C4" s="2" t="s">
        <v>2</v>
      </c>
      <c r="D4" s="2"/>
      <c r="F4" s="1" t="s">
        <v>4</v>
      </c>
      <c r="G4" s="2"/>
      <c r="H4" s="2" t="s">
        <v>2</v>
      </c>
      <c r="I4" s="2"/>
      <c r="J4" s="2"/>
      <c r="K4" s="1" t="s">
        <v>4</v>
      </c>
      <c r="L4" s="2"/>
      <c r="M4" s="2"/>
      <c r="N4" s="2"/>
      <c r="O4" s="3"/>
    </row>
    <row r="5" spans="1:15" ht="15" x14ac:dyDescent="0.35">
      <c r="A5" s="1" t="s">
        <v>5</v>
      </c>
      <c r="B5" s="2"/>
      <c r="C5" s="2" t="s">
        <v>2</v>
      </c>
      <c r="D5" s="7">
        <f>[1]krnmei!$C$1314</f>
        <v>15000</v>
      </c>
      <c r="E5" s="2"/>
      <c r="F5" s="1" t="s">
        <v>5</v>
      </c>
      <c r="G5" s="2"/>
      <c r="H5" s="2" t="s">
        <v>2</v>
      </c>
      <c r="I5" s="7">
        <f>[2]krnmei!$C$1289</f>
        <v>15000</v>
      </c>
      <c r="J5" s="2"/>
      <c r="K5" s="1" t="s">
        <v>5</v>
      </c>
      <c r="L5" s="2"/>
      <c r="M5" s="2"/>
      <c r="N5" s="8"/>
      <c r="O5" s="3"/>
    </row>
    <row r="6" spans="1:15" ht="15" x14ac:dyDescent="0.35">
      <c r="A6" s="1" t="s">
        <v>6</v>
      </c>
      <c r="B6" s="2"/>
      <c r="C6" s="2" t="s">
        <v>2</v>
      </c>
      <c r="D6" s="7">
        <f>[1]krnmei!$D$1365</f>
        <v>10000</v>
      </c>
      <c r="E6" s="2"/>
      <c r="F6" s="1" t="s">
        <v>6</v>
      </c>
      <c r="G6" s="2"/>
      <c r="H6" s="2" t="s">
        <v>2</v>
      </c>
      <c r="I6" s="7">
        <f>[2]krnmei!$D$1290</f>
        <v>10000</v>
      </c>
      <c r="J6" s="2"/>
      <c r="K6" s="1" t="s">
        <v>6</v>
      </c>
      <c r="L6" s="2"/>
      <c r="M6" s="2"/>
      <c r="N6" s="8"/>
      <c r="O6" s="3"/>
    </row>
    <row r="7" spans="1:15" ht="15" x14ac:dyDescent="0.35">
      <c r="A7" s="1" t="s">
        <v>7</v>
      </c>
      <c r="B7" s="2"/>
      <c r="C7" s="2" t="s">
        <v>2</v>
      </c>
      <c r="D7" s="7">
        <f>[1]krnmei!$E$1365</f>
        <v>60000</v>
      </c>
      <c r="E7" s="2"/>
      <c r="F7" s="1" t="s">
        <v>7</v>
      </c>
      <c r="G7" s="2"/>
      <c r="H7" s="2" t="s">
        <v>2</v>
      </c>
      <c r="I7" s="7">
        <v>25000</v>
      </c>
      <c r="J7" s="2"/>
      <c r="K7" s="1" t="s">
        <v>7</v>
      </c>
      <c r="L7" s="2"/>
      <c r="M7" s="2"/>
      <c r="N7" s="8"/>
      <c r="O7" s="3"/>
    </row>
    <row r="8" spans="1:15" ht="15" x14ac:dyDescent="0.35">
      <c r="A8" s="1" t="s">
        <v>8</v>
      </c>
      <c r="B8" s="7"/>
      <c r="C8" s="2" t="s">
        <v>2</v>
      </c>
      <c r="D8" s="7"/>
      <c r="E8" s="2"/>
      <c r="F8" s="1" t="s">
        <v>8</v>
      </c>
      <c r="G8" s="2"/>
      <c r="H8" s="2" t="s">
        <v>2</v>
      </c>
      <c r="I8" s="7">
        <v>0</v>
      </c>
      <c r="J8" s="2"/>
      <c r="K8" s="1" t="s">
        <v>8</v>
      </c>
      <c r="L8" s="2"/>
      <c r="M8" s="2"/>
      <c r="N8" s="9"/>
      <c r="O8" s="3"/>
    </row>
    <row r="9" spans="1:15" ht="15" x14ac:dyDescent="0.35">
      <c r="A9" s="1" t="s">
        <v>9</v>
      </c>
      <c r="B9" s="2"/>
      <c r="C9" s="2" t="s">
        <v>2</v>
      </c>
      <c r="D9" s="10"/>
      <c r="E9" s="2"/>
      <c r="F9" s="1" t="s">
        <v>9</v>
      </c>
      <c r="G9" s="2"/>
      <c r="H9" s="2" t="s">
        <v>2</v>
      </c>
      <c r="I9" s="7">
        <v>0</v>
      </c>
      <c r="J9" s="2"/>
      <c r="K9" s="1" t="s">
        <v>9</v>
      </c>
      <c r="L9" s="2"/>
      <c r="M9" s="2"/>
      <c r="N9" s="11"/>
      <c r="O9" s="3"/>
    </row>
    <row r="10" spans="1:15" ht="15" x14ac:dyDescent="0.35">
      <c r="A10" s="1" t="s">
        <v>10</v>
      </c>
      <c r="B10" s="7"/>
      <c r="C10" s="2" t="s">
        <v>2</v>
      </c>
      <c r="D10" s="7"/>
      <c r="E10" s="2"/>
      <c r="F10" s="1" t="s">
        <v>10</v>
      </c>
      <c r="G10" s="2"/>
      <c r="H10" s="2" t="s">
        <v>2</v>
      </c>
      <c r="I10" s="7">
        <v>0</v>
      </c>
      <c r="J10" s="2"/>
      <c r="K10" s="1" t="s">
        <v>10</v>
      </c>
      <c r="L10" s="2"/>
      <c r="M10" s="2"/>
      <c r="N10" s="8"/>
      <c r="O10" s="3"/>
    </row>
    <row r="11" spans="1:15" ht="15" x14ac:dyDescent="0.35">
      <c r="A11" s="1" t="s">
        <v>11</v>
      </c>
      <c r="B11" s="2"/>
      <c r="C11" s="2" t="s">
        <v>2</v>
      </c>
      <c r="D11" s="12"/>
      <c r="E11" s="2"/>
      <c r="F11" s="1" t="s">
        <v>11</v>
      </c>
      <c r="G11" s="2"/>
      <c r="H11" s="2" t="s">
        <v>2</v>
      </c>
      <c r="I11" s="7">
        <v>0</v>
      </c>
      <c r="J11" s="2"/>
      <c r="K11" s="1" t="s">
        <v>11</v>
      </c>
      <c r="L11" s="2"/>
      <c r="M11" s="2"/>
      <c r="N11" s="8"/>
      <c r="O11" s="3"/>
    </row>
    <row r="12" spans="1:15" ht="15" x14ac:dyDescent="0.35">
      <c r="A12" s="1" t="s">
        <v>12</v>
      </c>
      <c r="B12" s="2"/>
      <c r="C12" s="2" t="s">
        <v>2</v>
      </c>
      <c r="D12" s="8">
        <f>[1]krnmei!$F$1314</f>
        <v>15000</v>
      </c>
      <c r="E12" s="2"/>
      <c r="F12" s="1" t="s">
        <v>12</v>
      </c>
      <c r="G12" s="2"/>
      <c r="H12" s="2" t="s">
        <v>2</v>
      </c>
      <c r="I12" s="8">
        <f>[7]krnmei!$F$1289</f>
        <v>100000</v>
      </c>
      <c r="J12" s="2"/>
      <c r="K12" s="1" t="s">
        <v>12</v>
      </c>
      <c r="L12" s="2"/>
      <c r="M12" s="2"/>
      <c r="N12" s="8"/>
      <c r="O12" s="3"/>
    </row>
    <row r="13" spans="1:15" ht="15" x14ac:dyDescent="0.35">
      <c r="A13" s="13" t="s">
        <v>13</v>
      </c>
      <c r="B13" s="5"/>
      <c r="C13" s="5" t="s">
        <v>2</v>
      </c>
      <c r="D13" s="14">
        <f>SUM(D5:D12)</f>
        <v>100000</v>
      </c>
      <c r="E13" s="2"/>
      <c r="F13" s="13" t="s">
        <v>13</v>
      </c>
      <c r="G13" s="5"/>
      <c r="H13" s="5" t="s">
        <v>2</v>
      </c>
      <c r="I13" s="14">
        <f>SUM(I5:I12)</f>
        <v>150000</v>
      </c>
      <c r="J13" s="2"/>
      <c r="K13" s="13" t="s">
        <v>13</v>
      </c>
      <c r="L13" s="5"/>
      <c r="M13" s="5"/>
      <c r="N13" s="8"/>
      <c r="O13" s="3"/>
    </row>
    <row r="14" spans="1:15" ht="15" x14ac:dyDescent="0.35">
      <c r="A14" s="1" t="s">
        <v>14</v>
      </c>
      <c r="B14" s="2"/>
      <c r="C14" s="2" t="s">
        <v>2</v>
      </c>
      <c r="D14" s="7"/>
      <c r="E14" s="2"/>
      <c r="F14" s="1" t="s">
        <v>14</v>
      </c>
      <c r="G14" s="2"/>
      <c r="H14" s="2" t="s">
        <v>2</v>
      </c>
      <c r="I14" s="7"/>
      <c r="J14" s="2"/>
      <c r="K14" s="1" t="s">
        <v>14</v>
      </c>
      <c r="L14" s="2"/>
      <c r="M14" s="2"/>
      <c r="N14" s="8"/>
      <c r="O14" s="3"/>
    </row>
    <row r="15" spans="1:15" ht="15" x14ac:dyDescent="0.35">
      <c r="A15" s="1"/>
      <c r="B15" s="2"/>
      <c r="C15" s="15"/>
      <c r="D15" s="2" t="s">
        <v>89</v>
      </c>
      <c r="E15" s="2"/>
      <c r="F15" s="1"/>
      <c r="G15" s="2"/>
      <c r="H15" s="2"/>
      <c r="I15" s="15" t="str">
        <f>D15</f>
        <v>Grogol, 01 April  2026</v>
      </c>
      <c r="J15" s="15"/>
      <c r="K15" s="1"/>
      <c r="L15" s="2"/>
      <c r="M15" s="15"/>
      <c r="N15" s="15" t="str">
        <f>I15</f>
        <v>Grogol, 01 April  2026</v>
      </c>
      <c r="O15" s="16"/>
    </row>
    <row r="16" spans="1:15" ht="15" x14ac:dyDescent="0.35">
      <c r="A16" s="1"/>
      <c r="B16" s="2"/>
      <c r="C16" s="2"/>
      <c r="D16" s="15" t="s">
        <v>15</v>
      </c>
      <c r="E16" s="15"/>
      <c r="F16" s="1"/>
      <c r="G16" s="2"/>
      <c r="H16" s="2"/>
      <c r="I16" s="15" t="s">
        <v>15</v>
      </c>
      <c r="J16" s="2"/>
      <c r="K16" s="1"/>
      <c r="L16" s="2"/>
      <c r="M16" s="2"/>
      <c r="N16" s="15" t="s">
        <v>15</v>
      </c>
      <c r="O16" s="3"/>
    </row>
    <row r="17" spans="1:15" ht="15" x14ac:dyDescent="0.35">
      <c r="A17" s="1"/>
      <c r="B17" s="2"/>
      <c r="C17" s="2"/>
      <c r="D17" s="15"/>
      <c r="E17" s="2"/>
      <c r="F17" s="1"/>
      <c r="G17" s="2"/>
      <c r="H17" s="2"/>
      <c r="I17" s="15"/>
      <c r="J17" s="2"/>
      <c r="K17" s="1"/>
      <c r="L17" s="2"/>
      <c r="M17" s="2"/>
      <c r="N17" s="15"/>
      <c r="O17" s="3"/>
    </row>
    <row r="18" spans="1:15" ht="15" x14ac:dyDescent="0.35">
      <c r="A18" s="1"/>
      <c r="B18" s="2"/>
      <c r="C18" s="2"/>
      <c r="D18" s="15"/>
      <c r="E18" s="2"/>
      <c r="F18" s="1"/>
      <c r="G18" s="2"/>
      <c r="H18" s="2"/>
      <c r="I18" s="15"/>
      <c r="J18" s="2"/>
      <c r="K18" s="1"/>
      <c r="L18" s="2"/>
      <c r="M18" s="2"/>
      <c r="N18" s="15"/>
      <c r="O18" s="3"/>
    </row>
    <row r="19" spans="1:15" ht="15.6" thickBot="1" x14ac:dyDescent="0.4">
      <c r="A19" s="17"/>
      <c r="B19" s="18"/>
      <c r="C19" s="18"/>
      <c r="D19" s="19" t="s">
        <v>16</v>
      </c>
      <c r="E19" s="18"/>
      <c r="F19" s="17"/>
      <c r="G19" s="18"/>
      <c r="H19" s="18"/>
      <c r="I19" s="19" t="s">
        <v>16</v>
      </c>
      <c r="J19" s="18"/>
      <c r="K19" s="17"/>
      <c r="L19" s="18"/>
      <c r="M19" s="18"/>
      <c r="N19" s="19" t="s">
        <v>16</v>
      </c>
      <c r="O19" s="20"/>
    </row>
    <row r="20" spans="1:15" ht="15" x14ac:dyDescent="0.35">
      <c r="A20" s="46" t="s">
        <v>0</v>
      </c>
      <c r="B20" s="47"/>
      <c r="C20" s="47"/>
      <c r="D20" s="47"/>
      <c r="E20" s="47"/>
      <c r="F20" s="46" t="s">
        <v>0</v>
      </c>
      <c r="G20" s="47"/>
      <c r="H20" s="47"/>
      <c r="I20" s="47"/>
      <c r="J20" s="47"/>
      <c r="K20" s="46" t="s">
        <v>0</v>
      </c>
      <c r="L20" s="47"/>
      <c r="M20" s="47"/>
      <c r="N20" s="47"/>
      <c r="O20" s="48"/>
    </row>
    <row r="21" spans="1:15" ht="15" x14ac:dyDescent="0.35">
      <c r="A21" s="1"/>
      <c r="B21" s="2"/>
      <c r="C21" s="2"/>
      <c r="D21" s="2"/>
      <c r="E21" s="2"/>
      <c r="F21" s="1"/>
      <c r="G21" s="2"/>
      <c r="H21" s="2"/>
      <c r="I21" s="2"/>
      <c r="J21" s="2"/>
      <c r="K21" s="1"/>
      <c r="L21" s="2"/>
      <c r="M21" s="2"/>
      <c r="N21" s="2"/>
      <c r="O21" s="3"/>
    </row>
    <row r="22" spans="1:15" ht="15" x14ac:dyDescent="0.35">
      <c r="A22" s="1" t="s">
        <v>1</v>
      </c>
      <c r="B22" s="2" t="s">
        <v>2</v>
      </c>
      <c r="C22" s="50" t="s">
        <v>71</v>
      </c>
      <c r="D22" s="50"/>
      <c r="E22" s="4">
        <v>47</v>
      </c>
      <c r="F22" s="1" t="s">
        <v>1</v>
      </c>
      <c r="G22" s="2" t="s">
        <v>2</v>
      </c>
      <c r="H22" s="50" t="s">
        <v>72</v>
      </c>
      <c r="I22" s="50"/>
      <c r="J22" s="4">
        <v>48</v>
      </c>
      <c r="K22" s="1" t="s">
        <v>1</v>
      </c>
      <c r="L22" s="2" t="s">
        <v>2</v>
      </c>
      <c r="M22" s="50" t="s">
        <v>73</v>
      </c>
      <c r="N22" s="50"/>
      <c r="O22" s="6">
        <v>49</v>
      </c>
    </row>
    <row r="23" spans="1:15" ht="15" x14ac:dyDescent="0.35">
      <c r="A23" s="1" t="s">
        <v>4</v>
      </c>
      <c r="B23" s="2"/>
      <c r="C23" s="2" t="s">
        <v>2</v>
      </c>
      <c r="D23" s="2"/>
      <c r="F23" s="1" t="s">
        <v>4</v>
      </c>
      <c r="G23" s="2"/>
      <c r="H23" s="2" t="s">
        <v>2</v>
      </c>
      <c r="I23" s="2"/>
      <c r="J23" s="2"/>
      <c r="K23" s="1" t="s">
        <v>4</v>
      </c>
      <c r="L23" s="2"/>
      <c r="M23" s="2" t="s">
        <v>2</v>
      </c>
      <c r="N23" s="2"/>
      <c r="O23" s="3"/>
    </row>
    <row r="24" spans="1:15" ht="15" x14ac:dyDescent="0.35">
      <c r="A24" s="1" t="s">
        <v>5</v>
      </c>
      <c r="B24" s="2"/>
      <c r="C24" s="2" t="s">
        <v>2</v>
      </c>
      <c r="D24" s="8">
        <f>[1]krnmei!$C$1314</f>
        <v>15000</v>
      </c>
      <c r="E24" s="2"/>
      <c r="F24" s="1" t="s">
        <v>5</v>
      </c>
      <c r="G24" s="2"/>
      <c r="H24" s="2" t="s">
        <v>2</v>
      </c>
      <c r="I24" s="8">
        <f>[1]krnmei!$C$1331</f>
        <v>15000</v>
      </c>
      <c r="J24" s="2"/>
      <c r="K24" s="1" t="s">
        <v>5</v>
      </c>
      <c r="L24" s="2"/>
      <c r="M24" s="2" t="s">
        <v>2</v>
      </c>
      <c r="N24" s="8">
        <f>[1]krnmei!$C$1348</f>
        <v>15000</v>
      </c>
      <c r="O24" s="3"/>
    </row>
    <row r="25" spans="1:15" ht="15" x14ac:dyDescent="0.35">
      <c r="A25" s="1" t="s">
        <v>6</v>
      </c>
      <c r="B25" s="2"/>
      <c r="C25" s="2" t="s">
        <v>2</v>
      </c>
      <c r="D25" s="8">
        <f>[1]krnmei!$D$1314</f>
        <v>20000</v>
      </c>
      <c r="E25" s="2"/>
      <c r="F25" s="1" t="s">
        <v>6</v>
      </c>
      <c r="G25" s="2"/>
      <c r="H25" s="2" t="s">
        <v>2</v>
      </c>
      <c r="I25" s="8">
        <f>[1]krnmei!$D$1331</f>
        <v>20000</v>
      </c>
      <c r="J25" s="2"/>
      <c r="K25" s="1" t="s">
        <v>6</v>
      </c>
      <c r="L25" s="2"/>
      <c r="M25" s="2" t="s">
        <v>2</v>
      </c>
      <c r="N25" s="8">
        <f>[1]krnmei!$D$1348</f>
        <v>20000</v>
      </c>
      <c r="O25" s="3"/>
    </row>
    <row r="26" spans="1:15" ht="15" x14ac:dyDescent="0.35">
      <c r="A26" s="1" t="s">
        <v>7</v>
      </c>
      <c r="B26" s="2"/>
      <c r="C26" s="2" t="s">
        <v>2</v>
      </c>
      <c r="D26" s="8">
        <f>[1]krnmei!$E$1314</f>
        <v>50000</v>
      </c>
      <c r="E26" s="2"/>
      <c r="F26" s="1" t="s">
        <v>7</v>
      </c>
      <c r="G26" s="2"/>
      <c r="H26" s="2" t="s">
        <v>2</v>
      </c>
      <c r="I26" s="8">
        <f>[1]krnmei!$E$1331</f>
        <v>50000</v>
      </c>
      <c r="J26" s="2"/>
      <c r="K26" s="1" t="s">
        <v>7</v>
      </c>
      <c r="L26" s="2"/>
      <c r="M26" s="2" t="s">
        <v>2</v>
      </c>
      <c r="N26" s="8">
        <f>[1]krnmei!$E$1348</f>
        <v>50000</v>
      </c>
      <c r="O26" s="3"/>
    </row>
    <row r="27" spans="1:15" ht="15" x14ac:dyDescent="0.35">
      <c r="A27" s="1" t="s">
        <v>8</v>
      </c>
      <c r="B27" s="21"/>
      <c r="C27" s="2" t="s">
        <v>2</v>
      </c>
      <c r="D27" s="22">
        <v>0</v>
      </c>
      <c r="E27" s="2"/>
      <c r="F27" s="1" t="s">
        <v>8</v>
      </c>
      <c r="G27" s="2"/>
      <c r="H27" s="2" t="s">
        <v>2</v>
      </c>
      <c r="I27" s="8">
        <v>0</v>
      </c>
      <c r="J27" s="2"/>
      <c r="K27" s="1" t="s">
        <v>8</v>
      </c>
      <c r="L27" s="2"/>
      <c r="M27" s="2" t="s">
        <v>2</v>
      </c>
      <c r="N27" s="8">
        <v>0</v>
      </c>
      <c r="O27" s="3"/>
    </row>
    <row r="28" spans="1:15" ht="15" x14ac:dyDescent="0.35">
      <c r="A28" s="1" t="s">
        <v>9</v>
      </c>
      <c r="B28" s="2"/>
      <c r="C28" s="2" t="s">
        <v>2</v>
      </c>
      <c r="D28" s="8">
        <v>0</v>
      </c>
      <c r="E28" s="2"/>
      <c r="F28" s="1" t="s">
        <v>9</v>
      </c>
      <c r="G28" s="2"/>
      <c r="H28" s="2" t="s">
        <v>2</v>
      </c>
      <c r="I28" s="23">
        <v>0</v>
      </c>
      <c r="J28" s="2"/>
      <c r="K28" s="1" t="s">
        <v>9</v>
      </c>
      <c r="L28" s="2"/>
      <c r="M28" s="2" t="s">
        <v>2</v>
      </c>
      <c r="N28" s="8">
        <v>0</v>
      </c>
      <c r="O28" s="3"/>
    </row>
    <row r="29" spans="1:15" ht="15" x14ac:dyDescent="0.35">
      <c r="A29" s="1" t="s">
        <v>10</v>
      </c>
      <c r="B29" s="2">
        <v>0</v>
      </c>
      <c r="C29" s="2" t="s">
        <v>2</v>
      </c>
      <c r="D29" s="8">
        <v>0</v>
      </c>
      <c r="E29" s="2"/>
      <c r="F29" s="1" t="s">
        <v>10</v>
      </c>
      <c r="G29" s="2"/>
      <c r="H29" s="2" t="s">
        <v>2</v>
      </c>
      <c r="I29" s="8">
        <v>0</v>
      </c>
      <c r="J29" s="2"/>
      <c r="K29" s="1" t="s">
        <v>10</v>
      </c>
      <c r="L29" s="2"/>
      <c r="M29" s="2" t="s">
        <v>2</v>
      </c>
      <c r="N29" s="8">
        <v>0</v>
      </c>
      <c r="O29" s="3"/>
    </row>
    <row r="30" spans="1:15" ht="15" x14ac:dyDescent="0.35">
      <c r="A30" s="1" t="s">
        <v>11</v>
      </c>
      <c r="B30" s="2"/>
      <c r="C30" s="2" t="s">
        <v>2</v>
      </c>
      <c r="D30" s="8">
        <v>0</v>
      </c>
      <c r="E30" s="2"/>
      <c r="F30" s="1" t="s">
        <v>11</v>
      </c>
      <c r="G30" s="2"/>
      <c r="H30" s="2" t="s">
        <v>2</v>
      </c>
      <c r="I30" s="8">
        <v>0</v>
      </c>
      <c r="J30" s="2"/>
      <c r="K30" s="1" t="s">
        <v>11</v>
      </c>
      <c r="L30" s="2"/>
      <c r="M30" s="2" t="s">
        <v>2</v>
      </c>
      <c r="N30" s="9">
        <v>0</v>
      </c>
      <c r="O30" s="3"/>
    </row>
    <row r="31" spans="1:15" ht="15" x14ac:dyDescent="0.35">
      <c r="A31" s="1" t="s">
        <v>12</v>
      </c>
      <c r="B31" s="2"/>
      <c r="C31" s="2" t="s">
        <v>2</v>
      </c>
      <c r="D31" s="8">
        <f>[1]krnmei!$F$1314</f>
        <v>15000</v>
      </c>
      <c r="E31" s="2"/>
      <c r="F31" s="1" t="s">
        <v>12</v>
      </c>
      <c r="G31" s="2"/>
      <c r="H31" s="2" t="s">
        <v>2</v>
      </c>
      <c r="I31" s="8">
        <f>[1]krnmei!$F$1331</f>
        <v>15000</v>
      </c>
      <c r="J31" s="2"/>
      <c r="K31" s="1" t="s">
        <v>12</v>
      </c>
      <c r="L31" s="2"/>
      <c r="M31" s="2" t="s">
        <v>2</v>
      </c>
      <c r="N31" s="8">
        <f>[1]krnmei!$F$1348</f>
        <v>15000</v>
      </c>
      <c r="O31" s="3"/>
    </row>
    <row r="32" spans="1:15" ht="15" x14ac:dyDescent="0.35">
      <c r="A32" s="13" t="s">
        <v>13</v>
      </c>
      <c r="B32" s="5"/>
      <c r="C32" s="5" t="s">
        <v>2</v>
      </c>
      <c r="D32" s="8">
        <f>SUM(D24:D31)</f>
        <v>100000</v>
      </c>
      <c r="E32" s="2"/>
      <c r="F32" s="13" t="s">
        <v>13</v>
      </c>
      <c r="G32" s="5"/>
      <c r="H32" s="5" t="s">
        <v>2</v>
      </c>
      <c r="I32" s="24">
        <f>SUM(I24:I31)</f>
        <v>100000</v>
      </c>
      <c r="J32" s="2"/>
      <c r="K32" s="13" t="s">
        <v>13</v>
      </c>
      <c r="L32" s="5"/>
      <c r="M32" s="5" t="s">
        <v>2</v>
      </c>
      <c r="N32" s="24">
        <f>SUM(N24:N31)</f>
        <v>100000</v>
      </c>
      <c r="O32" s="3"/>
    </row>
    <row r="33" spans="1:15" ht="15" x14ac:dyDescent="0.35">
      <c r="A33" s="1" t="s">
        <v>14</v>
      </c>
      <c r="B33" s="2"/>
      <c r="C33" s="2" t="s">
        <v>2</v>
      </c>
      <c r="D33" s="8">
        <v>0</v>
      </c>
      <c r="E33" s="2"/>
      <c r="F33" s="1" t="s">
        <v>14</v>
      </c>
      <c r="G33" s="2"/>
      <c r="H33" s="2" t="s">
        <v>2</v>
      </c>
      <c r="I33" s="23">
        <f>[9]krnmei!$J$184</f>
        <v>0</v>
      </c>
      <c r="J33" s="2"/>
      <c r="K33" s="1" t="s">
        <v>14</v>
      </c>
      <c r="L33" s="2"/>
      <c r="M33" s="2" t="s">
        <v>2</v>
      </c>
      <c r="N33" s="25">
        <f>0</f>
        <v>0</v>
      </c>
      <c r="O33" s="3"/>
    </row>
    <row r="34" spans="1:15" ht="15" x14ac:dyDescent="0.35">
      <c r="A34" s="1"/>
      <c r="B34" s="2"/>
      <c r="C34" s="15"/>
      <c r="D34" s="15" t="str">
        <f>D15</f>
        <v>Grogol, 01 April  2026</v>
      </c>
      <c r="E34" s="2"/>
      <c r="F34" s="1"/>
      <c r="G34" s="2"/>
      <c r="H34" s="15"/>
      <c r="I34" s="15" t="str">
        <f>D34</f>
        <v>Grogol, 01 April  2026</v>
      </c>
      <c r="J34" s="15"/>
      <c r="K34" s="1"/>
      <c r="L34" s="2"/>
      <c r="M34" s="15"/>
      <c r="N34" s="15" t="str">
        <f>I34</f>
        <v>Grogol, 01 April  2026</v>
      </c>
      <c r="O34" s="16"/>
    </row>
    <row r="35" spans="1:15" ht="15" x14ac:dyDescent="0.35">
      <c r="A35" s="1"/>
      <c r="B35" s="2"/>
      <c r="C35" s="2"/>
      <c r="D35" s="15" t="s">
        <v>15</v>
      </c>
      <c r="E35" s="15"/>
      <c r="F35" s="1"/>
      <c r="G35" s="2"/>
      <c r="H35" s="2"/>
      <c r="I35" s="15" t="s">
        <v>15</v>
      </c>
      <c r="J35" s="2"/>
      <c r="K35" s="1"/>
      <c r="L35" s="2"/>
      <c r="M35" s="2"/>
      <c r="N35" s="15" t="s">
        <v>15</v>
      </c>
      <c r="O35" s="3"/>
    </row>
    <row r="36" spans="1:15" ht="15" x14ac:dyDescent="0.35">
      <c r="A36" s="1"/>
      <c r="B36" s="2"/>
      <c r="C36" s="2"/>
      <c r="D36" s="15"/>
      <c r="E36" s="15"/>
      <c r="F36" s="1"/>
      <c r="G36" s="2"/>
      <c r="H36" s="2"/>
      <c r="I36" s="15"/>
      <c r="J36" s="2"/>
      <c r="K36" s="1"/>
      <c r="L36" s="2"/>
      <c r="M36" s="2"/>
      <c r="N36" s="15"/>
      <c r="O36" s="3"/>
    </row>
    <row r="37" spans="1:15" ht="15" x14ac:dyDescent="0.35">
      <c r="A37" s="1"/>
      <c r="B37" s="2"/>
      <c r="C37" s="2"/>
      <c r="D37" s="15"/>
      <c r="E37" s="2"/>
      <c r="F37" s="1"/>
      <c r="G37" s="2"/>
      <c r="H37" s="2"/>
      <c r="I37" s="15"/>
      <c r="J37" s="2"/>
      <c r="K37" s="1"/>
      <c r="L37" s="2"/>
      <c r="M37" s="2"/>
      <c r="N37" s="15"/>
      <c r="O37" s="3"/>
    </row>
    <row r="38" spans="1:15" ht="15.6" thickBot="1" x14ac:dyDescent="0.4">
      <c r="A38" s="17"/>
      <c r="B38" s="18"/>
      <c r="C38" s="18"/>
      <c r="D38" s="19" t="s">
        <v>16</v>
      </c>
      <c r="E38" s="18"/>
      <c r="F38" s="17"/>
      <c r="G38" s="18"/>
      <c r="H38" s="18"/>
      <c r="I38" s="19" t="s">
        <v>16</v>
      </c>
      <c r="J38" s="18"/>
      <c r="K38" s="17"/>
      <c r="L38" s="18"/>
      <c r="M38" s="18"/>
      <c r="N38" s="19" t="s">
        <v>16</v>
      </c>
      <c r="O38" s="20"/>
    </row>
    <row r="39" spans="1:15" ht="15" x14ac:dyDescent="0.35">
      <c r="A39" s="46" t="s">
        <v>0</v>
      </c>
      <c r="B39" s="47"/>
      <c r="C39" s="47"/>
      <c r="D39" s="47"/>
      <c r="E39" s="47"/>
      <c r="F39" s="46" t="s">
        <v>0</v>
      </c>
      <c r="G39" s="47"/>
      <c r="H39" s="47"/>
      <c r="I39" s="47"/>
      <c r="J39" s="47"/>
      <c r="K39" s="46" t="s">
        <v>0</v>
      </c>
      <c r="L39" s="47"/>
      <c r="M39" s="47"/>
      <c r="N39" s="47"/>
      <c r="O39" s="48"/>
    </row>
    <row r="40" spans="1:15" ht="15" x14ac:dyDescent="0.35">
      <c r="A40" s="1"/>
      <c r="B40" s="2"/>
      <c r="C40" s="2"/>
      <c r="D40" s="2"/>
      <c r="E40" s="2"/>
      <c r="F40" s="1"/>
      <c r="G40" s="2"/>
      <c r="H40" s="2"/>
      <c r="I40" s="2"/>
      <c r="J40" s="2"/>
      <c r="K40" s="1"/>
      <c r="L40" s="2"/>
      <c r="M40" s="2"/>
      <c r="N40" s="2"/>
      <c r="O40" s="3"/>
    </row>
    <row r="41" spans="1:15" ht="15" x14ac:dyDescent="0.35">
      <c r="A41" s="1" t="s">
        <v>1</v>
      </c>
      <c r="B41" s="2" t="s">
        <v>2</v>
      </c>
      <c r="C41" s="50" t="s">
        <v>78</v>
      </c>
      <c r="D41" s="50"/>
      <c r="E41" s="4">
        <v>23</v>
      </c>
      <c r="F41" s="1" t="s">
        <v>1</v>
      </c>
      <c r="G41" s="2" t="s">
        <v>2</v>
      </c>
      <c r="H41" s="50" t="s">
        <v>17</v>
      </c>
      <c r="I41" s="50"/>
      <c r="J41" s="4">
        <v>1</v>
      </c>
      <c r="K41" s="1" t="s">
        <v>1</v>
      </c>
      <c r="L41" s="2" t="s">
        <v>2</v>
      </c>
      <c r="M41" s="50" t="s">
        <v>18</v>
      </c>
      <c r="N41" s="50"/>
      <c r="O41" s="6">
        <v>2</v>
      </c>
    </row>
    <row r="42" spans="1:15" ht="15" x14ac:dyDescent="0.35">
      <c r="A42" s="1" t="s">
        <v>4</v>
      </c>
      <c r="B42" s="2"/>
      <c r="C42" s="2" t="s">
        <v>2</v>
      </c>
      <c r="D42" s="2"/>
      <c r="F42" s="1" t="s">
        <v>4</v>
      </c>
      <c r="G42" s="2"/>
      <c r="H42" s="2" t="s">
        <v>2</v>
      </c>
      <c r="I42" s="2"/>
      <c r="J42" s="2"/>
      <c r="K42" s="1" t="s">
        <v>4</v>
      </c>
      <c r="L42" s="2"/>
      <c r="M42" s="2" t="s">
        <v>2</v>
      </c>
      <c r="N42" s="2"/>
      <c r="O42" s="3"/>
    </row>
    <row r="43" spans="1:15" ht="15" x14ac:dyDescent="0.35">
      <c r="A43" s="1" t="s">
        <v>5</v>
      </c>
      <c r="B43" s="2"/>
      <c r="C43" s="2" t="s">
        <v>2</v>
      </c>
      <c r="D43" s="8">
        <v>100000</v>
      </c>
      <c r="E43" s="2"/>
      <c r="F43" s="1" t="s">
        <v>5</v>
      </c>
      <c r="G43" s="2"/>
      <c r="H43" s="2" t="s">
        <v>2</v>
      </c>
      <c r="I43" s="8">
        <f>'[3]KARNING 2021'!$C$225</f>
        <v>100000</v>
      </c>
      <c r="J43" s="2"/>
      <c r="K43" s="1" t="s">
        <v>5</v>
      </c>
      <c r="L43" s="2"/>
      <c r="M43" s="2" t="s">
        <v>2</v>
      </c>
      <c r="N43" s="8">
        <f>'[3]KARNING 2021'!$C$242</f>
        <v>100000</v>
      </c>
      <c r="O43" s="3"/>
    </row>
    <row r="44" spans="1:15" ht="15" x14ac:dyDescent="0.35">
      <c r="A44" s="1" t="s">
        <v>6</v>
      </c>
      <c r="B44" s="2"/>
      <c r="C44" s="2" t="s">
        <v>2</v>
      </c>
      <c r="D44" s="8">
        <v>25000</v>
      </c>
      <c r="E44" s="2"/>
      <c r="F44" s="1" t="s">
        <v>6</v>
      </c>
      <c r="G44" s="2"/>
      <c r="H44" s="2" t="s">
        <v>2</v>
      </c>
      <c r="I44" s="8">
        <f>'[3]KARNING 2021'!$D$225</f>
        <v>100000</v>
      </c>
      <c r="J44" s="2"/>
      <c r="K44" s="1" t="s">
        <v>6</v>
      </c>
      <c r="L44" s="2"/>
      <c r="M44" s="2" t="s">
        <v>2</v>
      </c>
      <c r="N44" s="8">
        <f>'[3]KARNING 2021'!$D$242</f>
        <v>25000</v>
      </c>
      <c r="O44" s="3"/>
    </row>
    <row r="45" spans="1:15" ht="15" x14ac:dyDescent="0.35">
      <c r="A45" s="1" t="s">
        <v>7</v>
      </c>
      <c r="B45" s="2"/>
      <c r="C45" s="2" t="s">
        <v>2</v>
      </c>
      <c r="D45" s="8">
        <v>50000</v>
      </c>
      <c r="E45" s="2"/>
      <c r="F45" s="1" t="s">
        <v>7</v>
      </c>
      <c r="G45" s="2"/>
      <c r="H45" s="2" t="s">
        <v>2</v>
      </c>
      <c r="I45" s="8">
        <f>[10]krnmei!$E$230</f>
        <v>500000</v>
      </c>
      <c r="J45" s="2"/>
      <c r="K45" s="1" t="s">
        <v>7</v>
      </c>
      <c r="L45" s="2"/>
      <c r="M45" s="2" t="s">
        <v>2</v>
      </c>
      <c r="N45" s="8">
        <f>'[3]KARNING 2021'!$E$242</f>
        <v>150000</v>
      </c>
      <c r="O45" s="3"/>
    </row>
    <row r="46" spans="1:15" ht="15" x14ac:dyDescent="0.35">
      <c r="A46" s="1" t="s">
        <v>8</v>
      </c>
      <c r="B46" s="2">
        <v>2</v>
      </c>
      <c r="C46" s="2" t="s">
        <v>2</v>
      </c>
      <c r="D46" s="8">
        <f>[38]krnmei!$I$23</f>
        <v>1000000</v>
      </c>
      <c r="E46" s="2"/>
      <c r="F46" s="1" t="s">
        <v>8</v>
      </c>
      <c r="G46" s="21">
        <v>0</v>
      </c>
      <c r="H46" s="2" t="s">
        <v>2</v>
      </c>
      <c r="I46" s="25">
        <v>0</v>
      </c>
      <c r="J46" s="2"/>
      <c r="K46" s="1" t="s">
        <v>8</v>
      </c>
      <c r="L46" s="2">
        <v>19</v>
      </c>
      <c r="M46" s="2" t="s">
        <v>2</v>
      </c>
      <c r="N46" s="25">
        <f>[37]krnmei!$I$242</f>
        <v>1200000</v>
      </c>
      <c r="O46" s="3"/>
    </row>
    <row r="47" spans="1:15" ht="15" x14ac:dyDescent="0.35">
      <c r="A47" s="1" t="s">
        <v>9</v>
      </c>
      <c r="B47" s="2"/>
      <c r="C47" s="2" t="s">
        <v>2</v>
      </c>
      <c r="D47" s="8">
        <f>[40]krnmei!$K$24</f>
        <v>285000</v>
      </c>
      <c r="E47" s="2"/>
      <c r="F47" s="1" t="s">
        <v>9</v>
      </c>
      <c r="G47" s="2"/>
      <c r="H47" s="2" t="s">
        <v>2</v>
      </c>
      <c r="I47" s="26">
        <v>0</v>
      </c>
      <c r="J47" s="2"/>
      <c r="K47" s="1" t="s">
        <v>9</v>
      </c>
      <c r="L47" s="2"/>
      <c r="M47" s="2" t="s">
        <v>2</v>
      </c>
      <c r="N47" s="11">
        <f>[40]krnmei!$K$245</f>
        <v>538500</v>
      </c>
      <c r="O47" s="3"/>
    </row>
    <row r="48" spans="1:15" ht="15" x14ac:dyDescent="0.35">
      <c r="A48" s="1" t="s">
        <v>10</v>
      </c>
      <c r="B48" s="2"/>
      <c r="C48" s="2" t="s">
        <v>2</v>
      </c>
      <c r="D48" s="8">
        <v>0</v>
      </c>
      <c r="E48" s="2"/>
      <c r="F48" s="1" t="s">
        <v>10</v>
      </c>
      <c r="G48" s="2"/>
      <c r="H48" s="2" t="s">
        <v>2</v>
      </c>
      <c r="I48" s="8"/>
      <c r="J48" s="2"/>
      <c r="K48" s="1" t="s">
        <v>10</v>
      </c>
      <c r="L48" s="2"/>
      <c r="M48" s="2" t="s">
        <v>2</v>
      </c>
      <c r="N48" s="8">
        <f>[2]krnmei!$L$253</f>
        <v>0</v>
      </c>
      <c r="O48" s="3"/>
    </row>
    <row r="49" spans="1:15" ht="15" x14ac:dyDescent="0.35">
      <c r="A49" s="1" t="s">
        <v>11</v>
      </c>
      <c r="B49" s="2"/>
      <c r="C49" s="2" t="s">
        <v>2</v>
      </c>
      <c r="D49" s="8">
        <v>0</v>
      </c>
      <c r="E49" s="2"/>
      <c r="F49" s="1" t="s">
        <v>11</v>
      </c>
      <c r="G49" s="2"/>
      <c r="H49" s="2" t="s">
        <v>2</v>
      </c>
      <c r="I49" s="8">
        <f>[13]krnmei!$P$231</f>
        <v>0</v>
      </c>
      <c r="J49" s="2"/>
      <c r="K49" s="1" t="s">
        <v>11</v>
      </c>
      <c r="L49" s="2"/>
      <c r="M49" s="2" t="s">
        <v>2</v>
      </c>
      <c r="N49" s="8">
        <f>[14]krnmei!$P$242</f>
        <v>0</v>
      </c>
      <c r="O49" s="3"/>
    </row>
    <row r="50" spans="1:15" ht="15" x14ac:dyDescent="0.35">
      <c r="A50" s="1" t="s">
        <v>12</v>
      </c>
      <c r="B50" s="2"/>
      <c r="C50" s="2" t="s">
        <v>2</v>
      </c>
      <c r="D50" s="8">
        <v>25000</v>
      </c>
      <c r="E50" s="2"/>
      <c r="F50" s="1" t="s">
        <v>12</v>
      </c>
      <c r="G50" s="2"/>
      <c r="H50" s="2" t="s">
        <v>2</v>
      </c>
      <c r="I50" s="8">
        <f>[37]krnmei!$F$225</f>
        <v>500000</v>
      </c>
      <c r="J50" s="2"/>
      <c r="K50" s="1" t="s">
        <v>12</v>
      </c>
      <c r="L50" s="2"/>
      <c r="M50" s="2" t="s">
        <v>2</v>
      </c>
      <c r="N50" s="8">
        <f>'[3]KARNING 2021'!$F$242</f>
        <v>100000</v>
      </c>
      <c r="O50" s="3"/>
    </row>
    <row r="51" spans="1:15" ht="15" x14ac:dyDescent="0.35">
      <c r="A51" s="13" t="s">
        <v>13</v>
      </c>
      <c r="B51" s="5"/>
      <c r="C51" s="5" t="s">
        <v>2</v>
      </c>
      <c r="D51" s="24">
        <f>SUM(D43:D50)</f>
        <v>1485000</v>
      </c>
      <c r="E51" s="2"/>
      <c r="F51" s="13" t="s">
        <v>13</v>
      </c>
      <c r="G51" s="5"/>
      <c r="H51" s="5" t="s">
        <v>2</v>
      </c>
      <c r="I51" s="24">
        <f>SUM(I43:I50)</f>
        <v>1200000</v>
      </c>
      <c r="J51" s="2"/>
      <c r="K51" s="13" t="s">
        <v>13</v>
      </c>
      <c r="L51" s="5"/>
      <c r="M51" s="5" t="s">
        <v>2</v>
      </c>
      <c r="N51" s="24">
        <f>SUM(N43:N50)</f>
        <v>2113500</v>
      </c>
      <c r="O51" s="3"/>
    </row>
    <row r="52" spans="1:15" ht="15" x14ac:dyDescent="0.35">
      <c r="A52" s="1" t="s">
        <v>14</v>
      </c>
      <c r="B52" s="2"/>
      <c r="C52" s="2" t="s">
        <v>2</v>
      </c>
      <c r="D52" s="8">
        <f>[40]krnmei!$J$24</f>
        <v>18000000</v>
      </c>
      <c r="E52" s="2"/>
      <c r="F52" s="1" t="s">
        <v>14</v>
      </c>
      <c r="G52" s="2"/>
      <c r="H52" s="2" t="s">
        <v>2</v>
      </c>
      <c r="I52" s="27">
        <f>[13]krnmei!$O$230</f>
        <v>0</v>
      </c>
      <c r="J52" s="2"/>
      <c r="K52" s="1" t="s">
        <v>14</v>
      </c>
      <c r="L52" s="2"/>
      <c r="M52" s="2" t="s">
        <v>2</v>
      </c>
      <c r="N52" s="27">
        <f>[40]krnmei!$J$245</f>
        <v>34700000</v>
      </c>
      <c r="O52" s="3"/>
    </row>
    <row r="53" spans="1:15" ht="15" x14ac:dyDescent="0.35">
      <c r="A53" s="1"/>
      <c r="B53" s="2"/>
      <c r="C53" s="15"/>
      <c r="D53" s="15" t="str">
        <f>D34</f>
        <v>Grogol, 01 April  2026</v>
      </c>
      <c r="E53" s="2"/>
      <c r="F53" s="1"/>
      <c r="G53" s="2"/>
      <c r="H53" s="15"/>
      <c r="I53" s="15" t="str">
        <f>D53</f>
        <v>Grogol, 01 April  2026</v>
      </c>
      <c r="J53" s="15"/>
      <c r="K53" s="1"/>
      <c r="L53" s="2"/>
      <c r="M53" s="15"/>
      <c r="N53" s="15" t="str">
        <f>I53</f>
        <v>Grogol, 01 April  2026</v>
      </c>
      <c r="O53" s="16"/>
    </row>
    <row r="54" spans="1:15" ht="15" x14ac:dyDescent="0.35">
      <c r="A54" s="1"/>
      <c r="B54" s="2"/>
      <c r="C54" s="2"/>
      <c r="D54" s="15" t="s">
        <v>15</v>
      </c>
      <c r="E54" s="15"/>
      <c r="F54" s="1"/>
      <c r="G54" s="2"/>
      <c r="H54" s="2"/>
      <c r="I54" s="15" t="s">
        <v>15</v>
      </c>
      <c r="J54" s="2"/>
      <c r="K54" s="1"/>
      <c r="L54" s="2"/>
      <c r="M54" s="2"/>
      <c r="N54" s="15" t="s">
        <v>15</v>
      </c>
      <c r="O54" s="3"/>
    </row>
    <row r="55" spans="1:15" ht="15" x14ac:dyDescent="0.35">
      <c r="A55" s="1"/>
      <c r="B55" s="2"/>
      <c r="C55" s="2"/>
      <c r="D55" s="15"/>
      <c r="E55" s="15"/>
      <c r="F55" s="1"/>
      <c r="G55" s="2"/>
      <c r="H55" s="2"/>
      <c r="I55" s="15"/>
      <c r="J55" s="2"/>
      <c r="K55" s="1"/>
      <c r="L55" s="2"/>
      <c r="M55" s="2"/>
      <c r="N55" s="15"/>
      <c r="O55" s="3"/>
    </row>
    <row r="56" spans="1:15" ht="15" x14ac:dyDescent="0.35">
      <c r="A56" s="1"/>
      <c r="B56" s="2"/>
      <c r="C56" s="2"/>
      <c r="D56" s="15"/>
      <c r="E56" s="2"/>
      <c r="F56" s="1"/>
      <c r="G56" s="2"/>
      <c r="H56" s="2"/>
      <c r="I56" s="15"/>
      <c r="J56" s="2"/>
      <c r="K56" s="1"/>
      <c r="L56" s="2"/>
      <c r="M56" s="2"/>
      <c r="N56" s="15"/>
      <c r="O56" s="3"/>
    </row>
    <row r="57" spans="1:15" ht="15.6" thickBot="1" x14ac:dyDescent="0.4">
      <c r="A57" s="17"/>
      <c r="B57" s="18"/>
      <c r="C57" s="18"/>
      <c r="D57" s="19" t="s">
        <v>16</v>
      </c>
      <c r="E57" s="18"/>
      <c r="F57" s="17"/>
      <c r="G57" s="18"/>
      <c r="H57" s="18"/>
      <c r="I57" s="19" t="s">
        <v>16</v>
      </c>
      <c r="J57" s="18"/>
      <c r="K57" s="17"/>
      <c r="L57" s="18"/>
      <c r="M57" s="18"/>
      <c r="N57" s="19" t="s">
        <v>16</v>
      </c>
      <c r="O57" s="20"/>
    </row>
    <row r="58" spans="1:15" ht="15" x14ac:dyDescent="0.35">
      <c r="A58" s="46" t="s">
        <v>0</v>
      </c>
      <c r="B58" s="47"/>
      <c r="C58" s="47"/>
      <c r="D58" s="47"/>
      <c r="E58" s="47"/>
      <c r="F58" s="46" t="s">
        <v>0</v>
      </c>
      <c r="G58" s="47"/>
      <c r="H58" s="47"/>
      <c r="I58" s="47"/>
      <c r="J58" s="47"/>
      <c r="K58" s="46" t="s">
        <v>0</v>
      </c>
      <c r="L58" s="47"/>
      <c r="M58" s="47"/>
      <c r="N58" s="47"/>
      <c r="O58" s="48"/>
    </row>
    <row r="59" spans="1:15" ht="15" x14ac:dyDescent="0.35">
      <c r="A59" s="1"/>
      <c r="B59" s="2"/>
      <c r="C59" s="2"/>
      <c r="D59" s="2"/>
      <c r="E59" s="4"/>
      <c r="F59" s="1"/>
      <c r="G59" s="2"/>
      <c r="H59" s="2"/>
      <c r="I59" s="2"/>
      <c r="J59" s="2"/>
      <c r="K59" s="1"/>
      <c r="L59" s="2"/>
      <c r="M59" s="2"/>
      <c r="N59" s="2"/>
      <c r="O59" s="3"/>
    </row>
    <row r="60" spans="1:15" ht="15" x14ac:dyDescent="0.35">
      <c r="A60" s="1" t="s">
        <v>1</v>
      </c>
      <c r="B60" s="2" t="s">
        <v>2</v>
      </c>
      <c r="C60" s="51" t="s">
        <v>76</v>
      </c>
      <c r="D60" s="51"/>
      <c r="E60" s="4">
        <v>52</v>
      </c>
      <c r="F60" s="1" t="s">
        <v>1</v>
      </c>
      <c r="G60" s="2" t="s">
        <v>2</v>
      </c>
      <c r="H60" s="50" t="s">
        <v>19</v>
      </c>
      <c r="I60" s="50"/>
      <c r="J60" s="4">
        <v>3</v>
      </c>
      <c r="K60" s="1" t="s">
        <v>1</v>
      </c>
      <c r="L60" s="2" t="s">
        <v>2</v>
      </c>
      <c r="M60" s="50" t="s">
        <v>20</v>
      </c>
      <c r="N60" s="50"/>
      <c r="O60" s="6">
        <v>4</v>
      </c>
    </row>
    <row r="61" spans="1:15" ht="15" x14ac:dyDescent="0.35">
      <c r="A61" s="1" t="s">
        <v>4</v>
      </c>
      <c r="B61" s="2"/>
      <c r="C61" s="2" t="s">
        <v>2</v>
      </c>
      <c r="D61" s="2"/>
      <c r="F61" s="1" t="s">
        <v>4</v>
      </c>
      <c r="G61" s="2"/>
      <c r="H61" s="2" t="s">
        <v>2</v>
      </c>
      <c r="I61" s="2"/>
      <c r="J61" s="2"/>
      <c r="K61" s="1" t="s">
        <v>4</v>
      </c>
      <c r="L61" s="2"/>
      <c r="M61" s="2" t="s">
        <v>2</v>
      </c>
      <c r="N61" s="2"/>
      <c r="O61" s="3"/>
    </row>
    <row r="62" spans="1:15" ht="15" x14ac:dyDescent="0.35">
      <c r="A62" s="1" t="s">
        <v>5</v>
      </c>
      <c r="B62" s="2"/>
      <c r="C62" s="2" t="s">
        <v>2</v>
      </c>
      <c r="D62" s="8">
        <f>[16]krnmei!$C$1399</f>
        <v>15000</v>
      </c>
      <c r="E62" s="2"/>
      <c r="F62" s="1" t="s">
        <v>5</v>
      </c>
      <c r="G62" s="2"/>
      <c r="H62" s="2" t="s">
        <v>2</v>
      </c>
      <c r="I62" s="8">
        <f>'[3]KARNING 2021'!$C$276</f>
        <v>100000</v>
      </c>
      <c r="J62" s="2"/>
      <c r="K62" s="1" t="s">
        <v>5</v>
      </c>
      <c r="L62" s="2"/>
      <c r="M62" s="2" t="s">
        <v>2</v>
      </c>
      <c r="N62" s="8">
        <f>'[3]KARNING 2021'!$C$293</f>
        <v>100000</v>
      </c>
      <c r="O62" s="3"/>
    </row>
    <row r="63" spans="1:15" ht="15" x14ac:dyDescent="0.35">
      <c r="A63" s="1" t="s">
        <v>6</v>
      </c>
      <c r="B63" s="2"/>
      <c r="C63" s="2" t="s">
        <v>2</v>
      </c>
      <c r="D63" s="8">
        <f>[16]krnmei!$D$1399</f>
        <v>10000</v>
      </c>
      <c r="E63" s="2"/>
      <c r="F63" s="1" t="s">
        <v>6</v>
      </c>
      <c r="G63" s="2"/>
      <c r="H63" s="2" t="s">
        <v>2</v>
      </c>
      <c r="I63" s="8">
        <f>[17]krnmei!$D$278</f>
        <v>100000</v>
      </c>
      <c r="J63" s="2"/>
      <c r="K63" s="1" t="s">
        <v>6</v>
      </c>
      <c r="L63" s="2"/>
      <c r="M63" s="2" t="s">
        <v>2</v>
      </c>
      <c r="N63" s="8">
        <f>[17]krnmei!$D$295</f>
        <v>100000</v>
      </c>
      <c r="O63" s="3"/>
    </row>
    <row r="64" spans="1:15" ht="15" x14ac:dyDescent="0.35">
      <c r="A64" s="1" t="s">
        <v>7</v>
      </c>
      <c r="B64" s="2"/>
      <c r="C64" s="2" t="s">
        <v>2</v>
      </c>
      <c r="D64" s="8">
        <f>[16]krnmei!$E$1399</f>
        <v>100000</v>
      </c>
      <c r="E64" s="2"/>
      <c r="F64" s="1" t="s">
        <v>7</v>
      </c>
      <c r="G64" s="2"/>
      <c r="H64" s="2" t="s">
        <v>2</v>
      </c>
      <c r="I64" s="8">
        <f>[5]krnmei!$E$280</f>
        <v>500000</v>
      </c>
      <c r="J64" s="2"/>
      <c r="K64" s="1" t="s">
        <v>7</v>
      </c>
      <c r="L64" s="2"/>
      <c r="M64" s="2" t="s">
        <v>2</v>
      </c>
      <c r="N64" s="8">
        <f>[5]krnmei!$E$297</f>
        <v>600000</v>
      </c>
      <c r="O64" s="3"/>
    </row>
    <row r="65" spans="1:15" ht="15" x14ac:dyDescent="0.35">
      <c r="A65" s="1" t="s">
        <v>8</v>
      </c>
      <c r="B65" s="2">
        <v>7</v>
      </c>
      <c r="C65" s="2" t="s">
        <v>2</v>
      </c>
      <c r="D65" s="8">
        <f>[18]krnmei!$I$1407</f>
        <v>1000000</v>
      </c>
      <c r="E65" s="2"/>
      <c r="F65" s="1" t="s">
        <v>8</v>
      </c>
      <c r="G65" s="21">
        <v>45</v>
      </c>
      <c r="H65" s="2" t="s">
        <v>2</v>
      </c>
      <c r="I65" s="8">
        <f>[9]krnmei!$I$286</f>
        <v>500000</v>
      </c>
      <c r="J65" s="2"/>
      <c r="K65" s="1" t="s">
        <v>8</v>
      </c>
      <c r="L65" s="2"/>
      <c r="M65" s="2" t="s">
        <v>2</v>
      </c>
      <c r="N65" s="8">
        <v>0</v>
      </c>
      <c r="O65" s="3"/>
    </row>
    <row r="66" spans="1:15" ht="15" x14ac:dyDescent="0.35">
      <c r="A66" s="1" t="s">
        <v>9</v>
      </c>
      <c r="B66" s="2"/>
      <c r="C66" s="2" t="s">
        <v>2</v>
      </c>
      <c r="D66" s="8">
        <f>[40]krnmei!$K$1401</f>
        <v>60000</v>
      </c>
      <c r="E66" s="2"/>
      <c r="F66" s="1" t="s">
        <v>9</v>
      </c>
      <c r="G66" s="2"/>
      <c r="H66" s="2" t="s">
        <v>2</v>
      </c>
      <c r="I66" s="11">
        <f>[40]krnmei!$K$279</f>
        <v>15000</v>
      </c>
      <c r="J66" s="2"/>
      <c r="K66" s="1" t="s">
        <v>9</v>
      </c>
      <c r="L66" s="2"/>
      <c r="M66" s="2" t="s">
        <v>2</v>
      </c>
      <c r="N66" s="8">
        <f>[4]krnmei!$J$292</f>
        <v>0</v>
      </c>
      <c r="O66" s="3"/>
    </row>
    <row r="67" spans="1:15" ht="15" x14ac:dyDescent="0.35">
      <c r="A67" s="1" t="s">
        <v>10</v>
      </c>
      <c r="B67" s="2"/>
      <c r="C67" s="2" t="s">
        <v>2</v>
      </c>
      <c r="D67" s="8">
        <v>0</v>
      </c>
      <c r="E67" s="2"/>
      <c r="F67" s="1" t="s">
        <v>10</v>
      </c>
      <c r="G67" s="2"/>
      <c r="H67" s="2" t="s">
        <v>2</v>
      </c>
      <c r="I67" s="8">
        <v>0</v>
      </c>
      <c r="J67" s="2"/>
      <c r="K67" s="1" t="s">
        <v>10</v>
      </c>
      <c r="L67" s="2"/>
      <c r="M67" s="2" t="s">
        <v>2</v>
      </c>
      <c r="N67" s="8">
        <v>0</v>
      </c>
      <c r="O67" s="3"/>
    </row>
    <row r="68" spans="1:15" ht="15" x14ac:dyDescent="0.35">
      <c r="A68" s="1" t="s">
        <v>11</v>
      </c>
      <c r="B68" s="2"/>
      <c r="C68" s="2" t="s">
        <v>2</v>
      </c>
      <c r="D68" s="9">
        <v>0</v>
      </c>
      <c r="E68" s="2"/>
      <c r="F68" s="1" t="s">
        <v>11</v>
      </c>
      <c r="G68" s="2"/>
      <c r="H68" s="2" t="s">
        <v>2</v>
      </c>
      <c r="I68" s="9">
        <v>0</v>
      </c>
      <c r="J68" s="2"/>
      <c r="K68" s="1" t="s">
        <v>11</v>
      </c>
      <c r="L68" s="2"/>
      <c r="M68" s="2" t="s">
        <v>2</v>
      </c>
      <c r="N68" s="9">
        <v>0</v>
      </c>
      <c r="O68" s="3"/>
    </row>
    <row r="69" spans="1:15" ht="15" x14ac:dyDescent="0.35">
      <c r="A69" s="1" t="s">
        <v>12</v>
      </c>
      <c r="B69" s="2"/>
      <c r="C69" s="2" t="s">
        <v>2</v>
      </c>
      <c r="D69" s="8">
        <f>[16]krnmei!$F$1399</f>
        <v>50000</v>
      </c>
      <c r="E69" s="2"/>
      <c r="F69" s="1" t="s">
        <v>12</v>
      </c>
      <c r="G69" s="2"/>
      <c r="H69" s="2" t="s">
        <v>2</v>
      </c>
      <c r="I69" s="8">
        <f>'[3]KARNING 2021'!$F$276</f>
        <v>200000</v>
      </c>
      <c r="J69" s="2"/>
      <c r="K69" s="1" t="s">
        <v>12</v>
      </c>
      <c r="L69" s="2"/>
      <c r="M69" s="2" t="s">
        <v>2</v>
      </c>
      <c r="N69" s="8">
        <v>1000000</v>
      </c>
      <c r="O69" s="3"/>
    </row>
    <row r="70" spans="1:15" ht="15" x14ac:dyDescent="0.35">
      <c r="A70" s="13" t="s">
        <v>13</v>
      </c>
      <c r="B70" s="5"/>
      <c r="C70" s="5" t="s">
        <v>2</v>
      </c>
      <c r="D70" s="24">
        <f>SUM(D62:D69)</f>
        <v>1235000</v>
      </c>
      <c r="E70" s="2"/>
      <c r="F70" s="13" t="s">
        <v>13</v>
      </c>
      <c r="G70" s="5"/>
      <c r="H70" s="5" t="s">
        <v>2</v>
      </c>
      <c r="I70" s="8">
        <f>SUM(I62:I69)</f>
        <v>1415000</v>
      </c>
      <c r="J70" s="2"/>
      <c r="K70" s="13" t="s">
        <v>13</v>
      </c>
      <c r="L70" s="5"/>
      <c r="M70" s="5" t="s">
        <v>2</v>
      </c>
      <c r="N70" s="28">
        <f>SUM(N62:N69)</f>
        <v>1800000</v>
      </c>
      <c r="O70" s="3"/>
    </row>
    <row r="71" spans="1:15" ht="15" x14ac:dyDescent="0.35">
      <c r="A71" s="1" t="s">
        <v>14</v>
      </c>
      <c r="B71" s="2"/>
      <c r="C71" s="2" t="s">
        <v>2</v>
      </c>
      <c r="D71" s="8">
        <f>[40]krnmei!$J$1401</f>
        <v>3000000</v>
      </c>
      <c r="E71" s="2"/>
      <c r="F71" s="1" t="s">
        <v>14</v>
      </c>
      <c r="G71" s="2"/>
      <c r="H71" s="2" t="s">
        <v>2</v>
      </c>
      <c r="I71" s="27">
        <f>[40]krnmei!$J$279</f>
        <v>500000</v>
      </c>
      <c r="J71" s="2"/>
      <c r="K71" s="1" t="s">
        <v>14</v>
      </c>
      <c r="L71" s="2"/>
      <c r="M71" s="2" t="s">
        <v>2</v>
      </c>
      <c r="N71" s="8">
        <v>0</v>
      </c>
      <c r="O71" s="3"/>
    </row>
    <row r="72" spans="1:15" ht="15" x14ac:dyDescent="0.35">
      <c r="A72" s="1"/>
      <c r="B72" s="2"/>
      <c r="C72" s="15"/>
      <c r="D72" s="15" t="str">
        <f>D53</f>
        <v>Grogol, 01 April  2026</v>
      </c>
      <c r="E72" s="2"/>
      <c r="F72" s="1"/>
      <c r="G72" s="2"/>
      <c r="H72" s="15"/>
      <c r="I72" s="15" t="str">
        <f>I53</f>
        <v>Grogol, 01 April  2026</v>
      </c>
      <c r="J72" s="15"/>
      <c r="K72" s="1"/>
      <c r="L72" s="2"/>
      <c r="M72" s="15"/>
      <c r="N72" s="15" t="str">
        <f>I72</f>
        <v>Grogol, 01 April  2026</v>
      </c>
      <c r="O72" s="16"/>
    </row>
    <row r="73" spans="1:15" ht="15" x14ac:dyDescent="0.35">
      <c r="A73" s="1"/>
      <c r="B73" s="2"/>
      <c r="C73" s="2"/>
      <c r="D73" s="15" t="s">
        <v>15</v>
      </c>
      <c r="E73" s="15"/>
      <c r="F73" s="1"/>
      <c r="G73" s="2"/>
      <c r="H73" s="2"/>
      <c r="I73" s="15" t="s">
        <v>15</v>
      </c>
      <c r="J73" s="2"/>
      <c r="K73" s="1"/>
      <c r="L73" s="2"/>
      <c r="M73" s="2"/>
      <c r="N73" s="15" t="s">
        <v>15</v>
      </c>
      <c r="O73" s="3"/>
    </row>
    <row r="74" spans="1:15" ht="15" x14ac:dyDescent="0.35">
      <c r="A74" s="1"/>
      <c r="B74" s="2"/>
      <c r="C74" s="2"/>
      <c r="D74" s="15"/>
      <c r="E74" s="2"/>
      <c r="F74" s="1"/>
      <c r="G74" s="2"/>
      <c r="H74" s="2"/>
      <c r="I74" s="2"/>
      <c r="J74" s="2"/>
      <c r="K74" s="1"/>
      <c r="L74" s="2"/>
      <c r="M74" s="2"/>
      <c r="N74" s="15"/>
      <c r="O74" s="3"/>
    </row>
    <row r="75" spans="1:15" ht="15" x14ac:dyDescent="0.35">
      <c r="A75" s="1"/>
      <c r="B75" s="2"/>
      <c r="C75" s="2"/>
      <c r="D75" s="15"/>
      <c r="E75" s="2"/>
      <c r="F75" s="1"/>
      <c r="G75" s="2"/>
      <c r="H75" s="2"/>
      <c r="I75" s="15"/>
      <c r="J75" s="2"/>
      <c r="K75" s="1"/>
      <c r="L75" s="2"/>
      <c r="M75" s="2"/>
      <c r="N75" s="15"/>
      <c r="O75" s="3"/>
    </row>
    <row r="76" spans="1:15" ht="15.6" thickBot="1" x14ac:dyDescent="0.4">
      <c r="A76" s="17"/>
      <c r="B76" s="18"/>
      <c r="C76" s="18"/>
      <c r="D76" s="19" t="s">
        <v>16</v>
      </c>
      <c r="E76" s="18"/>
      <c r="F76" s="17"/>
      <c r="G76" s="18"/>
      <c r="H76" s="18"/>
      <c r="I76" s="19" t="s">
        <v>16</v>
      </c>
      <c r="J76" s="18"/>
      <c r="K76" s="17"/>
      <c r="L76" s="18"/>
      <c r="M76" s="18"/>
      <c r="N76" s="19" t="s">
        <v>16</v>
      </c>
      <c r="O76" s="20"/>
    </row>
    <row r="77" spans="1:15" ht="15" x14ac:dyDescent="0.35">
      <c r="A77" s="46" t="s">
        <v>0</v>
      </c>
      <c r="B77" s="47"/>
      <c r="C77" s="47"/>
      <c r="D77" s="47"/>
      <c r="E77" s="47"/>
      <c r="F77" s="46" t="s">
        <v>0</v>
      </c>
      <c r="G77" s="47"/>
      <c r="H77" s="47"/>
      <c r="I77" s="47"/>
      <c r="J77" s="47"/>
      <c r="K77" s="46" t="s">
        <v>0</v>
      </c>
      <c r="L77" s="47"/>
      <c r="M77" s="47"/>
      <c r="N77" s="47"/>
      <c r="O77" s="48"/>
    </row>
    <row r="78" spans="1:15" ht="15" x14ac:dyDescent="0.35">
      <c r="A78" s="1"/>
      <c r="B78" s="2"/>
      <c r="C78" s="2"/>
      <c r="D78" s="2"/>
      <c r="E78" s="2"/>
      <c r="F78" s="1"/>
      <c r="G78" s="2"/>
      <c r="H78" s="2"/>
      <c r="I78" s="2"/>
      <c r="J78" s="2"/>
      <c r="K78" s="1"/>
      <c r="L78" s="2"/>
      <c r="M78" s="2"/>
      <c r="N78" s="2"/>
      <c r="O78" s="3"/>
    </row>
    <row r="79" spans="1:15" ht="15" x14ac:dyDescent="0.35">
      <c r="A79" s="1" t="s">
        <v>1</v>
      </c>
      <c r="B79" s="2" t="s">
        <v>2</v>
      </c>
      <c r="C79" s="51" t="s">
        <v>21</v>
      </c>
      <c r="D79" s="51"/>
      <c r="E79" s="4">
        <v>5</v>
      </c>
      <c r="F79" s="1" t="s">
        <v>1</v>
      </c>
      <c r="G79" s="2" t="s">
        <v>2</v>
      </c>
      <c r="H79" s="50" t="s">
        <v>22</v>
      </c>
      <c r="I79" s="50"/>
      <c r="J79" s="4">
        <v>6</v>
      </c>
      <c r="K79" s="1" t="s">
        <v>1</v>
      </c>
      <c r="L79" s="2" t="s">
        <v>2</v>
      </c>
      <c r="M79" s="50" t="s">
        <v>77</v>
      </c>
      <c r="N79" s="50"/>
      <c r="O79" s="6">
        <v>53</v>
      </c>
    </row>
    <row r="80" spans="1:15" ht="15" x14ac:dyDescent="0.35">
      <c r="A80" s="1" t="s">
        <v>4</v>
      </c>
      <c r="B80" s="2"/>
      <c r="C80" s="2" t="s">
        <v>2</v>
      </c>
      <c r="D80" s="2"/>
      <c r="F80" s="1" t="s">
        <v>4</v>
      </c>
      <c r="G80" s="2"/>
      <c r="H80" s="2" t="s">
        <v>2</v>
      </c>
      <c r="I80" s="2"/>
      <c r="J80" s="2"/>
      <c r="K80" s="1" t="s">
        <v>4</v>
      </c>
      <c r="L80" s="2"/>
      <c r="M80" s="2" t="s">
        <v>2</v>
      </c>
      <c r="N80" s="2"/>
      <c r="O80" s="3"/>
    </row>
    <row r="81" spans="1:15" ht="15" x14ac:dyDescent="0.35">
      <c r="A81" s="1" t="s">
        <v>5</v>
      </c>
      <c r="B81" s="2"/>
      <c r="C81" s="2" t="s">
        <v>2</v>
      </c>
      <c r="D81" s="8">
        <f>'[3]KARNING 2021'!$C$310</f>
        <v>100000</v>
      </c>
      <c r="E81" s="2"/>
      <c r="F81" s="1" t="s">
        <v>5</v>
      </c>
      <c r="G81" s="2"/>
      <c r="H81" s="2" t="s">
        <v>2</v>
      </c>
      <c r="I81" s="8">
        <f>'[3]KARNING 2021'!$C$327</f>
        <v>100000</v>
      </c>
      <c r="J81" s="2"/>
      <c r="K81" s="1" t="s">
        <v>5</v>
      </c>
      <c r="L81" s="2"/>
      <c r="M81" s="2" t="s">
        <v>2</v>
      </c>
      <c r="N81" s="8">
        <f>[16]krnmei!$C$1416</f>
        <v>15000</v>
      </c>
      <c r="O81" s="3"/>
    </row>
    <row r="82" spans="1:15" ht="15" x14ac:dyDescent="0.35">
      <c r="A82" s="1" t="s">
        <v>6</v>
      </c>
      <c r="B82" s="2"/>
      <c r="C82" s="2" t="s">
        <v>2</v>
      </c>
      <c r="D82" s="8">
        <f>'[3]KARNING 2021'!$D$310</f>
        <v>10000</v>
      </c>
      <c r="E82" s="2"/>
      <c r="F82" s="1" t="s">
        <v>6</v>
      </c>
      <c r="G82" s="2"/>
      <c r="H82" s="2" t="s">
        <v>2</v>
      </c>
      <c r="I82" s="8">
        <f>'[3]KARNING 2021'!$D$327</f>
        <v>25000</v>
      </c>
      <c r="J82" s="2"/>
      <c r="K82" s="1" t="s">
        <v>6</v>
      </c>
      <c r="L82" s="2"/>
      <c r="M82" s="2" t="s">
        <v>2</v>
      </c>
      <c r="N82" s="8">
        <f>[16]krnmei!$D$1416</f>
        <v>10000</v>
      </c>
      <c r="O82" s="3"/>
    </row>
    <row r="83" spans="1:15" ht="15" x14ac:dyDescent="0.35">
      <c r="A83" s="1" t="s">
        <v>7</v>
      </c>
      <c r="B83" s="2"/>
      <c r="C83" s="2" t="s">
        <v>2</v>
      </c>
      <c r="D83" s="8">
        <f>'[3]KARNING 2021'!$E$310</f>
        <v>150000</v>
      </c>
      <c r="E83" s="2"/>
      <c r="F83" s="1" t="s">
        <v>23</v>
      </c>
      <c r="G83" s="2"/>
      <c r="H83" s="2" t="s">
        <v>2</v>
      </c>
      <c r="I83" s="8">
        <f>'[3]KARNING 2021'!$E$327</f>
        <v>200000</v>
      </c>
      <c r="J83" s="2"/>
      <c r="K83" s="1" t="s">
        <v>7</v>
      </c>
      <c r="L83" s="2"/>
      <c r="M83" s="2" t="s">
        <v>2</v>
      </c>
      <c r="N83" s="8">
        <f>[16]krnmei!$E$1416</f>
        <v>15000</v>
      </c>
      <c r="O83" s="3"/>
    </row>
    <row r="84" spans="1:15" ht="15" x14ac:dyDescent="0.35">
      <c r="A84" s="1" t="s">
        <v>8</v>
      </c>
      <c r="B84" s="2"/>
      <c r="C84" s="2" t="s">
        <v>2</v>
      </c>
      <c r="D84" s="8">
        <v>0</v>
      </c>
      <c r="E84" s="2"/>
      <c r="F84" s="1" t="s">
        <v>8</v>
      </c>
      <c r="G84" s="21">
        <v>26</v>
      </c>
      <c r="H84" s="2" t="s">
        <v>2</v>
      </c>
      <c r="I84" s="8">
        <f>'[3]KARNING 2021'!$I$327</f>
        <v>250000</v>
      </c>
      <c r="J84" s="2"/>
      <c r="K84" s="1" t="s">
        <v>8</v>
      </c>
      <c r="L84" s="21"/>
      <c r="M84" s="2" t="s">
        <v>2</v>
      </c>
      <c r="N84" s="8">
        <v>0</v>
      </c>
      <c r="O84" s="3"/>
    </row>
    <row r="85" spans="1:15" ht="15" x14ac:dyDescent="0.35">
      <c r="A85" s="1" t="s">
        <v>9</v>
      </c>
      <c r="B85" s="2"/>
      <c r="C85" s="2" t="s">
        <v>2</v>
      </c>
      <c r="D85" s="8">
        <v>0</v>
      </c>
      <c r="E85" s="2"/>
      <c r="F85" s="1" t="s">
        <v>9</v>
      </c>
      <c r="G85" s="2"/>
      <c r="H85" s="2" t="s">
        <v>2</v>
      </c>
      <c r="I85" s="11">
        <f>[40]krnmei!$K$330</f>
        <v>266250</v>
      </c>
      <c r="J85" s="2"/>
      <c r="K85" s="1" t="s">
        <v>9</v>
      </c>
      <c r="L85" s="2"/>
      <c r="M85" s="2" t="s">
        <v>2</v>
      </c>
      <c r="N85" s="11">
        <v>0</v>
      </c>
      <c r="O85" s="3"/>
    </row>
    <row r="86" spans="1:15" ht="15" x14ac:dyDescent="0.35">
      <c r="A86" s="1" t="s">
        <v>10</v>
      </c>
      <c r="B86" s="2"/>
      <c r="C86" s="2" t="s">
        <v>2</v>
      </c>
      <c r="D86" s="8">
        <v>0</v>
      </c>
      <c r="E86" s="2"/>
      <c r="F86" s="1" t="s">
        <v>10</v>
      </c>
      <c r="G86" s="2"/>
      <c r="H86" s="2" t="s">
        <v>2</v>
      </c>
      <c r="I86" s="8">
        <v>0</v>
      </c>
      <c r="J86" s="2"/>
      <c r="K86" s="1" t="s">
        <v>10</v>
      </c>
      <c r="L86" s="2"/>
      <c r="M86" s="2"/>
      <c r="N86" s="8">
        <v>0</v>
      </c>
      <c r="O86" s="3"/>
    </row>
    <row r="87" spans="1:15" ht="15" x14ac:dyDescent="0.35">
      <c r="A87" s="1" t="s">
        <v>11</v>
      </c>
      <c r="B87" s="2"/>
      <c r="C87" s="2" t="s">
        <v>2</v>
      </c>
      <c r="D87" s="41">
        <f>[12]krnmei!$P$321</f>
        <v>240000</v>
      </c>
      <c r="E87" s="2"/>
      <c r="F87" s="1" t="s">
        <v>11</v>
      </c>
      <c r="G87" s="2"/>
      <c r="H87" s="2" t="s">
        <v>2</v>
      </c>
      <c r="I87" s="9">
        <v>0</v>
      </c>
      <c r="J87" s="2"/>
      <c r="K87" s="1" t="s">
        <v>11</v>
      </c>
      <c r="L87" s="2"/>
      <c r="M87" s="2" t="s">
        <v>2</v>
      </c>
      <c r="N87" s="8">
        <v>0</v>
      </c>
      <c r="O87" s="3"/>
    </row>
    <row r="88" spans="1:15" ht="15.6" thickBot="1" x14ac:dyDescent="0.4">
      <c r="A88" s="1" t="s">
        <v>12</v>
      </c>
      <c r="B88" s="2"/>
      <c r="C88" s="2" t="s">
        <v>2</v>
      </c>
      <c r="D88" s="29">
        <f>'[3]KARNING 2021'!$F$310</f>
        <v>100000</v>
      </c>
      <c r="E88" s="2"/>
      <c r="F88" s="1" t="s">
        <v>12</v>
      </c>
      <c r="G88" s="2"/>
      <c r="H88" s="2" t="s">
        <v>2</v>
      </c>
      <c r="I88" s="8">
        <v>0</v>
      </c>
      <c r="J88" s="2"/>
      <c r="K88" s="1" t="s">
        <v>12</v>
      </c>
      <c r="L88" s="2"/>
      <c r="M88" s="2" t="s">
        <v>2</v>
      </c>
      <c r="N88" s="8">
        <f>[16]krnmei!$F$1416</f>
        <v>10000</v>
      </c>
      <c r="O88" s="3"/>
    </row>
    <row r="89" spans="1:15" ht="15.6" thickTop="1" x14ac:dyDescent="0.35">
      <c r="A89" s="13" t="s">
        <v>13</v>
      </c>
      <c r="B89" s="5"/>
      <c r="C89" s="5" t="s">
        <v>2</v>
      </c>
      <c r="D89" s="8">
        <f>SUM(D81:D88)</f>
        <v>600000</v>
      </c>
      <c r="E89" s="2"/>
      <c r="F89" s="13" t="s">
        <v>13</v>
      </c>
      <c r="G89" s="5"/>
      <c r="H89" s="5" t="s">
        <v>2</v>
      </c>
      <c r="I89" s="8">
        <f>SUM(I81:I88)</f>
        <v>841250</v>
      </c>
      <c r="J89" s="2"/>
      <c r="K89" s="13" t="s">
        <v>13</v>
      </c>
      <c r="L89" s="5"/>
      <c r="M89" s="5" t="s">
        <v>2</v>
      </c>
      <c r="N89" s="24">
        <f>SUM(N81:N88)</f>
        <v>50000</v>
      </c>
      <c r="O89" s="3"/>
    </row>
    <row r="90" spans="1:15" ht="15" x14ac:dyDescent="0.35">
      <c r="A90" s="1" t="s">
        <v>14</v>
      </c>
      <c r="B90" s="2"/>
      <c r="C90" s="2" t="s">
        <v>2</v>
      </c>
      <c r="D90" s="30">
        <f>[12]krnmei!$O$321</f>
        <v>12000000</v>
      </c>
      <c r="E90" s="2"/>
      <c r="F90" s="1" t="s">
        <v>14</v>
      </c>
      <c r="G90" s="2"/>
      <c r="H90" s="2" t="s">
        <v>2</v>
      </c>
      <c r="I90" s="27">
        <f>[40]krnmei!$J$330</f>
        <v>17500000</v>
      </c>
      <c r="J90" s="2"/>
      <c r="K90" s="1" t="s">
        <v>14</v>
      </c>
      <c r="L90" s="2"/>
      <c r="M90" s="2" t="s">
        <v>2</v>
      </c>
      <c r="N90" s="27">
        <v>0</v>
      </c>
      <c r="O90" s="3"/>
    </row>
    <row r="91" spans="1:15" ht="15" x14ac:dyDescent="0.35">
      <c r="A91" s="1"/>
      <c r="B91" s="2"/>
      <c r="C91" s="15"/>
      <c r="D91" s="15" t="str">
        <f>D72</f>
        <v>Grogol, 01 April  2026</v>
      </c>
      <c r="E91" s="2"/>
      <c r="F91" s="1"/>
      <c r="G91" s="2"/>
      <c r="H91" s="49" t="str">
        <f>D91</f>
        <v>Grogol, 01 April  2026</v>
      </c>
      <c r="I91" s="49"/>
      <c r="J91" s="49"/>
      <c r="K91" s="1"/>
      <c r="L91" s="2"/>
      <c r="M91" s="15"/>
      <c r="N91" s="15" t="str">
        <f>H91</f>
        <v>Grogol, 01 April  2026</v>
      </c>
      <c r="O91" s="16"/>
    </row>
    <row r="92" spans="1:15" ht="15" x14ac:dyDescent="0.35">
      <c r="A92" s="1"/>
      <c r="B92" s="2"/>
      <c r="C92" s="2"/>
      <c r="D92" s="15" t="s">
        <v>15</v>
      </c>
      <c r="E92" s="15"/>
      <c r="F92" s="1"/>
      <c r="G92" s="2"/>
      <c r="H92" s="2"/>
      <c r="I92" s="15" t="s">
        <v>15</v>
      </c>
      <c r="J92" s="2"/>
      <c r="K92" s="1"/>
      <c r="L92" s="2"/>
      <c r="M92" s="2"/>
      <c r="N92" s="15" t="s">
        <v>15</v>
      </c>
      <c r="O92" s="3"/>
    </row>
    <row r="93" spans="1:15" ht="15" x14ac:dyDescent="0.35">
      <c r="A93" s="1"/>
      <c r="B93" s="2"/>
      <c r="C93" s="2"/>
      <c r="D93" s="15"/>
      <c r="E93" s="2"/>
      <c r="F93" s="1"/>
      <c r="G93" s="2"/>
      <c r="H93" s="2"/>
      <c r="I93" s="2"/>
      <c r="J93" s="2"/>
      <c r="K93" s="1"/>
      <c r="L93" s="2"/>
      <c r="M93" s="2"/>
      <c r="N93" s="15"/>
      <c r="O93" s="3"/>
    </row>
    <row r="94" spans="1:15" ht="15" x14ac:dyDescent="0.35">
      <c r="A94" s="1"/>
      <c r="B94" s="2"/>
      <c r="C94" s="2"/>
      <c r="D94" s="15"/>
      <c r="E94" s="2"/>
      <c r="F94" s="1"/>
      <c r="G94" s="2"/>
      <c r="H94" s="2"/>
      <c r="I94" s="2"/>
      <c r="J94" s="2"/>
      <c r="K94" s="1"/>
      <c r="L94" s="2"/>
      <c r="M94" s="2"/>
      <c r="N94" s="15"/>
      <c r="O94" s="3"/>
    </row>
    <row r="95" spans="1:15" ht="15.6" thickBot="1" x14ac:dyDescent="0.4">
      <c r="A95" s="17"/>
      <c r="B95" s="18"/>
      <c r="C95" s="18"/>
      <c r="D95" s="19" t="s">
        <v>16</v>
      </c>
      <c r="E95" s="18"/>
      <c r="F95" s="17"/>
      <c r="G95" s="18"/>
      <c r="H95" s="18"/>
      <c r="I95" s="19" t="s">
        <v>16</v>
      </c>
      <c r="J95" s="18"/>
      <c r="K95" s="17"/>
      <c r="L95" s="18"/>
      <c r="M95" s="18"/>
      <c r="N95" s="19" t="s">
        <v>16</v>
      </c>
      <c r="O95" s="20"/>
    </row>
    <row r="96" spans="1:15" ht="15" x14ac:dyDescent="0.35">
      <c r="A96" s="46" t="s">
        <v>0</v>
      </c>
      <c r="B96" s="47"/>
      <c r="C96" s="47"/>
      <c r="D96" s="47"/>
      <c r="E96" s="47"/>
      <c r="F96" s="46" t="s">
        <v>0</v>
      </c>
      <c r="G96" s="47"/>
      <c r="H96" s="47"/>
      <c r="I96" s="47"/>
      <c r="J96" s="47"/>
      <c r="K96" s="46" t="s">
        <v>0</v>
      </c>
      <c r="L96" s="47"/>
      <c r="M96" s="47"/>
      <c r="N96" s="47"/>
      <c r="O96" s="48"/>
    </row>
    <row r="97" spans="1:15" ht="15" x14ac:dyDescent="0.35">
      <c r="A97" s="1"/>
      <c r="B97" s="2"/>
      <c r="C97" s="2"/>
      <c r="D97" s="2"/>
      <c r="E97" s="2"/>
      <c r="F97" s="1"/>
      <c r="G97" s="2"/>
      <c r="H97" s="2"/>
      <c r="I97" s="2"/>
      <c r="J97" s="2"/>
      <c r="K97" s="1"/>
      <c r="L97" s="2"/>
      <c r="M97" s="2"/>
      <c r="N97" s="2"/>
      <c r="O97" s="3"/>
    </row>
    <row r="98" spans="1:15" ht="15" x14ac:dyDescent="0.35">
      <c r="A98" s="1" t="s">
        <v>1</v>
      </c>
      <c r="B98" s="2" t="s">
        <v>2</v>
      </c>
      <c r="C98" s="51" t="s">
        <v>24</v>
      </c>
      <c r="D98" s="51"/>
      <c r="E98" s="4">
        <v>7</v>
      </c>
      <c r="F98" s="1" t="s">
        <v>1</v>
      </c>
      <c r="G98" s="2" t="s">
        <v>2</v>
      </c>
      <c r="H98" s="50" t="s">
        <v>25</v>
      </c>
      <c r="I98" s="50"/>
      <c r="J98" s="4">
        <v>8</v>
      </c>
      <c r="K98" s="1" t="s">
        <v>1</v>
      </c>
      <c r="L98" s="2" t="s">
        <v>2</v>
      </c>
      <c r="M98" s="50" t="s">
        <v>26</v>
      </c>
      <c r="N98" s="50"/>
      <c r="O98" s="6">
        <v>9</v>
      </c>
    </row>
    <row r="99" spans="1:15" ht="15" x14ac:dyDescent="0.35">
      <c r="A99" s="1" t="s">
        <v>4</v>
      </c>
      <c r="B99" s="2"/>
      <c r="C99" s="2" t="s">
        <v>2</v>
      </c>
      <c r="D99" s="2"/>
      <c r="F99" s="1" t="s">
        <v>4</v>
      </c>
      <c r="G99" s="2"/>
      <c r="H99" s="2" t="s">
        <v>2</v>
      </c>
      <c r="I99" s="2"/>
      <c r="J99" s="2"/>
      <c r="K99" s="1" t="s">
        <v>4</v>
      </c>
      <c r="L99" s="2"/>
      <c r="M99" s="2" t="s">
        <v>2</v>
      </c>
      <c r="N99" s="2"/>
      <c r="O99" s="3"/>
    </row>
    <row r="100" spans="1:15" ht="15" x14ac:dyDescent="0.35">
      <c r="A100" s="1" t="s">
        <v>5</v>
      </c>
      <c r="B100" s="2"/>
      <c r="C100" s="2" t="s">
        <v>2</v>
      </c>
      <c r="D100" s="8">
        <f>'[3]KARNING 2021'!$C$361</f>
        <v>100000</v>
      </c>
      <c r="E100" s="2"/>
      <c r="F100" s="1" t="s">
        <v>5</v>
      </c>
      <c r="G100" s="2"/>
      <c r="H100" s="2" t="s">
        <v>2</v>
      </c>
      <c r="I100" s="8">
        <f>'[3]KARNING 2021'!$C$378</f>
        <v>100000</v>
      </c>
      <c r="J100" s="2"/>
      <c r="K100" s="1" t="s">
        <v>5</v>
      </c>
      <c r="L100" s="2"/>
      <c r="M100" s="2" t="s">
        <v>2</v>
      </c>
      <c r="N100" s="8">
        <f>'[3]KARNING 2021'!$C$395</f>
        <v>100000</v>
      </c>
      <c r="O100" s="3"/>
    </row>
    <row r="101" spans="1:15" ht="15" x14ac:dyDescent="0.35">
      <c r="A101" s="1" t="s">
        <v>6</v>
      </c>
      <c r="B101" s="2"/>
      <c r="C101" s="2" t="s">
        <v>2</v>
      </c>
      <c r="D101" s="8">
        <v>400000</v>
      </c>
      <c r="E101" s="2"/>
      <c r="F101" s="1" t="s">
        <v>6</v>
      </c>
      <c r="G101" s="2"/>
      <c r="H101" s="2" t="s">
        <v>2</v>
      </c>
      <c r="I101" s="8">
        <f>'[3]KARNING 2021'!$D$378</f>
        <v>5000</v>
      </c>
      <c r="J101" s="2"/>
      <c r="K101" s="1" t="s">
        <v>6</v>
      </c>
      <c r="L101" s="2"/>
      <c r="M101" s="2" t="s">
        <v>2</v>
      </c>
      <c r="N101" s="8">
        <f>'[3]KARNING 2021'!$D$395</f>
        <v>5000</v>
      </c>
      <c r="O101" s="3"/>
    </row>
    <row r="102" spans="1:15" ht="15" x14ac:dyDescent="0.35">
      <c r="A102" s="1" t="s">
        <v>7</v>
      </c>
      <c r="B102" s="2"/>
      <c r="C102" s="2" t="s">
        <v>2</v>
      </c>
      <c r="D102" s="8">
        <f>[19]krnmei!$E$362</f>
        <v>200000</v>
      </c>
      <c r="E102" s="2"/>
      <c r="F102" s="1" t="s">
        <v>7</v>
      </c>
      <c r="G102" s="2"/>
      <c r="H102" s="2" t="s">
        <v>2</v>
      </c>
      <c r="I102" s="8">
        <v>150000</v>
      </c>
      <c r="J102" s="2"/>
      <c r="K102" s="1" t="s">
        <v>7</v>
      </c>
      <c r="L102" s="2"/>
      <c r="M102" s="2" t="s">
        <v>2</v>
      </c>
      <c r="N102" s="8">
        <f>[5]krnmei!$E$399</f>
        <v>200000</v>
      </c>
      <c r="O102" s="3"/>
    </row>
    <row r="103" spans="1:15" ht="15" x14ac:dyDescent="0.35">
      <c r="A103" s="1" t="s">
        <v>8</v>
      </c>
      <c r="B103" s="21">
        <v>21</v>
      </c>
      <c r="C103" s="2" t="s">
        <v>2</v>
      </c>
      <c r="D103" s="25">
        <f>[20]krnmei!$I$368</f>
        <v>500000</v>
      </c>
      <c r="E103" s="2"/>
      <c r="F103" s="1" t="s">
        <v>8</v>
      </c>
      <c r="G103" s="21">
        <v>71</v>
      </c>
      <c r="H103" s="2" t="s">
        <v>2</v>
      </c>
      <c r="I103" s="8">
        <f>[21]krnmei!$I$383</f>
        <v>500000</v>
      </c>
      <c r="J103" s="2"/>
      <c r="K103" s="1" t="s">
        <v>8</v>
      </c>
      <c r="L103" s="21">
        <v>8</v>
      </c>
      <c r="M103" s="2" t="s">
        <v>2</v>
      </c>
      <c r="N103" s="8">
        <f>[18]krnmei!$I$404</f>
        <v>1000000</v>
      </c>
      <c r="O103" s="3"/>
    </row>
    <row r="104" spans="1:15" ht="15" x14ac:dyDescent="0.35">
      <c r="A104" s="1" t="s">
        <v>9</v>
      </c>
      <c r="B104" s="2"/>
      <c r="C104" s="2" t="s">
        <v>2</v>
      </c>
      <c r="D104" s="30">
        <f>[40]krnmei!$K$364</f>
        <v>150000</v>
      </c>
      <c r="E104" s="2"/>
      <c r="F104" s="1" t="s">
        <v>9</v>
      </c>
      <c r="G104" s="2"/>
      <c r="H104" s="2" t="s">
        <v>2</v>
      </c>
      <c r="I104" s="11">
        <f>[40]krnmei!$K$381</f>
        <v>313800</v>
      </c>
      <c r="J104" s="2"/>
      <c r="K104" s="1" t="s">
        <v>9</v>
      </c>
      <c r="L104" s="2"/>
      <c r="M104" s="2" t="s">
        <v>2</v>
      </c>
      <c r="N104" s="11">
        <f>[40]krnmei!$K$398</f>
        <v>45000</v>
      </c>
      <c r="O104" s="3"/>
    </row>
    <row r="105" spans="1:15" ht="15" x14ac:dyDescent="0.35">
      <c r="A105" s="1" t="s">
        <v>10</v>
      </c>
      <c r="B105" s="2"/>
      <c r="C105" s="2" t="s">
        <v>2</v>
      </c>
      <c r="D105" s="8">
        <v>0</v>
      </c>
      <c r="E105" s="2"/>
      <c r="F105" s="1" t="s">
        <v>10</v>
      </c>
      <c r="G105" s="2"/>
      <c r="H105" s="2" t="s">
        <v>2</v>
      </c>
      <c r="I105" s="8"/>
      <c r="J105" s="2"/>
      <c r="K105" s="1" t="s">
        <v>10</v>
      </c>
      <c r="L105" s="2"/>
      <c r="M105" s="2" t="s">
        <v>2</v>
      </c>
      <c r="N105" s="8">
        <v>0</v>
      </c>
      <c r="O105" s="3"/>
    </row>
    <row r="106" spans="1:15" ht="15" x14ac:dyDescent="0.35">
      <c r="A106" s="1" t="s">
        <v>11</v>
      </c>
      <c r="B106" s="2"/>
      <c r="C106" s="2" t="s">
        <v>2</v>
      </c>
      <c r="D106" s="8">
        <v>0</v>
      </c>
      <c r="E106" s="2"/>
      <c r="F106" s="1" t="s">
        <v>11</v>
      </c>
      <c r="G106" s="2"/>
      <c r="H106" s="2" t="s">
        <v>2</v>
      </c>
      <c r="I106" s="8">
        <v>0</v>
      </c>
      <c r="J106" s="2"/>
      <c r="K106" s="1" t="s">
        <v>11</v>
      </c>
      <c r="L106" s="2"/>
      <c r="M106" s="2" t="s">
        <v>2</v>
      </c>
      <c r="N106" s="8">
        <f>[14]krnmei!$P$395</f>
        <v>0</v>
      </c>
      <c r="O106" s="3"/>
    </row>
    <row r="107" spans="1:15" ht="15" x14ac:dyDescent="0.35">
      <c r="A107" s="1" t="s">
        <v>12</v>
      </c>
      <c r="B107" s="2"/>
      <c r="C107" s="2" t="s">
        <v>2</v>
      </c>
      <c r="D107" s="8">
        <v>500000</v>
      </c>
      <c r="E107" s="2"/>
      <c r="F107" s="1" t="s">
        <v>12</v>
      </c>
      <c r="G107" s="2"/>
      <c r="H107" s="2" t="s">
        <v>2</v>
      </c>
      <c r="I107" s="8">
        <f>'[3]KARNING 2021'!$F$378</f>
        <v>100000</v>
      </c>
      <c r="J107" s="2"/>
      <c r="K107" s="1" t="s">
        <v>12</v>
      </c>
      <c r="L107" s="2"/>
      <c r="M107" s="2" t="s">
        <v>2</v>
      </c>
      <c r="N107" s="8">
        <f>[14]krnmei!$F$395</f>
        <v>200000</v>
      </c>
      <c r="O107" s="3"/>
    </row>
    <row r="108" spans="1:15" ht="15" x14ac:dyDescent="0.35">
      <c r="A108" s="13" t="s">
        <v>13</v>
      </c>
      <c r="B108" s="5"/>
      <c r="C108" s="5" t="s">
        <v>2</v>
      </c>
      <c r="D108" s="8">
        <f>SUM(D100:D107)</f>
        <v>1850000</v>
      </c>
      <c r="E108" s="2"/>
      <c r="F108" s="13" t="s">
        <v>13</v>
      </c>
      <c r="G108" s="5"/>
      <c r="H108" s="5" t="s">
        <v>2</v>
      </c>
      <c r="I108" s="24">
        <f>SUM(I100:I107)</f>
        <v>1168800</v>
      </c>
      <c r="J108" s="2"/>
      <c r="K108" s="13" t="s">
        <v>13</v>
      </c>
      <c r="L108" s="5"/>
      <c r="M108" s="5" t="s">
        <v>2</v>
      </c>
      <c r="N108" s="8">
        <f>SUM(N100:N107)</f>
        <v>1550000</v>
      </c>
      <c r="O108" s="3"/>
    </row>
    <row r="109" spans="1:15" ht="15" x14ac:dyDescent="0.35">
      <c r="A109" s="1" t="s">
        <v>14</v>
      </c>
      <c r="B109" s="2"/>
      <c r="C109" s="2" t="s">
        <v>2</v>
      </c>
      <c r="D109" s="30">
        <f>[40]krnmei!$J$364+30000000</f>
        <v>39500000</v>
      </c>
      <c r="E109" s="2"/>
      <c r="F109" s="1" t="s">
        <v>14</v>
      </c>
      <c r="G109" s="2"/>
      <c r="H109" s="2" t="s">
        <v>2</v>
      </c>
      <c r="I109" s="27">
        <f>[40]krnmei!$J$381</f>
        <v>20420000</v>
      </c>
      <c r="J109" s="2"/>
      <c r="K109" s="1" t="s">
        <v>14</v>
      </c>
      <c r="L109" s="2"/>
      <c r="M109" s="2" t="s">
        <v>2</v>
      </c>
      <c r="N109" s="27">
        <f>[40]krnmei!$J$398</f>
        <v>2000000</v>
      </c>
      <c r="O109" s="3"/>
    </row>
    <row r="110" spans="1:15" ht="15" x14ac:dyDescent="0.35">
      <c r="A110" s="1"/>
      <c r="B110" s="2"/>
      <c r="C110" s="15"/>
      <c r="D110" s="15" t="str">
        <f>D91</f>
        <v>Grogol, 01 April  2026</v>
      </c>
      <c r="E110" s="2"/>
      <c r="F110" s="1"/>
      <c r="G110" s="2"/>
      <c r="H110" s="15"/>
      <c r="I110" s="15" t="str">
        <f>D110</f>
        <v>Grogol, 01 April  2026</v>
      </c>
      <c r="J110" s="15"/>
      <c r="K110" s="1"/>
      <c r="L110" s="2"/>
      <c r="M110" s="15"/>
      <c r="N110" s="15" t="str">
        <f>I110</f>
        <v>Grogol, 01 April  2026</v>
      </c>
      <c r="O110" s="16"/>
    </row>
    <row r="111" spans="1:15" ht="15" x14ac:dyDescent="0.35">
      <c r="A111" s="1"/>
      <c r="B111" s="2"/>
      <c r="C111" s="2"/>
      <c r="D111" s="15" t="s">
        <v>15</v>
      </c>
      <c r="E111" s="15"/>
      <c r="F111" s="1"/>
      <c r="G111" s="2"/>
      <c r="H111" s="2"/>
      <c r="I111" s="15" t="s">
        <v>15</v>
      </c>
      <c r="J111" s="2"/>
      <c r="K111" s="1"/>
      <c r="L111" s="2"/>
      <c r="M111" s="2"/>
      <c r="N111" s="15" t="s">
        <v>15</v>
      </c>
      <c r="O111" s="3"/>
    </row>
    <row r="112" spans="1:15" ht="15" x14ac:dyDescent="0.35">
      <c r="A112" s="1"/>
      <c r="B112" s="2"/>
      <c r="C112" s="2"/>
      <c r="D112" s="15"/>
      <c r="E112" s="2"/>
      <c r="F112" s="1"/>
      <c r="G112" s="2"/>
      <c r="H112" s="2"/>
      <c r="I112" s="15"/>
      <c r="J112" s="2"/>
      <c r="K112" s="1"/>
      <c r="L112" s="2"/>
      <c r="M112" s="2"/>
      <c r="N112" s="15"/>
      <c r="O112" s="3"/>
    </row>
    <row r="113" spans="1:15" ht="15" x14ac:dyDescent="0.35">
      <c r="A113" s="1"/>
      <c r="B113" s="2"/>
      <c r="C113" s="2"/>
      <c r="D113" s="15"/>
      <c r="E113" s="2"/>
      <c r="F113" s="1"/>
      <c r="G113" s="2"/>
      <c r="H113" s="2"/>
      <c r="I113" s="15"/>
      <c r="J113" s="2"/>
      <c r="K113" s="1"/>
      <c r="L113" s="2"/>
      <c r="M113" s="2"/>
      <c r="N113" s="15"/>
      <c r="O113" s="3"/>
    </row>
    <row r="114" spans="1:15" ht="15.6" thickBot="1" x14ac:dyDescent="0.4">
      <c r="A114" s="17"/>
      <c r="B114" s="18"/>
      <c r="C114" s="18"/>
      <c r="D114" s="19" t="s">
        <v>16</v>
      </c>
      <c r="E114" s="18"/>
      <c r="F114" s="17"/>
      <c r="G114" s="18"/>
      <c r="H114" s="18"/>
      <c r="I114" s="19" t="s">
        <v>16</v>
      </c>
      <c r="J114" s="18"/>
      <c r="K114" s="17"/>
      <c r="L114" s="18"/>
      <c r="M114" s="18"/>
      <c r="N114" s="19" t="s">
        <v>16</v>
      </c>
      <c r="O114" s="20"/>
    </row>
    <row r="115" spans="1:15" ht="15" x14ac:dyDescent="0.35">
      <c r="A115" s="46" t="s">
        <v>0</v>
      </c>
      <c r="B115" s="47"/>
      <c r="C115" s="47"/>
      <c r="D115" s="47"/>
      <c r="E115" s="47"/>
      <c r="F115" s="46" t="s">
        <v>0</v>
      </c>
      <c r="G115" s="47"/>
      <c r="H115" s="47"/>
      <c r="I115" s="47"/>
      <c r="J115" s="47"/>
      <c r="K115" s="46" t="s">
        <v>0</v>
      </c>
      <c r="L115" s="47"/>
      <c r="M115" s="47"/>
      <c r="N115" s="47"/>
      <c r="O115" s="48"/>
    </row>
    <row r="116" spans="1:15" ht="15" x14ac:dyDescent="0.35">
      <c r="A116" s="1"/>
      <c r="B116" s="2"/>
      <c r="C116" s="2"/>
      <c r="D116" s="2"/>
      <c r="E116" s="2"/>
      <c r="F116" s="1"/>
      <c r="G116" s="2"/>
      <c r="H116" s="2"/>
      <c r="I116" s="2"/>
      <c r="J116" s="2"/>
      <c r="K116" s="1"/>
      <c r="L116" s="2"/>
      <c r="M116" s="2"/>
      <c r="N116" s="2"/>
      <c r="O116" s="3"/>
    </row>
    <row r="117" spans="1:15" ht="15" x14ac:dyDescent="0.35">
      <c r="A117" s="1" t="s">
        <v>1</v>
      </c>
      <c r="B117" s="2" t="s">
        <v>2</v>
      </c>
      <c r="C117" s="50" t="s">
        <v>81</v>
      </c>
      <c r="D117" s="50"/>
      <c r="E117" s="4">
        <v>54</v>
      </c>
      <c r="F117" s="1" t="s">
        <v>1</v>
      </c>
      <c r="G117" s="2" t="s">
        <v>2</v>
      </c>
      <c r="H117" s="50" t="s">
        <v>79</v>
      </c>
      <c r="I117" s="50"/>
      <c r="J117" s="6">
        <v>41</v>
      </c>
      <c r="K117" s="1" t="s">
        <v>1</v>
      </c>
      <c r="L117" s="2" t="s">
        <v>2</v>
      </c>
      <c r="M117" s="50" t="s">
        <v>27</v>
      </c>
      <c r="N117" s="50"/>
      <c r="O117" s="6">
        <v>10</v>
      </c>
    </row>
    <row r="118" spans="1:15" ht="15" x14ac:dyDescent="0.35">
      <c r="A118" s="1" t="s">
        <v>4</v>
      </c>
      <c r="B118" s="2"/>
      <c r="C118" s="2" t="s">
        <v>2</v>
      </c>
      <c r="D118" s="2"/>
      <c r="F118" s="1" t="s">
        <v>4</v>
      </c>
      <c r="G118" s="2"/>
      <c r="H118" s="2" t="s">
        <v>2</v>
      </c>
      <c r="I118" s="2"/>
      <c r="J118" s="2"/>
      <c r="K118" s="1" t="s">
        <v>4</v>
      </c>
      <c r="L118" s="2"/>
      <c r="M118" s="2" t="s">
        <v>2</v>
      </c>
      <c r="N118" s="2"/>
      <c r="O118" s="3"/>
    </row>
    <row r="119" spans="1:15" ht="15" x14ac:dyDescent="0.35">
      <c r="A119" s="1" t="s">
        <v>5</v>
      </c>
      <c r="B119" s="2"/>
      <c r="C119" s="2" t="s">
        <v>2</v>
      </c>
      <c r="D119" s="8">
        <v>15000</v>
      </c>
      <c r="E119" s="2"/>
      <c r="F119" s="1" t="s">
        <v>5</v>
      </c>
      <c r="G119" s="2"/>
      <c r="H119" s="2" t="s">
        <v>2</v>
      </c>
      <c r="I119" s="8">
        <v>100000</v>
      </c>
      <c r="J119" s="2"/>
      <c r="K119" s="1" t="s">
        <v>5</v>
      </c>
      <c r="L119" s="2"/>
      <c r="M119" s="2" t="s">
        <v>2</v>
      </c>
      <c r="N119" s="8">
        <f>'[3]KARNING 2021'!$C$446</f>
        <v>100000</v>
      </c>
      <c r="O119" s="3"/>
    </row>
    <row r="120" spans="1:15" ht="15" x14ac:dyDescent="0.35">
      <c r="A120" s="1" t="s">
        <v>6</v>
      </c>
      <c r="B120" s="2"/>
      <c r="C120" s="2" t="s">
        <v>2</v>
      </c>
      <c r="D120" s="8">
        <v>10000</v>
      </c>
      <c r="E120" s="2"/>
      <c r="F120" s="1" t="s">
        <v>6</v>
      </c>
      <c r="G120" s="2"/>
      <c r="H120" s="2" t="s">
        <v>2</v>
      </c>
      <c r="I120" s="8">
        <v>10000</v>
      </c>
      <c r="J120" s="2"/>
      <c r="K120" s="1" t="s">
        <v>6</v>
      </c>
      <c r="L120" s="2"/>
      <c r="M120" s="2" t="s">
        <v>2</v>
      </c>
      <c r="N120" s="8">
        <f>'[3]KARNING 2021'!$D$446</f>
        <v>50000</v>
      </c>
      <c r="O120" s="3"/>
    </row>
    <row r="121" spans="1:15" ht="15" x14ac:dyDescent="0.35">
      <c r="A121" s="1" t="s">
        <v>7</v>
      </c>
      <c r="B121" s="2"/>
      <c r="C121" s="2" t="s">
        <v>2</v>
      </c>
      <c r="D121" s="8">
        <v>25000</v>
      </c>
      <c r="E121" s="2"/>
      <c r="F121" s="1" t="s">
        <v>7</v>
      </c>
      <c r="G121" s="2"/>
      <c r="H121" s="2" t="s">
        <v>2</v>
      </c>
      <c r="I121" s="8">
        <v>50000</v>
      </c>
      <c r="J121" s="2"/>
      <c r="K121" s="1" t="s">
        <v>7</v>
      </c>
      <c r="L121" s="2"/>
      <c r="M121" s="2" t="s">
        <v>2</v>
      </c>
      <c r="N121" s="8">
        <f>'[3]KARNING 2021'!$E$446</f>
        <v>200000</v>
      </c>
      <c r="O121" s="3"/>
    </row>
    <row r="122" spans="1:15" ht="15" x14ac:dyDescent="0.35">
      <c r="A122" s="1" t="s">
        <v>8</v>
      </c>
      <c r="B122" s="2"/>
      <c r="C122" s="2" t="s">
        <v>2</v>
      </c>
      <c r="D122" s="8"/>
      <c r="E122" s="2"/>
      <c r="F122" s="1" t="s">
        <v>8</v>
      </c>
      <c r="G122" s="2">
        <v>28</v>
      </c>
      <c r="H122" s="2" t="s">
        <v>2</v>
      </c>
      <c r="I122" s="8">
        <v>150000</v>
      </c>
      <c r="J122" s="2"/>
      <c r="K122" s="1" t="s">
        <v>8</v>
      </c>
      <c r="L122" s="21">
        <v>36</v>
      </c>
      <c r="M122" s="2" t="s">
        <v>2</v>
      </c>
      <c r="N122" s="8">
        <f>'[3]KARNING 2021'!$I$446</f>
        <v>500000</v>
      </c>
      <c r="O122" s="3"/>
    </row>
    <row r="123" spans="1:15" ht="15" x14ac:dyDescent="0.35">
      <c r="A123" s="1" t="s">
        <v>9</v>
      </c>
      <c r="B123" s="2"/>
      <c r="C123" s="2" t="s">
        <v>2</v>
      </c>
      <c r="D123" s="30"/>
      <c r="E123" s="2"/>
      <c r="F123" s="1" t="s">
        <v>9</v>
      </c>
      <c r="G123" s="2"/>
      <c r="H123" s="2" t="s">
        <v>2</v>
      </c>
      <c r="I123" s="30">
        <f>[40]krnmei!$K$500</f>
        <v>520815</v>
      </c>
      <c r="J123" s="2"/>
      <c r="K123" s="1" t="s">
        <v>9</v>
      </c>
      <c r="L123" s="2"/>
      <c r="M123" s="2" t="s">
        <v>2</v>
      </c>
      <c r="N123" s="11">
        <f>[40]krnmei!$K$449</f>
        <v>412500</v>
      </c>
      <c r="O123" s="3"/>
    </row>
    <row r="124" spans="1:15" ht="15" x14ac:dyDescent="0.35">
      <c r="A124" s="1" t="s">
        <v>10</v>
      </c>
      <c r="B124" s="2"/>
      <c r="C124" s="2" t="s">
        <v>2</v>
      </c>
      <c r="D124" s="8"/>
      <c r="E124" s="2"/>
      <c r="F124" s="1" t="s">
        <v>10</v>
      </c>
      <c r="G124" s="2"/>
      <c r="H124" s="2" t="s">
        <v>2</v>
      </c>
      <c r="I124" s="8">
        <v>0</v>
      </c>
      <c r="J124" s="2"/>
      <c r="K124" s="1" t="s">
        <v>10</v>
      </c>
      <c r="L124" s="2"/>
      <c r="M124" s="2" t="s">
        <v>2</v>
      </c>
      <c r="N124" s="8"/>
      <c r="O124" s="3"/>
    </row>
    <row r="125" spans="1:15" ht="15" x14ac:dyDescent="0.35">
      <c r="A125" s="1" t="s">
        <v>11</v>
      </c>
      <c r="B125" s="2"/>
      <c r="C125" s="2" t="s">
        <v>2</v>
      </c>
      <c r="D125" s="8"/>
      <c r="E125" s="2"/>
      <c r="F125" s="1" t="s">
        <v>11</v>
      </c>
      <c r="G125" s="2"/>
      <c r="H125" s="2" t="s">
        <v>2</v>
      </c>
      <c r="I125" s="9"/>
      <c r="J125" s="2"/>
      <c r="K125" s="1" t="s">
        <v>11</v>
      </c>
      <c r="L125" s="2"/>
      <c r="M125" s="2" t="s">
        <v>2</v>
      </c>
      <c r="N125" s="9">
        <v>0</v>
      </c>
      <c r="O125" s="3"/>
    </row>
    <row r="126" spans="1:15" ht="15" x14ac:dyDescent="0.35">
      <c r="A126" s="1" t="s">
        <v>12</v>
      </c>
      <c r="B126" s="2"/>
      <c r="C126" s="2" t="s">
        <v>2</v>
      </c>
      <c r="D126" s="8">
        <v>50000</v>
      </c>
      <c r="E126" s="2"/>
      <c r="F126" s="1" t="s">
        <v>12</v>
      </c>
      <c r="G126" s="2"/>
      <c r="H126" s="2" t="s">
        <v>2</v>
      </c>
      <c r="I126" s="8">
        <v>0</v>
      </c>
      <c r="J126" s="2"/>
      <c r="K126" s="1" t="s">
        <v>12</v>
      </c>
      <c r="L126" s="2"/>
      <c r="M126" s="2" t="s">
        <v>2</v>
      </c>
      <c r="N126" s="8">
        <f>'[3]KARNING 2021'!$F$446</f>
        <v>100000</v>
      </c>
      <c r="O126" s="3"/>
    </row>
    <row r="127" spans="1:15" ht="15" x14ac:dyDescent="0.35">
      <c r="A127" s="13" t="s">
        <v>13</v>
      </c>
      <c r="B127" s="5"/>
      <c r="C127" s="5" t="s">
        <v>2</v>
      </c>
      <c r="D127" s="24">
        <f>SUM(D119:D126)</f>
        <v>100000</v>
      </c>
      <c r="E127" s="2"/>
      <c r="F127" s="13" t="s">
        <v>13</v>
      </c>
      <c r="G127" s="5"/>
      <c r="H127" s="5" t="s">
        <v>2</v>
      </c>
      <c r="I127" s="8">
        <f>SUM(I119:I126)</f>
        <v>830815</v>
      </c>
      <c r="J127" s="2"/>
      <c r="K127" s="13" t="s">
        <v>13</v>
      </c>
      <c r="L127" s="5"/>
      <c r="M127" s="5" t="s">
        <v>2</v>
      </c>
      <c r="N127" s="24">
        <f>SUM(N119:N126)</f>
        <v>1362500</v>
      </c>
      <c r="O127" s="3"/>
    </row>
    <row r="128" spans="1:15" ht="15" x14ac:dyDescent="0.35">
      <c r="A128" s="1" t="s">
        <v>14</v>
      </c>
      <c r="B128" s="2"/>
      <c r="C128" s="2" t="s">
        <v>2</v>
      </c>
      <c r="D128" s="31"/>
      <c r="E128" s="2"/>
      <c r="F128" s="1" t="s">
        <v>14</v>
      </c>
      <c r="G128" s="2"/>
      <c r="H128" s="2" t="s">
        <v>2</v>
      </c>
      <c r="I128" s="25">
        <f>[40]krnmei!$J$500</f>
        <v>34571000</v>
      </c>
      <c r="J128" s="2"/>
      <c r="K128" s="1" t="s">
        <v>14</v>
      </c>
      <c r="L128" s="2"/>
      <c r="M128" s="2" t="s">
        <v>2</v>
      </c>
      <c r="N128" s="27">
        <f>[40]krnmei!$J$449</f>
        <v>27000000</v>
      </c>
      <c r="O128" s="3"/>
    </row>
    <row r="129" spans="1:15" ht="15" x14ac:dyDescent="0.35">
      <c r="A129" s="1"/>
      <c r="B129" s="2"/>
      <c r="C129" s="15"/>
      <c r="D129" s="15" t="str">
        <f>D110</f>
        <v>Grogol, 01 April  2026</v>
      </c>
      <c r="E129" s="2"/>
      <c r="F129" s="1"/>
      <c r="G129" s="2"/>
      <c r="H129" s="15"/>
      <c r="I129" s="15" t="str">
        <f>D110</f>
        <v>Grogol, 01 April  2026</v>
      </c>
      <c r="J129" s="15"/>
      <c r="K129" s="1"/>
      <c r="L129" s="2"/>
      <c r="M129" s="15"/>
      <c r="N129" s="15" t="str">
        <f>D110</f>
        <v>Grogol, 01 April  2026</v>
      </c>
      <c r="O129" s="16"/>
    </row>
    <row r="130" spans="1:15" ht="15" x14ac:dyDescent="0.35">
      <c r="A130" s="1"/>
      <c r="B130" s="2"/>
      <c r="C130" s="2"/>
      <c r="D130" s="15" t="s">
        <v>15</v>
      </c>
      <c r="E130" s="15"/>
      <c r="F130" s="1"/>
      <c r="G130" s="2"/>
      <c r="H130" s="2"/>
      <c r="I130" s="15" t="s">
        <v>15</v>
      </c>
      <c r="J130" s="2"/>
      <c r="K130" s="1"/>
      <c r="L130" s="2"/>
      <c r="M130" s="2"/>
      <c r="N130" s="15" t="s">
        <v>15</v>
      </c>
      <c r="O130" s="3"/>
    </row>
    <row r="131" spans="1:15" ht="15" x14ac:dyDescent="0.35">
      <c r="A131" s="1"/>
      <c r="B131" s="2"/>
      <c r="C131" s="2"/>
      <c r="D131" s="15"/>
      <c r="E131" s="2"/>
      <c r="F131" s="1"/>
      <c r="G131" s="2"/>
      <c r="H131" s="2"/>
      <c r="I131" s="15"/>
      <c r="J131" s="2"/>
      <c r="K131" s="1"/>
      <c r="L131" s="2"/>
      <c r="M131" s="2"/>
      <c r="N131" s="15"/>
      <c r="O131" s="3"/>
    </row>
    <row r="132" spans="1:15" ht="15" x14ac:dyDescent="0.35">
      <c r="A132" s="1"/>
      <c r="B132" s="2"/>
      <c r="C132" s="2"/>
      <c r="D132" s="15"/>
      <c r="E132" s="2"/>
      <c r="F132" s="1"/>
      <c r="G132" s="2"/>
      <c r="H132" s="2"/>
      <c r="I132" s="15"/>
      <c r="J132" s="2"/>
      <c r="K132" s="1"/>
      <c r="L132" s="2"/>
      <c r="M132" s="2"/>
      <c r="N132" s="15"/>
      <c r="O132" s="3"/>
    </row>
    <row r="133" spans="1:15" ht="15.6" thickBot="1" x14ac:dyDescent="0.4">
      <c r="A133" s="17"/>
      <c r="B133" s="18"/>
      <c r="C133" s="18"/>
      <c r="D133" s="19" t="s">
        <v>16</v>
      </c>
      <c r="E133" s="18"/>
      <c r="F133" s="17"/>
      <c r="G133" s="18"/>
      <c r="H133" s="18"/>
      <c r="I133" s="19" t="s">
        <v>16</v>
      </c>
      <c r="J133" s="18"/>
      <c r="K133" s="17"/>
      <c r="L133" s="18"/>
      <c r="M133" s="18"/>
      <c r="N133" s="19" t="s">
        <v>16</v>
      </c>
      <c r="O133" s="20"/>
    </row>
    <row r="134" spans="1:15" ht="15" x14ac:dyDescent="0.35">
      <c r="A134" s="46" t="s">
        <v>0</v>
      </c>
      <c r="B134" s="47"/>
      <c r="C134" s="47"/>
      <c r="D134" s="47"/>
      <c r="E134" s="47"/>
      <c r="F134" s="46" t="s">
        <v>0</v>
      </c>
      <c r="G134" s="47"/>
      <c r="H134" s="47"/>
      <c r="I134" s="47"/>
      <c r="J134" s="47"/>
      <c r="K134" s="46" t="s">
        <v>0</v>
      </c>
      <c r="L134" s="47"/>
      <c r="M134" s="47"/>
      <c r="N134" s="47"/>
      <c r="O134" s="48"/>
    </row>
    <row r="135" spans="1:15" ht="15" x14ac:dyDescent="0.35">
      <c r="A135" s="1"/>
      <c r="B135" s="2"/>
      <c r="C135" s="2"/>
      <c r="D135" s="2"/>
      <c r="E135" s="2"/>
      <c r="F135" s="1"/>
      <c r="G135" s="2"/>
      <c r="H135" s="2"/>
      <c r="I135" s="2"/>
      <c r="J135" s="2"/>
      <c r="K135" s="1"/>
      <c r="L135" s="2"/>
      <c r="M135" s="2"/>
      <c r="N135" s="2"/>
      <c r="O135" s="3"/>
    </row>
    <row r="136" spans="1:15" ht="15" x14ac:dyDescent="0.35">
      <c r="A136" s="1" t="s">
        <v>1</v>
      </c>
      <c r="B136" s="2" t="s">
        <v>2</v>
      </c>
      <c r="C136" s="2"/>
      <c r="D136" s="5"/>
      <c r="E136" s="4"/>
      <c r="F136" s="1" t="s">
        <v>1</v>
      </c>
      <c r="G136" s="2" t="s">
        <v>2</v>
      </c>
      <c r="H136" s="51"/>
      <c r="I136" s="51"/>
      <c r="J136" s="4"/>
      <c r="K136" s="1"/>
      <c r="L136" s="2"/>
      <c r="M136" s="50"/>
      <c r="N136" s="50"/>
      <c r="O136" s="6"/>
    </row>
    <row r="137" spans="1:15" ht="15" x14ac:dyDescent="0.35">
      <c r="A137" s="1" t="s">
        <v>4</v>
      </c>
      <c r="B137" s="2"/>
      <c r="C137" s="2" t="s">
        <v>2</v>
      </c>
      <c r="D137" s="9"/>
      <c r="E137" s="2"/>
      <c r="F137" s="1" t="s">
        <v>4</v>
      </c>
      <c r="G137" s="2"/>
      <c r="H137" s="2"/>
      <c r="I137" s="2"/>
      <c r="J137" s="2"/>
      <c r="K137" s="1"/>
      <c r="L137" s="2"/>
      <c r="M137" s="2"/>
      <c r="N137" s="2"/>
      <c r="O137" s="3"/>
    </row>
    <row r="138" spans="1:15" ht="15" x14ac:dyDescent="0.35">
      <c r="A138" s="1" t="s">
        <v>5</v>
      </c>
      <c r="B138" s="2"/>
      <c r="C138" s="2" t="s">
        <v>2</v>
      </c>
      <c r="D138" s="8">
        <v>0</v>
      </c>
      <c r="E138" s="2"/>
      <c r="F138" s="1" t="s">
        <v>5</v>
      </c>
      <c r="G138" s="2"/>
      <c r="H138" s="2"/>
      <c r="I138" s="8"/>
      <c r="J138" s="2"/>
      <c r="K138" s="1"/>
      <c r="L138" s="2"/>
      <c r="M138" s="2"/>
      <c r="N138" s="25"/>
      <c r="O138" s="3"/>
    </row>
    <row r="139" spans="1:15" ht="15" x14ac:dyDescent="0.35">
      <c r="A139" s="1" t="s">
        <v>6</v>
      </c>
      <c r="B139" s="2"/>
      <c r="C139" s="2" t="s">
        <v>2</v>
      </c>
      <c r="D139" s="8">
        <v>0</v>
      </c>
      <c r="E139" s="2"/>
      <c r="F139" s="1" t="s">
        <v>6</v>
      </c>
      <c r="G139" s="2"/>
      <c r="H139" s="2"/>
      <c r="I139" s="8"/>
      <c r="J139" s="2"/>
      <c r="K139" s="1"/>
      <c r="L139" s="2"/>
      <c r="M139" s="2"/>
      <c r="N139" s="25"/>
      <c r="O139" s="3"/>
    </row>
    <row r="140" spans="1:15" ht="15" x14ac:dyDescent="0.35">
      <c r="A140" s="1" t="s">
        <v>7</v>
      </c>
      <c r="B140" s="2"/>
      <c r="C140" s="2" t="s">
        <v>2</v>
      </c>
      <c r="D140" s="8">
        <v>0</v>
      </c>
      <c r="E140" s="2"/>
      <c r="F140" s="1" t="s">
        <v>7</v>
      </c>
      <c r="G140" s="2"/>
      <c r="H140" s="2"/>
      <c r="I140" s="8"/>
      <c r="J140" s="2"/>
      <c r="K140" s="1"/>
      <c r="L140" s="2"/>
      <c r="M140" s="2"/>
      <c r="N140" s="25"/>
      <c r="O140" s="3"/>
    </row>
    <row r="141" spans="1:15" ht="15" x14ac:dyDescent="0.35">
      <c r="A141" s="1" t="s">
        <v>8</v>
      </c>
      <c r="B141" s="21">
        <v>0</v>
      </c>
      <c r="C141" s="2" t="s">
        <v>2</v>
      </c>
      <c r="D141" s="22">
        <v>0</v>
      </c>
      <c r="E141" s="2"/>
      <c r="F141" s="1" t="s">
        <v>8</v>
      </c>
      <c r="G141" s="2">
        <v>0</v>
      </c>
      <c r="H141" s="2"/>
      <c r="I141" s="8"/>
      <c r="J141" s="2"/>
      <c r="K141" s="1"/>
      <c r="L141" s="21"/>
      <c r="M141" s="2"/>
      <c r="N141" s="40"/>
      <c r="O141" s="3"/>
    </row>
    <row r="142" spans="1:15" ht="15" x14ac:dyDescent="0.35">
      <c r="A142" s="1" t="s">
        <v>9</v>
      </c>
      <c r="B142" s="2"/>
      <c r="C142" s="2" t="s">
        <v>2</v>
      </c>
      <c r="D142" s="11">
        <v>0</v>
      </c>
      <c r="E142" s="2"/>
      <c r="F142" s="1" t="s">
        <v>9</v>
      </c>
      <c r="G142" s="2"/>
      <c r="H142" s="2"/>
      <c r="I142" s="8"/>
      <c r="J142" s="2"/>
      <c r="K142" s="1"/>
      <c r="L142" s="2"/>
      <c r="M142" s="2"/>
      <c r="N142" s="11"/>
      <c r="O142" s="3"/>
    </row>
    <row r="143" spans="1:15" ht="15" x14ac:dyDescent="0.35">
      <c r="A143" s="1" t="s">
        <v>10</v>
      </c>
      <c r="B143" s="2">
        <v>0</v>
      </c>
      <c r="C143" s="2" t="s">
        <v>2</v>
      </c>
      <c r="D143" s="9">
        <v>0</v>
      </c>
      <c r="E143" s="2"/>
      <c r="F143" s="1" t="s">
        <v>10</v>
      </c>
      <c r="G143" s="2">
        <v>0</v>
      </c>
      <c r="H143" s="2"/>
      <c r="I143" s="8"/>
      <c r="J143" s="2"/>
      <c r="K143" s="1"/>
      <c r="L143" s="2"/>
      <c r="M143" s="2"/>
      <c r="N143" s="8"/>
      <c r="O143" s="3"/>
    </row>
    <row r="144" spans="1:15" ht="15" x14ac:dyDescent="0.35">
      <c r="A144" s="1" t="s">
        <v>11</v>
      </c>
      <c r="B144" s="2"/>
      <c r="C144" s="2" t="s">
        <v>2</v>
      </c>
      <c r="D144" s="22">
        <v>0</v>
      </c>
      <c r="E144" s="2"/>
      <c r="F144" s="1" t="s">
        <v>11</v>
      </c>
      <c r="G144" s="2"/>
      <c r="H144" s="2"/>
      <c r="I144" s="8"/>
      <c r="J144" s="2"/>
      <c r="K144" s="1"/>
      <c r="L144" s="2"/>
      <c r="M144" s="2"/>
      <c r="N144" s="22"/>
      <c r="O144" s="3"/>
    </row>
    <row r="145" spans="1:15" ht="15" x14ac:dyDescent="0.35">
      <c r="A145" s="1" t="s">
        <v>12</v>
      </c>
      <c r="B145" s="2"/>
      <c r="C145" s="2" t="s">
        <v>2</v>
      </c>
      <c r="D145" s="9">
        <v>0</v>
      </c>
      <c r="E145" s="2"/>
      <c r="F145" s="1" t="s">
        <v>12</v>
      </c>
      <c r="G145" s="2"/>
      <c r="H145" s="2"/>
      <c r="I145" s="8"/>
      <c r="J145" s="2"/>
      <c r="K145" s="1"/>
      <c r="L145" s="2"/>
      <c r="M145" s="2"/>
      <c r="N145" s="25"/>
      <c r="O145" s="3"/>
    </row>
    <row r="146" spans="1:15" ht="15" x14ac:dyDescent="0.35">
      <c r="A146" s="13" t="s">
        <v>13</v>
      </c>
      <c r="B146" s="5"/>
      <c r="C146" s="5" t="s">
        <v>2</v>
      </c>
      <c r="D146" s="14">
        <f>SUM(D138:D145)</f>
        <v>0</v>
      </c>
      <c r="E146" s="2"/>
      <c r="F146" s="13" t="s">
        <v>13</v>
      </c>
      <c r="G146" s="5"/>
      <c r="H146" s="5"/>
      <c r="I146" s="8"/>
      <c r="J146" s="2"/>
      <c r="K146" s="13"/>
      <c r="L146" s="5"/>
      <c r="M146" s="5"/>
      <c r="N146" s="24"/>
      <c r="O146" s="3"/>
    </row>
    <row r="147" spans="1:15" ht="15" x14ac:dyDescent="0.35">
      <c r="A147" s="1" t="s">
        <v>14</v>
      </c>
      <c r="B147" s="2"/>
      <c r="C147" s="2" t="s">
        <v>2</v>
      </c>
      <c r="D147" s="27">
        <v>0</v>
      </c>
      <c r="E147" s="2"/>
      <c r="F147" s="1" t="s">
        <v>14</v>
      </c>
      <c r="G147" s="2"/>
      <c r="H147" s="2"/>
      <c r="I147" s="8"/>
      <c r="J147" s="2"/>
      <c r="K147" s="1"/>
      <c r="L147" s="2"/>
      <c r="M147" s="2"/>
      <c r="N147" s="27"/>
      <c r="O147" s="3"/>
    </row>
    <row r="148" spans="1:15" ht="15" x14ac:dyDescent="0.35">
      <c r="A148" s="1"/>
      <c r="B148" s="2"/>
      <c r="C148" s="15"/>
      <c r="D148" s="15" t="str">
        <f>D129</f>
        <v>Grogol, 01 April  2026</v>
      </c>
      <c r="E148" s="2"/>
      <c r="F148" s="1"/>
      <c r="G148" s="15"/>
      <c r="H148" s="15"/>
      <c r="I148" s="15" t="str">
        <f>I129</f>
        <v>Grogol, 01 April  2026</v>
      </c>
      <c r="J148" s="2"/>
      <c r="K148" s="1"/>
      <c r="L148" s="15"/>
      <c r="M148" s="15"/>
      <c r="N148" s="15" t="str">
        <f>N129</f>
        <v>Grogol, 01 April  2026</v>
      </c>
      <c r="O148" s="3"/>
    </row>
    <row r="149" spans="1:15" ht="15" x14ac:dyDescent="0.35">
      <c r="A149" s="1"/>
      <c r="B149" s="2"/>
      <c r="C149" s="2"/>
      <c r="D149" s="15" t="s">
        <v>15</v>
      </c>
      <c r="E149" s="15"/>
      <c r="F149" s="1"/>
      <c r="G149" s="2"/>
      <c r="H149" s="2"/>
      <c r="I149" s="15" t="s">
        <v>15</v>
      </c>
      <c r="J149" s="15"/>
      <c r="K149" s="1"/>
      <c r="L149" s="2"/>
      <c r="M149" s="2"/>
      <c r="N149" s="15" t="s">
        <v>15</v>
      </c>
      <c r="O149" s="16"/>
    </row>
    <row r="150" spans="1:15" ht="15" x14ac:dyDescent="0.35">
      <c r="A150" s="1"/>
      <c r="B150" s="2"/>
      <c r="C150" s="2"/>
      <c r="D150" s="15"/>
      <c r="E150" s="2"/>
      <c r="F150" s="1"/>
      <c r="G150" s="2"/>
      <c r="H150" s="2"/>
      <c r="I150" s="15"/>
      <c r="J150" s="2"/>
      <c r="K150" s="1"/>
      <c r="L150" s="2"/>
      <c r="M150" s="2"/>
      <c r="N150" s="15"/>
      <c r="O150" s="3"/>
    </row>
    <row r="151" spans="1:15" ht="15" x14ac:dyDescent="0.35">
      <c r="A151" s="1"/>
      <c r="B151" s="2"/>
      <c r="C151" s="2"/>
      <c r="D151" s="15"/>
      <c r="E151" s="2"/>
      <c r="F151" s="1"/>
      <c r="G151" s="2"/>
      <c r="H151" s="2"/>
      <c r="I151" s="15"/>
      <c r="J151" s="2"/>
      <c r="K151" s="1"/>
      <c r="L151" s="2"/>
      <c r="M151" s="2"/>
      <c r="N151" s="15"/>
      <c r="O151" s="3"/>
    </row>
    <row r="152" spans="1:15" ht="15.6" thickBot="1" x14ac:dyDescent="0.4">
      <c r="A152" s="17"/>
      <c r="B152" s="18"/>
      <c r="C152" s="18"/>
      <c r="D152" s="19" t="s">
        <v>16</v>
      </c>
      <c r="E152" s="18"/>
      <c r="F152" s="17"/>
      <c r="G152" s="18"/>
      <c r="H152" s="18"/>
      <c r="I152" s="19" t="s">
        <v>16</v>
      </c>
      <c r="J152" s="18"/>
      <c r="K152" s="17"/>
      <c r="L152" s="18"/>
      <c r="M152" s="18"/>
      <c r="N152" s="19" t="s">
        <v>16</v>
      </c>
      <c r="O152" s="20"/>
    </row>
    <row r="153" spans="1:15" ht="15" x14ac:dyDescent="0.35">
      <c r="A153" s="46" t="s">
        <v>0</v>
      </c>
      <c r="B153" s="47"/>
      <c r="C153" s="47"/>
      <c r="D153" s="47"/>
      <c r="E153" s="47"/>
      <c r="F153" s="46" t="s">
        <v>0</v>
      </c>
      <c r="G153" s="47"/>
      <c r="H153" s="47"/>
      <c r="I153" s="47"/>
      <c r="J153" s="47"/>
      <c r="K153" s="46" t="s">
        <v>0</v>
      </c>
      <c r="L153" s="47"/>
      <c r="M153" s="47"/>
      <c r="N153" s="47"/>
      <c r="O153" s="48"/>
    </row>
    <row r="154" spans="1:15" ht="15" x14ac:dyDescent="0.35">
      <c r="F154" s="1"/>
      <c r="G154" s="2"/>
      <c r="H154" s="2"/>
      <c r="I154" s="2"/>
      <c r="J154" s="2"/>
      <c r="K154" s="1"/>
      <c r="L154" s="2"/>
      <c r="M154" s="2"/>
      <c r="N154" s="2"/>
      <c r="O154" s="3"/>
    </row>
    <row r="155" spans="1:15" ht="15" x14ac:dyDescent="0.35">
      <c r="A155" s="1" t="s">
        <v>1</v>
      </c>
      <c r="B155" s="2" t="s">
        <v>2</v>
      </c>
      <c r="C155" s="51" t="s">
        <v>29</v>
      </c>
      <c r="D155" s="51"/>
      <c r="E155" s="4">
        <v>11</v>
      </c>
      <c r="F155" s="1" t="s">
        <v>1</v>
      </c>
      <c r="G155" s="2" t="s">
        <v>2</v>
      </c>
      <c r="H155" s="51"/>
      <c r="I155" s="51"/>
      <c r="J155" s="4"/>
      <c r="K155" s="1" t="s">
        <v>1</v>
      </c>
      <c r="L155" s="2" t="s">
        <v>2</v>
      </c>
      <c r="M155" s="51" t="s">
        <v>30</v>
      </c>
      <c r="N155" s="51"/>
      <c r="O155" s="6">
        <v>12</v>
      </c>
    </row>
    <row r="156" spans="1:15" ht="15" x14ac:dyDescent="0.35">
      <c r="A156" s="1" t="s">
        <v>4</v>
      </c>
      <c r="B156" s="2"/>
      <c r="C156" s="2" t="s">
        <v>2</v>
      </c>
      <c r="D156" s="2"/>
      <c r="F156" s="1" t="s">
        <v>4</v>
      </c>
      <c r="G156" s="2"/>
      <c r="H156" s="2" t="s">
        <v>2</v>
      </c>
      <c r="I156" s="2"/>
      <c r="J156" s="2"/>
      <c r="K156" s="1" t="s">
        <v>4</v>
      </c>
      <c r="L156" s="2"/>
      <c r="M156" s="2" t="s">
        <v>2</v>
      </c>
      <c r="N156" s="2"/>
      <c r="O156" s="3"/>
    </row>
    <row r="157" spans="1:15" ht="15" x14ac:dyDescent="0.35">
      <c r="A157" s="1" t="s">
        <v>5</v>
      </c>
      <c r="B157" s="2"/>
      <c r="C157" s="2" t="s">
        <v>2</v>
      </c>
      <c r="D157" s="25">
        <f>[22]krnmei!$C$516</f>
        <v>100000</v>
      </c>
      <c r="E157" s="2"/>
      <c r="F157" s="1" t="s">
        <v>66</v>
      </c>
      <c r="G157" s="2"/>
      <c r="H157" s="2" t="s">
        <v>2</v>
      </c>
      <c r="I157" s="25"/>
      <c r="J157" s="2"/>
      <c r="K157" s="1" t="s">
        <v>5</v>
      </c>
      <c r="L157" s="2"/>
      <c r="M157" s="2" t="s">
        <v>2</v>
      </c>
      <c r="N157" s="8">
        <f>'[3]KARNING 2021'!$C$548</f>
        <v>100000</v>
      </c>
      <c r="O157" s="3"/>
    </row>
    <row r="158" spans="1:15" ht="15" x14ac:dyDescent="0.35">
      <c r="A158" s="1" t="s">
        <v>6</v>
      </c>
      <c r="B158" s="2"/>
      <c r="C158" s="2" t="s">
        <v>2</v>
      </c>
      <c r="D158" s="25">
        <f>[22]krnmei!$D$516</f>
        <v>5000</v>
      </c>
      <c r="E158" s="2"/>
      <c r="F158" s="1" t="s">
        <v>6</v>
      </c>
      <c r="G158" s="2"/>
      <c r="H158" s="2" t="s">
        <v>2</v>
      </c>
      <c r="I158" s="25"/>
      <c r="J158" s="2"/>
      <c r="K158" s="1" t="s">
        <v>6</v>
      </c>
      <c r="L158" s="2"/>
      <c r="M158" s="2" t="s">
        <v>2</v>
      </c>
      <c r="N158" s="8">
        <f>'[3]KARNING 2021'!$D$548</f>
        <v>25000</v>
      </c>
      <c r="O158" s="3"/>
    </row>
    <row r="159" spans="1:15" ht="15" x14ac:dyDescent="0.35">
      <c r="A159" s="1" t="s">
        <v>7</v>
      </c>
      <c r="B159" s="2"/>
      <c r="C159" s="2" t="s">
        <v>2</v>
      </c>
      <c r="D159" s="8">
        <f>[22]krnmei!$E$516</f>
        <v>100000</v>
      </c>
      <c r="E159" s="2"/>
      <c r="F159" s="1" t="s">
        <v>7</v>
      </c>
      <c r="G159" s="2"/>
      <c r="H159" s="2" t="s">
        <v>2</v>
      </c>
      <c r="I159" s="25">
        <v>0</v>
      </c>
      <c r="J159" s="2"/>
      <c r="K159" s="1" t="s">
        <v>7</v>
      </c>
      <c r="L159" s="2"/>
      <c r="M159" s="2" t="s">
        <v>2</v>
      </c>
      <c r="N159" s="8">
        <f>[23]krnmei!$E$552</f>
        <v>300000</v>
      </c>
      <c r="O159" s="3"/>
    </row>
    <row r="160" spans="1:15" ht="15" x14ac:dyDescent="0.35">
      <c r="A160" s="1" t="s">
        <v>8</v>
      </c>
      <c r="B160" s="21">
        <v>29</v>
      </c>
      <c r="C160" s="2" t="s">
        <v>2</v>
      </c>
      <c r="D160" s="25">
        <v>400000</v>
      </c>
      <c r="E160" s="2"/>
      <c r="F160" s="1" t="s">
        <v>8</v>
      </c>
      <c r="G160" s="2">
        <v>0</v>
      </c>
      <c r="H160" s="2" t="s">
        <v>2</v>
      </c>
      <c r="I160" s="8">
        <v>0</v>
      </c>
      <c r="J160" s="2"/>
      <c r="K160" s="1" t="s">
        <v>8</v>
      </c>
      <c r="L160" s="2">
        <v>49</v>
      </c>
      <c r="M160" s="2" t="s">
        <v>2</v>
      </c>
      <c r="N160" s="8">
        <v>500000</v>
      </c>
      <c r="O160" s="3"/>
    </row>
    <row r="161" spans="1:15" ht="15" x14ac:dyDescent="0.35">
      <c r="A161" s="1" t="s">
        <v>9</v>
      </c>
      <c r="B161" s="2"/>
      <c r="C161" s="2" t="s">
        <v>2</v>
      </c>
      <c r="D161" s="11">
        <f>[40]krnmei!$K$517</f>
        <v>309000</v>
      </c>
      <c r="E161" s="2"/>
      <c r="F161" s="1" t="s">
        <v>9</v>
      </c>
      <c r="G161" s="2"/>
      <c r="H161" s="2" t="s">
        <v>2</v>
      </c>
      <c r="I161" s="11">
        <v>0</v>
      </c>
      <c r="J161" s="2"/>
      <c r="K161" s="1" t="s">
        <v>9</v>
      </c>
      <c r="L161" s="2"/>
      <c r="M161" s="2" t="s">
        <v>2</v>
      </c>
      <c r="N161" s="11">
        <f>[40]krnmei!$K$551</f>
        <v>262500</v>
      </c>
      <c r="O161" s="3"/>
    </row>
    <row r="162" spans="1:15" ht="15" x14ac:dyDescent="0.35">
      <c r="A162" s="1" t="s">
        <v>10</v>
      </c>
      <c r="B162" s="2"/>
      <c r="C162" s="2" t="s">
        <v>2</v>
      </c>
      <c r="D162" s="9">
        <v>0</v>
      </c>
      <c r="E162" s="2"/>
      <c r="F162" s="1" t="s">
        <v>10</v>
      </c>
      <c r="G162" s="2">
        <v>0</v>
      </c>
      <c r="H162" s="2" t="s">
        <v>2</v>
      </c>
      <c r="I162" s="8">
        <v>0</v>
      </c>
      <c r="J162" s="2"/>
      <c r="K162" s="1" t="s">
        <v>10</v>
      </c>
      <c r="L162" s="21"/>
      <c r="M162" s="2" t="s">
        <v>2</v>
      </c>
      <c r="N162" s="8"/>
      <c r="O162" s="3"/>
    </row>
    <row r="163" spans="1:15" ht="15" x14ac:dyDescent="0.35">
      <c r="A163" s="1" t="s">
        <v>11</v>
      </c>
      <c r="B163" s="2"/>
      <c r="C163" s="2" t="s">
        <v>2</v>
      </c>
      <c r="D163" s="8">
        <v>0</v>
      </c>
      <c r="E163" s="2"/>
      <c r="F163" s="1" t="s">
        <v>11</v>
      </c>
      <c r="G163" s="2"/>
      <c r="H163" s="2" t="s">
        <v>2</v>
      </c>
      <c r="I163" s="9">
        <v>0</v>
      </c>
      <c r="J163" s="2"/>
      <c r="K163" s="1" t="s">
        <v>11</v>
      </c>
      <c r="L163" s="2"/>
      <c r="M163" s="2" t="s">
        <v>2</v>
      </c>
      <c r="N163" s="27">
        <v>0</v>
      </c>
      <c r="O163" s="3"/>
    </row>
    <row r="164" spans="1:15" ht="15" x14ac:dyDescent="0.35">
      <c r="A164" s="1" t="s">
        <v>12</v>
      </c>
      <c r="B164" s="2"/>
      <c r="C164" s="2" t="s">
        <v>2</v>
      </c>
      <c r="D164" s="7">
        <v>0</v>
      </c>
      <c r="E164" s="2"/>
      <c r="F164" s="1" t="s">
        <v>12</v>
      </c>
      <c r="G164" s="2"/>
      <c r="H164" s="2" t="s">
        <v>2</v>
      </c>
      <c r="I164" s="7">
        <v>0</v>
      </c>
      <c r="J164" s="2"/>
      <c r="K164" s="1" t="s">
        <v>12</v>
      </c>
      <c r="L164" s="2"/>
      <c r="M164" s="2" t="s">
        <v>2</v>
      </c>
      <c r="N164" s="8">
        <f>'[3]KARNING 2021'!$F$548</f>
        <v>50000</v>
      </c>
      <c r="O164" s="3"/>
    </row>
    <row r="165" spans="1:15" ht="15" x14ac:dyDescent="0.35">
      <c r="A165" s="13" t="s">
        <v>13</v>
      </c>
      <c r="B165" s="5"/>
      <c r="C165" s="5" t="s">
        <v>2</v>
      </c>
      <c r="D165" s="24">
        <f>SUM(D157:D164)</f>
        <v>914000</v>
      </c>
      <c r="E165" s="2"/>
      <c r="F165" s="13" t="s">
        <v>13</v>
      </c>
      <c r="G165" s="5"/>
      <c r="H165" s="5" t="s">
        <v>2</v>
      </c>
      <c r="I165" s="24">
        <v>0</v>
      </c>
      <c r="J165" s="2"/>
      <c r="K165" s="13" t="s">
        <v>13</v>
      </c>
      <c r="L165" s="5"/>
      <c r="M165" s="5" t="s">
        <v>2</v>
      </c>
      <c r="N165" s="24">
        <f>SUM(N157:N164)</f>
        <v>1237500</v>
      </c>
      <c r="O165" s="3"/>
    </row>
    <row r="166" spans="1:15" ht="15" x14ac:dyDescent="0.35">
      <c r="A166" s="1" t="s">
        <v>14</v>
      </c>
      <c r="B166" s="2"/>
      <c r="C166" s="2" t="s">
        <v>2</v>
      </c>
      <c r="D166" s="25">
        <f>[40]krnmei!$J$517</f>
        <v>20200000</v>
      </c>
      <c r="E166" s="2"/>
      <c r="F166" s="1" t="s">
        <v>14</v>
      </c>
      <c r="G166" s="2"/>
      <c r="H166" s="2" t="s">
        <v>2</v>
      </c>
      <c r="I166" s="27">
        <v>0</v>
      </c>
      <c r="J166" s="2"/>
      <c r="K166" s="1" t="s">
        <v>14</v>
      </c>
      <c r="L166" s="2"/>
      <c r="M166" s="2" t="s">
        <v>2</v>
      </c>
      <c r="N166" s="25">
        <f>[40]krnmei!$J$551+4500000</f>
        <v>21500000</v>
      </c>
      <c r="O166" s="3"/>
    </row>
    <row r="167" spans="1:15" ht="15" x14ac:dyDescent="0.35">
      <c r="A167" s="1"/>
      <c r="B167" s="2"/>
      <c r="C167" s="15"/>
      <c r="D167" s="15" t="str">
        <f>D148</f>
        <v>Grogol, 01 April  2026</v>
      </c>
      <c r="E167" s="2"/>
      <c r="F167" s="1"/>
      <c r="G167" s="2"/>
      <c r="H167" s="15"/>
      <c r="I167" s="15" t="str">
        <f>D167</f>
        <v>Grogol, 01 April  2026</v>
      </c>
      <c r="J167" s="15"/>
      <c r="K167" s="1"/>
      <c r="L167" s="2"/>
      <c r="M167" s="15"/>
      <c r="N167" s="15" t="str">
        <f>I167</f>
        <v>Grogol, 01 April  2026</v>
      </c>
      <c r="O167" s="16"/>
    </row>
    <row r="168" spans="1:15" ht="15" x14ac:dyDescent="0.35">
      <c r="A168" s="1"/>
      <c r="B168" s="2"/>
      <c r="C168" s="2"/>
      <c r="D168" s="15" t="s">
        <v>15</v>
      </c>
      <c r="E168" s="15"/>
      <c r="F168" s="1"/>
      <c r="G168" s="2"/>
      <c r="H168" s="2"/>
      <c r="I168" s="15" t="s">
        <v>15</v>
      </c>
      <c r="J168" s="2"/>
      <c r="K168" s="1"/>
      <c r="L168" s="2"/>
      <c r="M168" s="2"/>
      <c r="N168" s="15" t="s">
        <v>15</v>
      </c>
      <c r="O168" s="3"/>
    </row>
    <row r="169" spans="1:15" ht="15" x14ac:dyDescent="0.35">
      <c r="A169" s="1"/>
      <c r="B169" s="2"/>
      <c r="C169" s="2"/>
      <c r="D169" s="15"/>
      <c r="E169" s="2"/>
      <c r="F169" s="1"/>
      <c r="G169" s="2"/>
      <c r="H169" s="2"/>
      <c r="I169" s="15"/>
      <c r="J169" s="2"/>
      <c r="K169" s="1"/>
      <c r="L169" s="2"/>
      <c r="M169" s="2"/>
      <c r="N169" s="15"/>
      <c r="O169" s="3"/>
    </row>
    <row r="170" spans="1:15" ht="15" x14ac:dyDescent="0.35">
      <c r="A170" s="1"/>
      <c r="B170" s="2"/>
      <c r="C170" s="2"/>
      <c r="D170" s="15"/>
      <c r="E170" s="2"/>
      <c r="F170" s="1"/>
      <c r="G170" s="2"/>
      <c r="H170" s="2"/>
      <c r="I170" s="15"/>
      <c r="J170" s="2"/>
      <c r="K170" s="1"/>
      <c r="L170" s="2"/>
      <c r="M170" s="2"/>
      <c r="N170" s="15"/>
      <c r="O170" s="3"/>
    </row>
    <row r="171" spans="1:15" ht="15.6" thickBot="1" x14ac:dyDescent="0.4">
      <c r="A171" s="17"/>
      <c r="B171" s="18"/>
      <c r="C171" s="18"/>
      <c r="D171" s="19" t="s">
        <v>16</v>
      </c>
      <c r="E171" s="18"/>
      <c r="F171" s="17"/>
      <c r="G171" s="18"/>
      <c r="H171" s="18"/>
      <c r="I171" s="19" t="s">
        <v>16</v>
      </c>
      <c r="J171" s="18"/>
      <c r="K171" s="17"/>
      <c r="L171" s="18"/>
      <c r="M171" s="18"/>
      <c r="N171" s="19" t="s">
        <v>16</v>
      </c>
      <c r="O171" s="20"/>
    </row>
    <row r="172" spans="1:15" ht="15" x14ac:dyDescent="0.35">
      <c r="A172" s="46" t="s">
        <v>0</v>
      </c>
      <c r="B172" s="47"/>
      <c r="C172" s="47"/>
      <c r="D172" s="47"/>
      <c r="E172" s="47"/>
      <c r="F172" s="46" t="s">
        <v>0</v>
      </c>
      <c r="G172" s="47"/>
      <c r="H172" s="47"/>
      <c r="I172" s="47"/>
      <c r="J172" s="47"/>
      <c r="K172" s="46" t="s">
        <v>0</v>
      </c>
      <c r="L172" s="47"/>
      <c r="M172" s="47"/>
      <c r="N172" s="47"/>
      <c r="O172" s="48"/>
    </row>
    <row r="173" spans="1:15" ht="15" x14ac:dyDescent="0.35">
      <c r="A173" s="1"/>
      <c r="B173" s="2"/>
      <c r="C173" s="2"/>
      <c r="D173" s="2"/>
      <c r="E173" s="2"/>
      <c r="F173" s="1"/>
      <c r="G173" s="2"/>
      <c r="H173" s="2"/>
      <c r="I173" s="2"/>
      <c r="J173" s="2"/>
      <c r="K173" s="1"/>
      <c r="L173" s="2"/>
      <c r="M173" s="2"/>
      <c r="N173" s="2"/>
      <c r="O173" s="3"/>
    </row>
    <row r="174" spans="1:15" ht="15" x14ac:dyDescent="0.35">
      <c r="A174" s="1" t="s">
        <v>1</v>
      </c>
      <c r="B174" s="2" t="s">
        <v>2</v>
      </c>
      <c r="C174" s="50" t="s">
        <v>31</v>
      </c>
      <c r="D174" s="50"/>
      <c r="E174" s="4">
        <v>13</v>
      </c>
      <c r="F174" s="1" t="s">
        <v>1</v>
      </c>
      <c r="G174" s="2" t="s">
        <v>2</v>
      </c>
      <c r="H174" s="50" t="s">
        <v>32</v>
      </c>
      <c r="I174" s="50"/>
      <c r="J174" s="4">
        <v>14</v>
      </c>
      <c r="K174" s="1" t="s">
        <v>1</v>
      </c>
      <c r="L174" s="2" t="s">
        <v>2</v>
      </c>
      <c r="M174" s="50" t="s">
        <v>33</v>
      </c>
      <c r="N174" s="50"/>
      <c r="O174" s="6">
        <v>15</v>
      </c>
    </row>
    <row r="175" spans="1:15" ht="15" x14ac:dyDescent="0.35">
      <c r="A175" s="1" t="s">
        <v>4</v>
      </c>
      <c r="B175" s="2"/>
      <c r="C175" s="2" t="s">
        <v>2</v>
      </c>
      <c r="D175" s="2"/>
      <c r="F175" s="1" t="s">
        <v>4</v>
      </c>
      <c r="G175" s="2"/>
      <c r="H175" s="2" t="s">
        <v>2</v>
      </c>
      <c r="I175" s="2"/>
      <c r="J175" s="2"/>
      <c r="K175" s="1" t="s">
        <v>4</v>
      </c>
      <c r="L175" s="2"/>
      <c r="M175" s="2" t="s">
        <v>2</v>
      </c>
      <c r="N175" s="2"/>
      <c r="O175" s="3"/>
    </row>
    <row r="176" spans="1:15" ht="15" x14ac:dyDescent="0.35">
      <c r="A176" s="1" t="s">
        <v>5</v>
      </c>
      <c r="B176" s="2"/>
      <c r="C176" s="2" t="s">
        <v>2</v>
      </c>
      <c r="D176" s="8"/>
      <c r="E176" s="2"/>
      <c r="F176" s="1" t="s">
        <v>5</v>
      </c>
      <c r="G176" s="2"/>
      <c r="H176" s="2" t="s">
        <v>2</v>
      </c>
      <c r="I176" s="8">
        <f>'[3]KARNING 2021'!$C$582</f>
        <v>100000</v>
      </c>
      <c r="J176" s="2"/>
      <c r="K176" s="1" t="s">
        <v>5</v>
      </c>
      <c r="L176" s="2"/>
      <c r="M176" s="2" t="s">
        <v>2</v>
      </c>
      <c r="N176" s="8">
        <v>100000</v>
      </c>
      <c r="O176" s="3"/>
    </row>
    <row r="177" spans="1:15" ht="15" x14ac:dyDescent="0.35">
      <c r="A177" s="1" t="s">
        <v>6</v>
      </c>
      <c r="B177" s="2"/>
      <c r="C177" s="2" t="s">
        <v>2</v>
      </c>
      <c r="D177" s="8"/>
      <c r="E177" s="2"/>
      <c r="F177" s="1" t="s">
        <v>6</v>
      </c>
      <c r="G177" s="2"/>
      <c r="H177" s="2" t="s">
        <v>2</v>
      </c>
      <c r="I177" s="8">
        <f>'[3]KARNING 2021'!$D$582</f>
        <v>25000</v>
      </c>
      <c r="J177" s="2"/>
      <c r="K177" s="1" t="s">
        <v>6</v>
      </c>
      <c r="L177" s="2"/>
      <c r="M177" s="2" t="s">
        <v>2</v>
      </c>
      <c r="N177" s="8">
        <v>25000</v>
      </c>
      <c r="O177" s="3"/>
    </row>
    <row r="178" spans="1:15" ht="15" x14ac:dyDescent="0.35">
      <c r="A178" s="1" t="s">
        <v>7</v>
      </c>
      <c r="B178" s="2"/>
      <c r="C178" s="2" t="s">
        <v>2</v>
      </c>
      <c r="D178" s="8"/>
      <c r="E178" s="2"/>
      <c r="F178" s="1" t="s">
        <v>7</v>
      </c>
      <c r="G178" s="2"/>
      <c r="H178" s="2" t="s">
        <v>2</v>
      </c>
      <c r="I178" s="8">
        <f>[4]krnmei!$F$581</f>
        <v>0</v>
      </c>
      <c r="J178" s="2"/>
      <c r="K178" s="1" t="s">
        <v>7</v>
      </c>
      <c r="L178" s="2"/>
      <c r="M178" s="2" t="s">
        <v>2</v>
      </c>
      <c r="N178" s="8">
        <v>100000</v>
      </c>
      <c r="O178" s="3"/>
    </row>
    <row r="179" spans="1:15" ht="15" x14ac:dyDescent="0.35">
      <c r="A179" s="1" t="s">
        <v>8</v>
      </c>
      <c r="B179" s="21"/>
      <c r="C179" s="2" t="s">
        <v>2</v>
      </c>
      <c r="D179" s="8"/>
      <c r="E179" s="2"/>
      <c r="F179" s="1" t="s">
        <v>8</v>
      </c>
      <c r="G179" s="21">
        <v>0</v>
      </c>
      <c r="H179" s="2" t="s">
        <v>2</v>
      </c>
      <c r="I179" s="8">
        <v>0</v>
      </c>
      <c r="J179" s="2"/>
      <c r="K179" s="1" t="s">
        <v>8</v>
      </c>
      <c r="L179" s="2">
        <v>10</v>
      </c>
      <c r="M179" s="2" t="s">
        <v>2</v>
      </c>
      <c r="N179" s="8">
        <f>[39]krnmei!$I$1059</f>
        <v>500000</v>
      </c>
      <c r="O179" s="3"/>
    </row>
    <row r="180" spans="1:15" ht="15" x14ac:dyDescent="0.35">
      <c r="A180" s="1" t="s">
        <v>9</v>
      </c>
      <c r="B180" s="2"/>
      <c r="C180" s="2" t="s">
        <v>2</v>
      </c>
      <c r="D180" s="11"/>
      <c r="E180" s="2"/>
      <c r="F180" s="1" t="s">
        <v>9</v>
      </c>
      <c r="G180" s="2"/>
      <c r="H180" s="2" t="s">
        <v>2</v>
      </c>
      <c r="I180" s="11">
        <v>0</v>
      </c>
      <c r="J180" s="2"/>
      <c r="K180" s="1" t="s">
        <v>9</v>
      </c>
      <c r="L180" s="2"/>
      <c r="M180" s="2" t="s">
        <v>2</v>
      </c>
      <c r="N180" s="30">
        <f>[40]krnmei!$K$1061</f>
        <v>234000</v>
      </c>
      <c r="O180" s="3"/>
    </row>
    <row r="181" spans="1:15" ht="15" x14ac:dyDescent="0.35">
      <c r="A181" s="1" t="s">
        <v>10</v>
      </c>
      <c r="B181" s="2">
        <v>0</v>
      </c>
      <c r="C181" s="2" t="s">
        <v>2</v>
      </c>
      <c r="D181" s="8"/>
      <c r="E181" s="2"/>
      <c r="F181" s="1" t="s">
        <v>10</v>
      </c>
      <c r="G181" s="2">
        <v>0</v>
      </c>
      <c r="H181" s="2" t="s">
        <v>2</v>
      </c>
      <c r="I181" s="8">
        <v>0</v>
      </c>
      <c r="J181" s="2"/>
      <c r="K181" s="1" t="s">
        <v>10</v>
      </c>
      <c r="L181" s="2"/>
      <c r="M181" s="2" t="s">
        <v>2</v>
      </c>
      <c r="N181" s="8"/>
      <c r="O181" s="3"/>
    </row>
    <row r="182" spans="1:15" ht="15" x14ac:dyDescent="0.35">
      <c r="A182" s="1" t="s">
        <v>11</v>
      </c>
      <c r="B182" s="2"/>
      <c r="C182" s="2" t="s">
        <v>2</v>
      </c>
      <c r="D182" s="9"/>
      <c r="E182" s="2"/>
      <c r="F182" s="1" t="s">
        <v>11</v>
      </c>
      <c r="G182" s="2"/>
      <c r="H182" s="2" t="s">
        <v>2</v>
      </c>
      <c r="I182" s="9">
        <f>[26]krnmei!$P$587</f>
        <v>0</v>
      </c>
      <c r="J182" s="2"/>
      <c r="K182" s="1" t="s">
        <v>11</v>
      </c>
      <c r="L182" s="2"/>
      <c r="M182" s="2" t="s">
        <v>2</v>
      </c>
      <c r="N182" s="8">
        <v>0</v>
      </c>
      <c r="O182" s="3"/>
    </row>
    <row r="183" spans="1:15" ht="15" x14ac:dyDescent="0.35">
      <c r="A183" s="1" t="s">
        <v>12</v>
      </c>
      <c r="B183" s="2"/>
      <c r="C183" s="2" t="s">
        <v>2</v>
      </c>
      <c r="D183" s="8"/>
      <c r="E183" s="2"/>
      <c r="F183" s="1" t="s">
        <v>12</v>
      </c>
      <c r="G183" s="2"/>
      <c r="H183" s="2" t="s">
        <v>2</v>
      </c>
      <c r="I183" s="8">
        <f>[4]krnmei!$F$581</f>
        <v>0</v>
      </c>
      <c r="J183" s="2"/>
      <c r="K183" s="1" t="s">
        <v>12</v>
      </c>
      <c r="L183" s="2"/>
      <c r="M183" s="2" t="s">
        <v>2</v>
      </c>
      <c r="N183" s="8">
        <v>0</v>
      </c>
      <c r="O183" s="3"/>
    </row>
    <row r="184" spans="1:15" ht="15" x14ac:dyDescent="0.35">
      <c r="A184" s="13" t="s">
        <v>13</v>
      </c>
      <c r="B184" s="5"/>
      <c r="C184" s="5" t="s">
        <v>2</v>
      </c>
      <c r="D184" s="24"/>
      <c r="E184" s="2"/>
      <c r="F184" s="13" t="s">
        <v>13</v>
      </c>
      <c r="G184" s="5"/>
      <c r="H184" s="5" t="s">
        <v>2</v>
      </c>
      <c r="I184" s="8">
        <f>SUM(I176:I183)</f>
        <v>125000</v>
      </c>
      <c r="J184" s="2"/>
      <c r="K184" s="13" t="s">
        <v>13</v>
      </c>
      <c r="L184" s="5"/>
      <c r="M184" s="5" t="s">
        <v>2</v>
      </c>
      <c r="N184" s="8">
        <f>SUM(N176:N183)</f>
        <v>959000</v>
      </c>
      <c r="O184" s="3"/>
    </row>
    <row r="185" spans="1:15" ht="15" x14ac:dyDescent="0.35">
      <c r="A185" s="1" t="s">
        <v>14</v>
      </c>
      <c r="B185" s="2"/>
      <c r="C185" s="2" t="s">
        <v>2</v>
      </c>
      <c r="D185" s="25"/>
      <c r="E185" s="2"/>
      <c r="F185" s="1" t="s">
        <v>14</v>
      </c>
      <c r="G185" s="2"/>
      <c r="H185" s="2" t="s">
        <v>2</v>
      </c>
      <c r="I185" s="8">
        <f>[7]krnmei!$J$592</f>
        <v>0</v>
      </c>
      <c r="J185" s="2"/>
      <c r="K185" s="1" t="s">
        <v>14</v>
      </c>
      <c r="L185" s="2"/>
      <c r="M185" s="2" t="s">
        <v>2</v>
      </c>
      <c r="N185" s="8">
        <f>[40]krnmei!$J$1061</f>
        <v>15100000</v>
      </c>
      <c r="O185" s="3"/>
    </row>
    <row r="186" spans="1:15" ht="15" x14ac:dyDescent="0.35">
      <c r="A186" s="1"/>
      <c r="B186" s="2"/>
      <c r="C186" s="15"/>
      <c r="D186" s="15" t="str">
        <f>D167</f>
        <v>Grogol, 01 April  2026</v>
      </c>
      <c r="E186" s="2"/>
      <c r="F186" s="1"/>
      <c r="G186" s="2"/>
      <c r="H186" s="15"/>
      <c r="I186" s="15" t="str">
        <f>D167</f>
        <v>Grogol, 01 April  2026</v>
      </c>
      <c r="J186" s="15"/>
      <c r="K186" s="1"/>
      <c r="L186" s="2"/>
      <c r="M186" s="15"/>
      <c r="N186" s="15" t="str">
        <f>D167</f>
        <v>Grogol, 01 April  2026</v>
      </c>
      <c r="O186" s="16"/>
    </row>
    <row r="187" spans="1:15" ht="15" x14ac:dyDescent="0.35">
      <c r="A187" s="1"/>
      <c r="B187" s="2"/>
      <c r="C187" s="2"/>
      <c r="D187" s="15" t="s">
        <v>15</v>
      </c>
      <c r="E187" s="15"/>
      <c r="F187" s="1"/>
      <c r="G187" s="2"/>
      <c r="H187" s="2"/>
      <c r="I187" s="15" t="s">
        <v>15</v>
      </c>
      <c r="J187" s="2"/>
      <c r="K187" s="1"/>
      <c r="L187" s="2"/>
      <c r="M187" s="2"/>
      <c r="N187" s="15" t="s">
        <v>15</v>
      </c>
      <c r="O187" s="3"/>
    </row>
    <row r="188" spans="1:15" ht="15" x14ac:dyDescent="0.35">
      <c r="A188" s="1"/>
      <c r="B188" s="2"/>
      <c r="C188" s="2"/>
      <c r="D188" s="15"/>
      <c r="E188" s="2"/>
      <c r="F188" s="1"/>
      <c r="G188" s="2"/>
      <c r="H188" s="2"/>
      <c r="I188" s="15"/>
      <c r="J188" s="2"/>
      <c r="K188" s="1"/>
      <c r="L188" s="2"/>
      <c r="M188" s="2"/>
      <c r="N188" s="15"/>
      <c r="O188" s="3"/>
    </row>
    <row r="189" spans="1:15" ht="15" x14ac:dyDescent="0.35">
      <c r="A189" s="1"/>
      <c r="B189" s="2"/>
      <c r="C189" s="2"/>
      <c r="D189" s="15"/>
      <c r="E189" s="2"/>
      <c r="F189" s="1"/>
      <c r="G189" s="2"/>
      <c r="H189" s="2"/>
      <c r="I189" s="15"/>
      <c r="J189" s="2"/>
      <c r="K189" s="1"/>
      <c r="L189" s="2"/>
      <c r="M189" s="2"/>
      <c r="N189" s="15"/>
      <c r="O189" s="3"/>
    </row>
    <row r="190" spans="1:15" ht="15.6" thickBot="1" x14ac:dyDescent="0.4">
      <c r="A190" s="17"/>
      <c r="B190" s="18"/>
      <c r="C190" s="18"/>
      <c r="D190" s="19" t="s">
        <v>16</v>
      </c>
      <c r="E190" s="20"/>
      <c r="F190" s="17"/>
      <c r="G190" s="18"/>
      <c r="H190" s="18"/>
      <c r="I190" s="19" t="s">
        <v>16</v>
      </c>
      <c r="J190" s="18"/>
      <c r="K190" s="17"/>
      <c r="L190" s="18"/>
      <c r="M190" s="18"/>
      <c r="N190" s="19" t="s">
        <v>16</v>
      </c>
      <c r="O190" s="20"/>
    </row>
    <row r="191" spans="1:15" ht="15" x14ac:dyDescent="0.35">
      <c r="A191" s="46" t="s">
        <v>0</v>
      </c>
      <c r="B191" s="47"/>
      <c r="C191" s="47"/>
      <c r="D191" s="47"/>
      <c r="E191" s="47"/>
      <c r="F191" s="46" t="s">
        <v>0</v>
      </c>
      <c r="G191" s="47"/>
      <c r="H191" s="47"/>
      <c r="I191" s="47"/>
      <c r="J191" s="47"/>
      <c r="K191" s="46" t="s">
        <v>0</v>
      </c>
      <c r="L191" s="47"/>
      <c r="M191" s="47"/>
      <c r="N191" s="47"/>
      <c r="O191" s="48"/>
    </row>
    <row r="192" spans="1:15" ht="15" x14ac:dyDescent="0.35">
      <c r="A192" s="1"/>
      <c r="B192" s="2"/>
      <c r="C192" s="2"/>
      <c r="D192" s="2"/>
      <c r="E192" s="2"/>
      <c r="F192" s="1"/>
      <c r="G192" s="2"/>
      <c r="H192" s="2"/>
      <c r="I192" s="2"/>
      <c r="J192" s="2"/>
      <c r="K192" s="1"/>
      <c r="L192" s="2"/>
      <c r="M192" s="2"/>
      <c r="N192" s="2"/>
      <c r="O192" s="3"/>
    </row>
    <row r="193" spans="1:15" ht="15" x14ac:dyDescent="0.35">
      <c r="A193" s="1" t="s">
        <v>1</v>
      </c>
      <c r="B193" s="2" t="s">
        <v>2</v>
      </c>
      <c r="C193" s="5" t="str">
        <f>[27]krnmei!$B$1123</f>
        <v>DEWI RATRI KALINGGA</v>
      </c>
      <c r="D193" s="5"/>
      <c r="E193" s="4">
        <v>40</v>
      </c>
      <c r="F193" s="1" t="s">
        <v>1</v>
      </c>
      <c r="G193" s="2" t="s">
        <v>2</v>
      </c>
      <c r="H193" s="50" t="s">
        <v>75</v>
      </c>
      <c r="I193" s="50"/>
      <c r="J193" s="4">
        <v>51</v>
      </c>
      <c r="K193" s="1" t="s">
        <v>1</v>
      </c>
      <c r="L193" s="2" t="s">
        <v>2</v>
      </c>
      <c r="M193" s="5" t="s">
        <v>34</v>
      </c>
      <c r="N193" s="5"/>
      <c r="O193" s="6">
        <v>20</v>
      </c>
    </row>
    <row r="194" spans="1:15" ht="15" x14ac:dyDescent="0.35">
      <c r="A194" s="1" t="s">
        <v>4</v>
      </c>
      <c r="B194" s="2"/>
      <c r="C194" s="2" t="s">
        <v>2</v>
      </c>
      <c r="D194" s="2"/>
      <c r="F194" s="1" t="s">
        <v>4</v>
      </c>
      <c r="G194" s="2"/>
      <c r="H194" s="2" t="s">
        <v>2</v>
      </c>
      <c r="I194" s="2"/>
      <c r="J194" s="2"/>
      <c r="K194" s="1" t="s">
        <v>4</v>
      </c>
      <c r="L194" s="2"/>
      <c r="M194" s="2" t="s">
        <v>2</v>
      </c>
      <c r="N194" s="2"/>
      <c r="O194" s="3"/>
    </row>
    <row r="195" spans="1:15" ht="15" x14ac:dyDescent="0.35">
      <c r="A195" s="1" t="s">
        <v>5</v>
      </c>
      <c r="B195" s="2"/>
      <c r="C195" s="2" t="s">
        <v>2</v>
      </c>
      <c r="D195" s="8">
        <f>[27]krnmei!$C$1129</f>
        <v>15000</v>
      </c>
      <c r="E195" s="2"/>
      <c r="F195" s="1" t="s">
        <v>5</v>
      </c>
      <c r="G195" s="2"/>
      <c r="H195" s="2" t="s">
        <v>2</v>
      </c>
      <c r="I195" s="8">
        <f>[1]krnmei!$C$1381</f>
        <v>10000</v>
      </c>
      <c r="J195" s="2"/>
      <c r="K195" s="1" t="s">
        <v>5</v>
      </c>
      <c r="L195" s="2"/>
      <c r="M195" s="2" t="s">
        <v>2</v>
      </c>
      <c r="N195" s="7">
        <f>[28]krnmei!$C$656</f>
        <v>100000</v>
      </c>
      <c r="O195" s="3"/>
    </row>
    <row r="196" spans="1:15" ht="15" x14ac:dyDescent="0.35">
      <c r="A196" s="1" t="s">
        <v>6</v>
      </c>
      <c r="B196" s="2"/>
      <c r="C196" s="2" t="s">
        <v>2</v>
      </c>
      <c r="D196" s="8">
        <f>[29]krnmei!$D$1126</f>
        <v>10000</v>
      </c>
      <c r="E196" s="2"/>
      <c r="F196" s="1" t="s">
        <v>6</v>
      </c>
      <c r="G196" s="2"/>
      <c r="H196" s="2" t="s">
        <v>2</v>
      </c>
      <c r="I196" s="8">
        <f>[1]krnmei!$D$1381</f>
        <v>30000</v>
      </c>
      <c r="J196" s="2"/>
      <c r="K196" s="1" t="s">
        <v>6</v>
      </c>
      <c r="L196" s="2"/>
      <c r="M196" s="2" t="s">
        <v>2</v>
      </c>
      <c r="N196" s="7">
        <f>[5]krnmei!$D$654</f>
        <v>100000</v>
      </c>
      <c r="O196" s="3"/>
    </row>
    <row r="197" spans="1:15" ht="15" x14ac:dyDescent="0.35">
      <c r="A197" s="1" t="s">
        <v>7</v>
      </c>
      <c r="B197" s="2"/>
      <c r="C197" s="2" t="s">
        <v>2</v>
      </c>
      <c r="D197" s="8">
        <f>[5]krnmei!$E$1130</f>
        <v>100000</v>
      </c>
      <c r="E197" s="2"/>
      <c r="F197" s="1" t="s">
        <v>7</v>
      </c>
      <c r="G197" s="2"/>
      <c r="H197" s="2" t="s">
        <v>2</v>
      </c>
      <c r="I197" s="8">
        <f>[1]krnmei!$E$1382</f>
        <v>50000</v>
      </c>
      <c r="J197" s="2"/>
      <c r="K197" s="1" t="s">
        <v>7</v>
      </c>
      <c r="L197" s="2"/>
      <c r="M197" s="2" t="s">
        <v>2</v>
      </c>
      <c r="N197" s="7">
        <f>[5]krnmei!$E$654</f>
        <v>200000</v>
      </c>
      <c r="O197" s="3"/>
    </row>
    <row r="198" spans="1:15" ht="15" x14ac:dyDescent="0.35">
      <c r="A198" s="1" t="s">
        <v>8</v>
      </c>
      <c r="B198" s="2">
        <v>27</v>
      </c>
      <c r="C198" s="2" t="s">
        <v>2</v>
      </c>
      <c r="D198" s="8">
        <v>500000</v>
      </c>
      <c r="E198" s="2"/>
      <c r="F198" s="1" t="s">
        <v>8</v>
      </c>
      <c r="G198" s="2"/>
      <c r="H198" s="2" t="s">
        <v>2</v>
      </c>
      <c r="I198" s="8"/>
      <c r="J198" s="2"/>
      <c r="K198" s="1" t="s">
        <v>8</v>
      </c>
      <c r="L198" s="2"/>
      <c r="M198" s="2" t="s">
        <v>2</v>
      </c>
      <c r="N198" s="2">
        <v>0</v>
      </c>
      <c r="O198" s="3"/>
    </row>
    <row r="199" spans="1:15" ht="15" x14ac:dyDescent="0.35">
      <c r="A199" s="1" t="s">
        <v>9</v>
      </c>
      <c r="B199" s="2"/>
      <c r="C199" s="2" t="s">
        <v>2</v>
      </c>
      <c r="D199" s="30">
        <f>[40]krnmei!$K$1129</f>
        <v>85875</v>
      </c>
      <c r="E199" s="2"/>
      <c r="F199" s="1" t="s">
        <v>9</v>
      </c>
      <c r="G199" s="2"/>
      <c r="H199" s="2" t="s">
        <v>2</v>
      </c>
      <c r="I199" s="30">
        <f>[18]krnmei!$K$1390</f>
        <v>0</v>
      </c>
      <c r="J199" s="2"/>
      <c r="K199" s="1" t="s">
        <v>9</v>
      </c>
      <c r="L199" s="2"/>
      <c r="M199" s="2" t="s">
        <v>2</v>
      </c>
      <c r="N199" s="2">
        <v>0</v>
      </c>
      <c r="O199" s="3"/>
    </row>
    <row r="200" spans="1:15" ht="15" x14ac:dyDescent="0.35">
      <c r="A200" s="1" t="s">
        <v>10</v>
      </c>
      <c r="B200" s="2"/>
      <c r="C200" s="2" t="s">
        <v>2</v>
      </c>
      <c r="D200" s="8"/>
      <c r="E200" s="2"/>
      <c r="F200" s="1" t="s">
        <v>10</v>
      </c>
      <c r="G200" s="2"/>
      <c r="H200" s="2" t="s">
        <v>2</v>
      </c>
      <c r="I200" s="8"/>
      <c r="J200" s="2"/>
      <c r="K200" s="1" t="s">
        <v>10</v>
      </c>
      <c r="L200" s="2"/>
      <c r="M200" s="2" t="s">
        <v>2</v>
      </c>
      <c r="N200" s="2">
        <v>0</v>
      </c>
      <c r="O200" s="3"/>
    </row>
    <row r="201" spans="1:15" ht="15" x14ac:dyDescent="0.35">
      <c r="A201" s="1" t="s">
        <v>11</v>
      </c>
      <c r="B201" s="2"/>
      <c r="C201" s="2" t="s">
        <v>2</v>
      </c>
      <c r="D201" s="8">
        <v>0</v>
      </c>
      <c r="E201" s="2"/>
      <c r="F201" s="1" t="s">
        <v>11</v>
      </c>
      <c r="G201" s="2"/>
      <c r="H201" s="2" t="s">
        <v>2</v>
      </c>
      <c r="I201" s="9">
        <f>[7]krnmei!$P$1391</f>
        <v>120000</v>
      </c>
      <c r="J201" s="2"/>
      <c r="K201" s="1" t="s">
        <v>11</v>
      </c>
      <c r="L201" s="2"/>
      <c r="M201" s="2" t="s">
        <v>2</v>
      </c>
      <c r="N201" s="2">
        <v>0</v>
      </c>
      <c r="O201" s="3"/>
    </row>
    <row r="202" spans="1:15" ht="15" x14ac:dyDescent="0.35">
      <c r="A202" s="1" t="s">
        <v>12</v>
      </c>
      <c r="B202" s="2"/>
      <c r="C202" s="2" t="s">
        <v>2</v>
      </c>
      <c r="D202" s="8">
        <v>225000</v>
      </c>
      <c r="E202" s="2"/>
      <c r="F202" s="1" t="s">
        <v>12</v>
      </c>
      <c r="G202" s="2"/>
      <c r="H202" s="2" t="s">
        <v>2</v>
      </c>
      <c r="I202" s="8">
        <f>[1]krnmei!$F$1382</f>
        <v>10000</v>
      </c>
      <c r="J202" s="2"/>
      <c r="K202" s="1" t="s">
        <v>12</v>
      </c>
      <c r="L202" s="2"/>
      <c r="M202" s="2" t="s">
        <v>2</v>
      </c>
      <c r="N202" s="7">
        <f>[5]krnmei!$F$654</f>
        <v>400000</v>
      </c>
      <c r="O202" s="3"/>
    </row>
    <row r="203" spans="1:15" ht="15" x14ac:dyDescent="0.35">
      <c r="A203" s="13" t="s">
        <v>13</v>
      </c>
      <c r="B203" s="5"/>
      <c r="C203" s="5" t="s">
        <v>2</v>
      </c>
      <c r="D203" s="8">
        <f>SUM(D195:D202)</f>
        <v>935875</v>
      </c>
      <c r="E203" s="2"/>
      <c r="F203" s="13" t="s">
        <v>13</v>
      </c>
      <c r="G203" s="5"/>
      <c r="H203" s="5" t="s">
        <v>2</v>
      </c>
      <c r="I203" s="14">
        <f>SUM(I195:I202)</f>
        <v>220000</v>
      </c>
      <c r="J203" s="2"/>
      <c r="K203" s="13" t="s">
        <v>13</v>
      </c>
      <c r="L203" s="5"/>
      <c r="M203" s="5" t="s">
        <v>2</v>
      </c>
      <c r="N203" s="14">
        <f>SUM(N195:N202)</f>
        <v>800000</v>
      </c>
      <c r="O203" s="3"/>
    </row>
    <row r="204" spans="1:15" ht="15" x14ac:dyDescent="0.35">
      <c r="A204" s="1" t="s">
        <v>14</v>
      </c>
      <c r="B204" s="2"/>
      <c r="C204" s="2" t="s">
        <v>2</v>
      </c>
      <c r="D204" s="8">
        <f>[40]krnmei!$J$1129</f>
        <v>5225000</v>
      </c>
      <c r="E204" s="2"/>
      <c r="F204" s="1" t="s">
        <v>14</v>
      </c>
      <c r="G204" s="2"/>
      <c r="H204" s="2" t="s">
        <v>2</v>
      </c>
      <c r="I204" s="7">
        <f>[7]krnmei!$O$1391</f>
        <v>6000000</v>
      </c>
      <c r="J204" s="2"/>
      <c r="K204" s="1" t="s">
        <v>14</v>
      </c>
      <c r="L204" s="2"/>
      <c r="M204" s="2" t="s">
        <v>2</v>
      </c>
      <c r="N204" s="7">
        <v>0</v>
      </c>
      <c r="O204" s="3"/>
    </row>
    <row r="205" spans="1:15" ht="15" x14ac:dyDescent="0.35">
      <c r="A205" s="1"/>
      <c r="B205" s="2"/>
      <c r="C205" s="15"/>
      <c r="D205" s="15" t="str">
        <f>D186</f>
        <v>Grogol, 01 April  2026</v>
      </c>
      <c r="E205" s="2"/>
      <c r="F205" s="1"/>
      <c r="G205" s="2"/>
      <c r="H205" s="15"/>
      <c r="I205" s="15" t="str">
        <f>D205</f>
        <v>Grogol, 01 April  2026</v>
      </c>
      <c r="J205" s="15"/>
      <c r="K205" s="1"/>
      <c r="L205" s="2"/>
      <c r="M205" s="15"/>
      <c r="N205" s="15" t="str">
        <f>I205</f>
        <v>Grogol, 01 April  2026</v>
      </c>
      <c r="O205" s="16"/>
    </row>
    <row r="206" spans="1:15" ht="15" x14ac:dyDescent="0.35">
      <c r="A206" s="1"/>
      <c r="B206" s="2"/>
      <c r="C206" s="2"/>
      <c r="D206" s="15" t="s">
        <v>15</v>
      </c>
      <c r="E206" s="15"/>
      <c r="F206" s="1"/>
      <c r="G206" s="2"/>
      <c r="H206" s="2"/>
      <c r="I206" s="15" t="s">
        <v>15</v>
      </c>
      <c r="J206" s="2"/>
      <c r="K206" s="1"/>
      <c r="L206" s="2"/>
      <c r="M206" s="2"/>
      <c r="N206" s="15" t="s">
        <v>15</v>
      </c>
      <c r="O206" s="3"/>
    </row>
    <row r="207" spans="1:15" ht="15" x14ac:dyDescent="0.35">
      <c r="A207" s="1"/>
      <c r="B207" s="2"/>
      <c r="C207" s="2"/>
      <c r="D207" s="15"/>
      <c r="E207" s="2"/>
      <c r="F207" s="1"/>
      <c r="G207" s="2"/>
      <c r="H207" s="2"/>
      <c r="I207" s="15"/>
      <c r="J207" s="2"/>
      <c r="K207" s="1"/>
      <c r="L207" s="2"/>
      <c r="M207" s="2"/>
      <c r="N207" s="15"/>
      <c r="O207" s="3"/>
    </row>
    <row r="208" spans="1:15" ht="15" x14ac:dyDescent="0.35">
      <c r="A208" s="1"/>
      <c r="B208" s="2"/>
      <c r="C208" s="2"/>
      <c r="D208" s="15"/>
      <c r="E208" s="2"/>
      <c r="F208" s="1"/>
      <c r="G208" s="2"/>
      <c r="H208" s="2"/>
      <c r="I208" s="15"/>
      <c r="J208" s="2"/>
      <c r="K208" s="1"/>
      <c r="L208" s="2"/>
      <c r="M208" s="2"/>
      <c r="N208" s="15"/>
      <c r="O208" s="3"/>
    </row>
    <row r="209" spans="1:15" ht="15.6" thickBot="1" x14ac:dyDescent="0.4">
      <c r="A209" s="17"/>
      <c r="B209" s="18"/>
      <c r="C209" s="18"/>
      <c r="D209" s="19" t="s">
        <v>16</v>
      </c>
      <c r="E209" s="18"/>
      <c r="F209" s="17"/>
      <c r="G209" s="18"/>
      <c r="H209" s="18"/>
      <c r="I209" s="19" t="s">
        <v>16</v>
      </c>
      <c r="J209" s="18"/>
      <c r="K209" s="17"/>
      <c r="L209" s="18"/>
      <c r="M209" s="18"/>
      <c r="N209" s="19" t="s">
        <v>16</v>
      </c>
      <c r="O209" s="20"/>
    </row>
    <row r="210" spans="1:15" ht="15" x14ac:dyDescent="0.35">
      <c r="A210" s="46" t="s">
        <v>0</v>
      </c>
      <c r="B210" s="47"/>
      <c r="C210" s="47"/>
      <c r="D210" s="47"/>
      <c r="E210" s="47"/>
      <c r="F210" s="46" t="s">
        <v>0</v>
      </c>
      <c r="G210" s="47"/>
      <c r="H210" s="47"/>
      <c r="I210" s="47"/>
      <c r="J210" s="47"/>
      <c r="K210" s="46" t="s">
        <v>0</v>
      </c>
      <c r="L210" s="47"/>
      <c r="M210" s="47"/>
      <c r="N210" s="47"/>
      <c r="O210" s="48"/>
    </row>
    <row r="211" spans="1:15" ht="15" x14ac:dyDescent="0.35">
      <c r="A211" s="1"/>
      <c r="B211" s="2"/>
      <c r="C211" s="2"/>
      <c r="D211" s="2"/>
      <c r="E211" s="2"/>
      <c r="F211" s="1"/>
      <c r="G211" s="2"/>
      <c r="H211" s="2"/>
      <c r="I211" s="2"/>
      <c r="J211" s="2"/>
      <c r="K211" s="1"/>
      <c r="L211" s="2"/>
      <c r="M211" s="2"/>
      <c r="N211" s="2"/>
      <c r="O211" s="3"/>
    </row>
    <row r="212" spans="1:15" ht="15" x14ac:dyDescent="0.35">
      <c r="A212" s="1" t="s">
        <v>1</v>
      </c>
      <c r="B212" s="2" t="s">
        <v>2</v>
      </c>
      <c r="C212" s="50" t="str">
        <f>[17]krnmei!$B$1174</f>
        <v>SRI WAHYUNINGSIH</v>
      </c>
      <c r="D212" s="50"/>
      <c r="E212" s="4">
        <v>43</v>
      </c>
      <c r="F212" s="1" t="s">
        <v>1</v>
      </c>
      <c r="G212" s="2" t="s">
        <v>2</v>
      </c>
      <c r="H212" s="50" t="s">
        <v>35</v>
      </c>
      <c r="I212" s="50"/>
      <c r="J212" s="4">
        <v>28</v>
      </c>
      <c r="K212" s="1" t="s">
        <v>1</v>
      </c>
      <c r="L212" s="2" t="s">
        <v>2</v>
      </c>
      <c r="M212" s="52" t="s">
        <v>70</v>
      </c>
      <c r="N212" s="52"/>
      <c r="O212" s="6">
        <v>27</v>
      </c>
    </row>
    <row r="213" spans="1:15" ht="15" x14ac:dyDescent="0.35">
      <c r="A213" s="1" t="s">
        <v>4</v>
      </c>
      <c r="B213" s="2"/>
      <c r="C213" s="2" t="s">
        <v>2</v>
      </c>
      <c r="D213" s="2"/>
      <c r="F213" s="1" t="s">
        <v>4</v>
      </c>
      <c r="G213" s="2"/>
      <c r="H213" s="2" t="s">
        <v>2</v>
      </c>
      <c r="I213" s="2"/>
      <c r="J213" s="2"/>
      <c r="K213" s="1" t="s">
        <v>4</v>
      </c>
      <c r="L213" s="2"/>
      <c r="M213" s="2" t="s">
        <v>2</v>
      </c>
      <c r="N213" s="2"/>
      <c r="O213" s="3"/>
    </row>
    <row r="214" spans="1:15" ht="15" x14ac:dyDescent="0.35">
      <c r="A214" s="1" t="s">
        <v>5</v>
      </c>
      <c r="B214" s="2"/>
      <c r="C214" s="2" t="s">
        <v>2</v>
      </c>
      <c r="D214" s="8">
        <f>'[3]KARNING 2021'!$C$667</f>
        <v>100000</v>
      </c>
      <c r="E214" s="2"/>
      <c r="F214" s="1" t="s">
        <v>83</v>
      </c>
      <c r="G214" s="2"/>
      <c r="H214" s="2" t="s">
        <v>2</v>
      </c>
      <c r="I214" s="8">
        <f>[18]krnmei!$C$693</f>
        <v>15000</v>
      </c>
      <c r="J214" s="2"/>
      <c r="K214" s="1" t="s">
        <v>82</v>
      </c>
      <c r="L214" s="2"/>
      <c r="M214" s="2" t="s">
        <v>2</v>
      </c>
      <c r="N214" s="8">
        <v>100000</v>
      </c>
      <c r="O214" s="3"/>
    </row>
    <row r="215" spans="1:15" ht="15" x14ac:dyDescent="0.35">
      <c r="A215" s="1" t="s">
        <v>6</v>
      </c>
      <c r="B215" s="2"/>
      <c r="C215" s="2" t="s">
        <v>2</v>
      </c>
      <c r="D215" s="8">
        <f>'[3]KARNING 2021'!$D$667</f>
        <v>25000</v>
      </c>
      <c r="E215" s="2"/>
      <c r="F215" s="1" t="s">
        <v>6</v>
      </c>
      <c r="G215" s="2"/>
      <c r="H215" s="2" t="s">
        <v>2</v>
      </c>
      <c r="I215" s="8">
        <f>'[3]KARNING 2021'!$D$684</f>
        <v>10000</v>
      </c>
      <c r="J215" s="2"/>
      <c r="K215" s="1" t="s">
        <v>6</v>
      </c>
      <c r="L215" s="2"/>
      <c r="M215" s="2" t="s">
        <v>2</v>
      </c>
      <c r="N215" s="8">
        <v>50000</v>
      </c>
      <c r="O215" s="3"/>
    </row>
    <row r="216" spans="1:15" ht="15" x14ac:dyDescent="0.35">
      <c r="A216" s="1" t="s">
        <v>7</v>
      </c>
      <c r="B216" s="2"/>
      <c r="C216" s="2" t="s">
        <v>2</v>
      </c>
      <c r="D216" s="8">
        <f>[30]krnmei!$E$1183+50000</f>
        <v>100000</v>
      </c>
      <c r="E216" s="2"/>
      <c r="F216" s="1" t="s">
        <v>7</v>
      </c>
      <c r="G216" s="2"/>
      <c r="H216" s="2" t="s">
        <v>2</v>
      </c>
      <c r="I216" s="8">
        <f>[10]krnmei!$E$689</f>
        <v>200000</v>
      </c>
      <c r="J216" s="2"/>
      <c r="K216" s="1" t="s">
        <v>7</v>
      </c>
      <c r="L216" s="2"/>
      <c r="M216" s="2" t="s">
        <v>2</v>
      </c>
      <c r="N216" s="8">
        <v>100000</v>
      </c>
      <c r="O216" s="3"/>
    </row>
    <row r="217" spans="1:15" ht="15" x14ac:dyDescent="0.35">
      <c r="A217" s="1" t="s">
        <v>8</v>
      </c>
      <c r="B217" s="21"/>
      <c r="C217" s="2" t="s">
        <v>2</v>
      </c>
      <c r="D217" s="25"/>
      <c r="E217" s="2"/>
      <c r="F217" s="1" t="s">
        <v>8</v>
      </c>
      <c r="G217" s="21">
        <v>9</v>
      </c>
      <c r="H217" s="2" t="s">
        <v>2</v>
      </c>
      <c r="I217" s="8">
        <f>[31]krnmei!$I$691</f>
        <v>1500000</v>
      </c>
      <c r="J217" s="2"/>
      <c r="K217" s="1" t="s">
        <v>8</v>
      </c>
      <c r="L217" s="21">
        <v>0</v>
      </c>
      <c r="M217" s="2"/>
      <c r="N217" s="25">
        <v>0</v>
      </c>
      <c r="O217" s="3"/>
    </row>
    <row r="218" spans="1:15" ht="15" x14ac:dyDescent="0.35">
      <c r="A218" s="1" t="s">
        <v>9</v>
      </c>
      <c r="B218" s="2"/>
      <c r="C218" s="2" t="s">
        <v>2</v>
      </c>
      <c r="D218" s="25">
        <v>0</v>
      </c>
      <c r="E218" s="2"/>
      <c r="F218" s="1" t="s">
        <v>9</v>
      </c>
      <c r="G218" s="2"/>
      <c r="H218" s="2" t="s">
        <v>2</v>
      </c>
      <c r="I218" s="11">
        <f>[40]krnmei!$K$687</f>
        <v>120000</v>
      </c>
      <c r="J218" s="2"/>
      <c r="K218" s="1" t="s">
        <v>9</v>
      </c>
      <c r="L218" s="2"/>
      <c r="M218" s="2" t="s">
        <v>2</v>
      </c>
      <c r="N218" s="11">
        <v>0</v>
      </c>
      <c r="O218" s="3"/>
    </row>
    <row r="219" spans="1:15" ht="15" x14ac:dyDescent="0.35">
      <c r="A219" s="1" t="s">
        <v>10</v>
      </c>
      <c r="B219" s="2"/>
      <c r="C219" s="2" t="s">
        <v>2</v>
      </c>
      <c r="D219" s="8">
        <v>0</v>
      </c>
      <c r="E219" s="2"/>
      <c r="F219" s="1" t="s">
        <v>10</v>
      </c>
      <c r="G219" s="2"/>
      <c r="H219" s="2" t="s">
        <v>2</v>
      </c>
      <c r="I219" s="8">
        <v>0</v>
      </c>
      <c r="J219" s="2"/>
      <c r="K219" s="1" t="s">
        <v>10</v>
      </c>
      <c r="L219" s="2">
        <v>0</v>
      </c>
      <c r="M219" s="2" t="s">
        <v>2</v>
      </c>
      <c r="N219" s="8">
        <v>0</v>
      </c>
      <c r="O219" s="3"/>
    </row>
    <row r="220" spans="1:15" ht="15" x14ac:dyDescent="0.35">
      <c r="A220" s="1" t="s">
        <v>11</v>
      </c>
      <c r="B220" s="2"/>
      <c r="C220" s="2" t="s">
        <v>2</v>
      </c>
      <c r="D220" s="25">
        <v>0</v>
      </c>
      <c r="E220" s="2"/>
      <c r="F220" s="1" t="s">
        <v>11</v>
      </c>
      <c r="G220" s="2"/>
      <c r="H220" s="2" t="s">
        <v>2</v>
      </c>
      <c r="I220" s="9">
        <f>-I2190</f>
        <v>0</v>
      </c>
      <c r="J220" s="2"/>
      <c r="K220" s="1" t="s">
        <v>11</v>
      </c>
      <c r="L220" s="2"/>
      <c r="M220" s="2" t="s">
        <v>2</v>
      </c>
      <c r="N220" s="8">
        <v>0</v>
      </c>
      <c r="O220" s="3"/>
    </row>
    <row r="221" spans="1:15" ht="15" x14ac:dyDescent="0.35">
      <c r="A221" s="1" t="s">
        <v>12</v>
      </c>
      <c r="B221" s="2"/>
      <c r="C221" s="2" t="s">
        <v>2</v>
      </c>
      <c r="D221" s="7">
        <f>[17]krnmei!$F$1179</f>
        <v>25000</v>
      </c>
      <c r="E221" s="2"/>
      <c r="F221" s="1" t="s">
        <v>12</v>
      </c>
      <c r="G221" s="2"/>
      <c r="H221" s="2" t="s">
        <v>2</v>
      </c>
      <c r="I221" s="8">
        <f>[4]krnmei!$F$684</f>
        <v>0</v>
      </c>
      <c r="J221" s="2"/>
      <c r="K221" s="1" t="s">
        <v>12</v>
      </c>
      <c r="L221" s="2"/>
      <c r="M221" s="2" t="s">
        <v>2</v>
      </c>
      <c r="N221" s="8">
        <v>50000</v>
      </c>
      <c r="O221" s="3"/>
    </row>
    <row r="222" spans="1:15" ht="15" x14ac:dyDescent="0.35">
      <c r="A222" s="13" t="s">
        <v>13</v>
      </c>
      <c r="B222" s="5"/>
      <c r="C222" s="5" t="s">
        <v>2</v>
      </c>
      <c r="D222" s="24">
        <f>SUM(D214:D221)</f>
        <v>250000</v>
      </c>
      <c r="E222" s="2"/>
      <c r="F222" s="13" t="s">
        <v>13</v>
      </c>
      <c r="G222" s="5"/>
      <c r="H222" s="5" t="s">
        <v>2</v>
      </c>
      <c r="I222" s="24">
        <f>SUM(I214:I221)</f>
        <v>1845000</v>
      </c>
      <c r="J222" s="2"/>
      <c r="K222" s="13" t="s">
        <v>13</v>
      </c>
      <c r="L222" s="5"/>
      <c r="M222" s="5" t="s">
        <v>2</v>
      </c>
      <c r="N222" s="24">
        <f>SUM(N214:N221)</f>
        <v>300000</v>
      </c>
      <c r="O222" s="3"/>
    </row>
    <row r="223" spans="1:15" ht="15" x14ac:dyDescent="0.35">
      <c r="A223" s="1" t="s">
        <v>14</v>
      </c>
      <c r="B223" s="2"/>
      <c r="C223" s="2" t="s">
        <v>2</v>
      </c>
      <c r="D223" s="25">
        <v>0</v>
      </c>
      <c r="E223" s="2"/>
      <c r="F223" s="1" t="s">
        <v>14</v>
      </c>
      <c r="G223" s="2"/>
      <c r="H223" s="2" t="s">
        <v>2</v>
      </c>
      <c r="I223" s="25">
        <f>[40]krnmei!$J$687</f>
        <v>6500000</v>
      </c>
      <c r="J223" s="2"/>
      <c r="K223" s="1" t="s">
        <v>14</v>
      </c>
      <c r="L223" s="2"/>
      <c r="M223" s="2" t="s">
        <v>2</v>
      </c>
      <c r="N223" s="25">
        <v>0</v>
      </c>
      <c r="O223" s="3"/>
    </row>
    <row r="224" spans="1:15" ht="15" x14ac:dyDescent="0.35">
      <c r="A224" s="1"/>
      <c r="B224" s="2"/>
      <c r="C224" s="15"/>
      <c r="D224" s="15" t="str">
        <f>D205</f>
        <v>Grogol, 01 April  2026</v>
      </c>
      <c r="E224" s="2"/>
      <c r="F224" s="1"/>
      <c r="G224" s="2"/>
      <c r="H224" s="15"/>
      <c r="I224" s="15" t="str">
        <f>D224</f>
        <v>Grogol, 01 April  2026</v>
      </c>
      <c r="J224" s="15"/>
      <c r="K224" s="1"/>
      <c r="L224" s="2"/>
      <c r="M224" s="15"/>
      <c r="N224" s="15" t="str">
        <f>I224</f>
        <v>Grogol, 01 April  2026</v>
      </c>
      <c r="O224" s="16"/>
    </row>
    <row r="225" spans="1:15" ht="15" x14ac:dyDescent="0.35">
      <c r="A225" s="1"/>
      <c r="B225" s="2"/>
      <c r="C225" s="2"/>
      <c r="D225" s="15" t="s">
        <v>15</v>
      </c>
      <c r="E225" s="15"/>
      <c r="F225" s="1"/>
      <c r="G225" s="2"/>
      <c r="H225" s="2"/>
      <c r="I225" s="15" t="s">
        <v>15</v>
      </c>
      <c r="J225" s="2"/>
      <c r="K225" s="1"/>
      <c r="L225" s="2"/>
      <c r="M225" s="2"/>
      <c r="N225" s="15" t="s">
        <v>15</v>
      </c>
      <c r="O225" s="3"/>
    </row>
    <row r="226" spans="1:15" ht="15" x14ac:dyDescent="0.35">
      <c r="A226" s="1"/>
      <c r="B226" s="2"/>
      <c r="C226" s="2"/>
      <c r="D226" s="15"/>
      <c r="E226" s="2"/>
      <c r="F226" s="1"/>
      <c r="G226" s="2"/>
      <c r="H226" s="2"/>
      <c r="I226" s="15"/>
      <c r="J226" s="2"/>
      <c r="K226" s="1"/>
      <c r="L226" s="2"/>
      <c r="M226" s="2"/>
      <c r="N226" s="15"/>
      <c r="O226" s="3"/>
    </row>
    <row r="227" spans="1:15" ht="15" x14ac:dyDescent="0.35">
      <c r="A227" s="1"/>
      <c r="B227" s="2"/>
      <c r="C227" s="2"/>
      <c r="D227" s="15"/>
      <c r="E227" s="2"/>
      <c r="F227" s="1"/>
      <c r="G227" s="2"/>
      <c r="H227" s="2"/>
      <c r="I227" s="15"/>
      <c r="J227" s="2"/>
      <c r="K227" s="1"/>
      <c r="L227" s="2"/>
      <c r="M227" s="2"/>
      <c r="N227" s="15"/>
      <c r="O227" s="3"/>
    </row>
    <row r="228" spans="1:15" ht="15.6" thickBot="1" x14ac:dyDescent="0.4">
      <c r="A228" s="17"/>
      <c r="B228" s="18"/>
      <c r="C228" s="18"/>
      <c r="D228" s="19" t="s">
        <v>16</v>
      </c>
      <c r="E228" s="18"/>
      <c r="F228" s="17"/>
      <c r="G228" s="18"/>
      <c r="H228" s="18"/>
      <c r="I228" s="19" t="s">
        <v>16</v>
      </c>
      <c r="J228" s="18"/>
      <c r="K228" s="17"/>
      <c r="L228" s="18"/>
      <c r="M228" s="18"/>
      <c r="N228" s="19" t="s">
        <v>16</v>
      </c>
      <c r="O228" s="20"/>
    </row>
    <row r="229" spans="1:15" ht="15" x14ac:dyDescent="0.35">
      <c r="A229" s="46" t="s">
        <v>0</v>
      </c>
      <c r="B229" s="47"/>
      <c r="C229" s="47"/>
      <c r="D229" s="47"/>
      <c r="E229" s="47"/>
      <c r="F229" s="46" t="s">
        <v>0</v>
      </c>
      <c r="G229" s="47"/>
      <c r="H229" s="47"/>
      <c r="I229" s="47"/>
      <c r="J229" s="47"/>
      <c r="K229" s="46" t="s">
        <v>0</v>
      </c>
      <c r="L229" s="47"/>
      <c r="M229" s="47"/>
      <c r="N229" s="47"/>
      <c r="O229" s="48"/>
    </row>
    <row r="230" spans="1:15" ht="15" x14ac:dyDescent="0.35">
      <c r="A230" s="1"/>
      <c r="B230" s="2"/>
      <c r="C230" s="2"/>
      <c r="D230" s="2"/>
      <c r="E230" s="2"/>
      <c r="F230" s="1"/>
      <c r="G230" s="2"/>
      <c r="H230" s="2"/>
      <c r="I230" s="2"/>
      <c r="J230" s="2"/>
      <c r="K230" s="1"/>
      <c r="L230" s="2"/>
      <c r="M230" s="2"/>
      <c r="N230" s="2"/>
      <c r="O230" s="3"/>
    </row>
    <row r="231" spans="1:15" ht="15" x14ac:dyDescent="0.35">
      <c r="A231" s="1" t="s">
        <v>1</v>
      </c>
      <c r="B231" s="2" t="s">
        <v>2</v>
      </c>
      <c r="C231" s="5"/>
      <c r="D231" s="5" t="str">
        <f>[17]krnmei!$B$1157</f>
        <v>FAHIMAH D</v>
      </c>
      <c r="E231" s="4">
        <v>19</v>
      </c>
      <c r="F231" s="1" t="s">
        <v>1</v>
      </c>
      <c r="G231" s="2" t="s">
        <v>2</v>
      </c>
      <c r="H231" s="51" t="s">
        <v>36</v>
      </c>
      <c r="I231" s="51"/>
      <c r="J231" s="4">
        <v>29</v>
      </c>
      <c r="K231" s="1" t="s">
        <v>1</v>
      </c>
      <c r="L231" s="2" t="s">
        <v>2</v>
      </c>
      <c r="M231" s="51" t="s">
        <v>37</v>
      </c>
      <c r="N231" s="51"/>
      <c r="O231" s="6">
        <v>30</v>
      </c>
    </row>
    <row r="232" spans="1:15" ht="15" x14ac:dyDescent="0.35">
      <c r="A232" s="1" t="s">
        <v>4</v>
      </c>
      <c r="B232" s="2"/>
      <c r="C232" s="2" t="s">
        <v>2</v>
      </c>
      <c r="D232" s="2"/>
      <c r="F232" s="1" t="s">
        <v>4</v>
      </c>
      <c r="G232" s="2"/>
      <c r="H232" s="2" t="s">
        <v>2</v>
      </c>
      <c r="I232" s="2"/>
      <c r="J232" s="2"/>
      <c r="K232" s="1" t="s">
        <v>4</v>
      </c>
      <c r="L232" s="2"/>
      <c r="M232" s="2" t="s">
        <v>2</v>
      </c>
      <c r="N232" s="2"/>
      <c r="O232" s="3"/>
    </row>
    <row r="233" spans="1:15" ht="15" x14ac:dyDescent="0.35">
      <c r="A233" s="1" t="s">
        <v>5</v>
      </c>
      <c r="B233" s="2"/>
      <c r="C233" s="2" t="s">
        <v>2</v>
      </c>
      <c r="D233" s="8">
        <f>[17]krnmei!$C$1162</f>
        <v>100000</v>
      </c>
      <c r="E233" s="2"/>
      <c r="F233" s="1" t="s">
        <v>5</v>
      </c>
      <c r="G233" s="2"/>
      <c r="H233" s="2" t="s">
        <v>2</v>
      </c>
      <c r="I233" s="8">
        <f>[18]krnmei!$C$744</f>
        <v>15000</v>
      </c>
      <c r="J233" s="2"/>
      <c r="K233" s="1" t="s">
        <v>5</v>
      </c>
      <c r="L233" s="2"/>
      <c r="M233" s="2" t="s">
        <v>2</v>
      </c>
      <c r="N233" s="8">
        <f>'[3]KARNING 2021'!$C$752</f>
        <v>10000</v>
      </c>
      <c r="O233" s="3"/>
    </row>
    <row r="234" spans="1:15" ht="15" x14ac:dyDescent="0.35">
      <c r="A234" s="1" t="s">
        <v>6</v>
      </c>
      <c r="B234" s="2"/>
      <c r="C234" s="2" t="s">
        <v>2</v>
      </c>
      <c r="D234" s="8">
        <v>100000</v>
      </c>
      <c r="E234" s="2"/>
      <c r="F234" s="1" t="s">
        <v>6</v>
      </c>
      <c r="G234" s="2"/>
      <c r="H234" s="2" t="s">
        <v>2</v>
      </c>
      <c r="I234" s="8">
        <f>'[3]KARNING 2021'!$D$735</f>
        <v>5000</v>
      </c>
      <c r="J234" s="2"/>
      <c r="K234" s="1" t="s">
        <v>6</v>
      </c>
      <c r="L234" s="2"/>
      <c r="M234" s="2" t="s">
        <v>2</v>
      </c>
      <c r="N234" s="8">
        <f>'[3]KARNING 2021'!$D$752</f>
        <v>15000</v>
      </c>
      <c r="O234" s="3"/>
    </row>
    <row r="235" spans="1:15" ht="15" x14ac:dyDescent="0.35">
      <c r="A235" s="1" t="s">
        <v>7</v>
      </c>
      <c r="B235" s="2"/>
      <c r="C235" s="2" t="s">
        <v>2</v>
      </c>
      <c r="D235" s="8">
        <f>[17]krnmei!$E$1162</f>
        <v>50000</v>
      </c>
      <c r="E235" s="2"/>
      <c r="F235" s="1" t="s">
        <v>7</v>
      </c>
      <c r="G235" s="2"/>
      <c r="H235" s="2" t="s">
        <v>2</v>
      </c>
      <c r="I235" s="8">
        <f>'[3]KARNING 2021'!$E$735</f>
        <v>150000</v>
      </c>
      <c r="J235" s="2"/>
      <c r="K235" s="1" t="s">
        <v>7</v>
      </c>
      <c r="L235" s="2"/>
      <c r="M235" s="2" t="s">
        <v>2</v>
      </c>
      <c r="N235" s="8">
        <v>0</v>
      </c>
      <c r="O235" s="3"/>
    </row>
    <row r="236" spans="1:15" ht="15" x14ac:dyDescent="0.35">
      <c r="A236" s="1" t="s">
        <v>8</v>
      </c>
      <c r="B236" s="21">
        <v>3</v>
      </c>
      <c r="C236" s="2" t="s">
        <v>2</v>
      </c>
      <c r="D236" s="8">
        <f>[39]krnmei!$I$1161</f>
        <v>300000</v>
      </c>
      <c r="E236" s="2"/>
      <c r="F236" s="1" t="s">
        <v>8</v>
      </c>
      <c r="G236" s="2">
        <v>39</v>
      </c>
      <c r="H236" s="2" t="s">
        <v>2</v>
      </c>
      <c r="I236" s="8">
        <f>[32]krnmei!$I$736</f>
        <v>250000</v>
      </c>
      <c r="J236" s="2"/>
      <c r="K236" s="1" t="s">
        <v>8</v>
      </c>
      <c r="L236" s="2">
        <v>65</v>
      </c>
      <c r="M236" s="2" t="s">
        <v>2</v>
      </c>
      <c r="N236" s="8">
        <f>[4]krnmei!$I$752</f>
        <v>200000</v>
      </c>
      <c r="O236" s="3"/>
    </row>
    <row r="237" spans="1:15" ht="15" x14ac:dyDescent="0.35">
      <c r="A237" s="1" t="s">
        <v>9</v>
      </c>
      <c r="B237" s="2"/>
      <c r="C237" s="2" t="s">
        <v>2</v>
      </c>
      <c r="D237" s="30">
        <f>[40]krnmei!$K$1163</f>
        <v>36000</v>
      </c>
      <c r="E237" s="2"/>
      <c r="F237" s="1" t="s">
        <v>9</v>
      </c>
      <c r="G237" s="2"/>
      <c r="H237" s="2" t="s">
        <v>2</v>
      </c>
      <c r="I237" s="30">
        <f>[40]krnmei!$K$738</f>
        <v>82500</v>
      </c>
      <c r="J237" s="2"/>
      <c r="K237" s="1" t="s">
        <v>9</v>
      </c>
      <c r="L237" s="2"/>
      <c r="M237" s="2" t="s">
        <v>2</v>
      </c>
      <c r="N237" s="11">
        <f>[40]krnmei!$K$755</f>
        <v>95250</v>
      </c>
      <c r="O237" s="3"/>
    </row>
    <row r="238" spans="1:15" ht="15" x14ac:dyDescent="0.35">
      <c r="A238" s="1" t="s">
        <v>10</v>
      </c>
      <c r="B238" s="2"/>
      <c r="C238" s="2" t="s">
        <v>2</v>
      </c>
      <c r="D238" s="8">
        <v>0</v>
      </c>
      <c r="E238" s="2"/>
      <c r="F238" s="1" t="s">
        <v>10</v>
      </c>
      <c r="G238" s="2">
        <v>0</v>
      </c>
      <c r="H238" s="2" t="s">
        <v>2</v>
      </c>
      <c r="I238" s="8">
        <v>0</v>
      </c>
      <c r="J238" s="2"/>
      <c r="K238" s="1" t="s">
        <v>10</v>
      </c>
      <c r="L238" s="21">
        <v>0</v>
      </c>
      <c r="M238" s="2" t="s">
        <v>2</v>
      </c>
      <c r="N238" s="8"/>
      <c r="O238" s="3"/>
    </row>
    <row r="239" spans="1:15" ht="15" x14ac:dyDescent="0.35">
      <c r="A239" s="1" t="s">
        <v>11</v>
      </c>
      <c r="B239" s="2"/>
      <c r="C239" s="2" t="s">
        <v>2</v>
      </c>
      <c r="D239" s="9">
        <f>[39]krnmei!$P$1161</f>
        <v>100000</v>
      </c>
      <c r="E239" s="2"/>
      <c r="F239" s="1" t="s">
        <v>11</v>
      </c>
      <c r="G239" s="2"/>
      <c r="H239" s="2" t="s">
        <v>2</v>
      </c>
      <c r="I239" s="9">
        <v>0</v>
      </c>
      <c r="J239" s="2"/>
      <c r="K239" s="1" t="s">
        <v>11</v>
      </c>
      <c r="L239" s="2"/>
      <c r="M239" s="2" t="s">
        <v>2</v>
      </c>
      <c r="N239" s="22">
        <v>0</v>
      </c>
      <c r="O239" s="3"/>
    </row>
    <row r="240" spans="1:15" ht="15" x14ac:dyDescent="0.35">
      <c r="A240" s="1" t="s">
        <v>12</v>
      </c>
      <c r="B240" s="2"/>
      <c r="C240" s="2" t="s">
        <v>2</v>
      </c>
      <c r="D240" s="8">
        <f>[17]krnmei!$F$1162</f>
        <v>50000</v>
      </c>
      <c r="E240" s="2"/>
      <c r="F240" s="1" t="s">
        <v>12</v>
      </c>
      <c r="G240" s="2"/>
      <c r="H240" s="2" t="s">
        <v>2</v>
      </c>
      <c r="I240" s="8">
        <f>'[3]KARNING 2021'!$F$735</f>
        <v>30000</v>
      </c>
      <c r="J240" s="2"/>
      <c r="K240" s="1" t="s">
        <v>12</v>
      </c>
      <c r="L240" s="2"/>
      <c r="M240" s="2" t="s">
        <v>2</v>
      </c>
      <c r="N240" s="8">
        <v>0</v>
      </c>
      <c r="O240" s="3"/>
    </row>
    <row r="241" spans="1:15" ht="15" x14ac:dyDescent="0.35">
      <c r="A241" s="13" t="s">
        <v>13</v>
      </c>
      <c r="B241" s="5"/>
      <c r="C241" s="5" t="s">
        <v>2</v>
      </c>
      <c r="D241" s="24">
        <f>SUM(D233:D240)</f>
        <v>736000</v>
      </c>
      <c r="E241" s="2"/>
      <c r="F241" s="13" t="s">
        <v>13</v>
      </c>
      <c r="G241" s="5"/>
      <c r="H241" s="5" t="s">
        <v>2</v>
      </c>
      <c r="I241" s="24">
        <f>SUM(I233:I240)</f>
        <v>532500</v>
      </c>
      <c r="J241" s="2"/>
      <c r="K241" s="13" t="s">
        <v>13</v>
      </c>
      <c r="L241" s="5"/>
      <c r="M241" s="5" t="s">
        <v>2</v>
      </c>
      <c r="N241" s="24">
        <f>SUM(N233:N240)</f>
        <v>320250</v>
      </c>
      <c r="O241" s="3"/>
    </row>
    <row r="242" spans="1:15" ht="15" x14ac:dyDescent="0.35">
      <c r="A242" s="1" t="s">
        <v>14</v>
      </c>
      <c r="B242" s="2"/>
      <c r="C242" s="2" t="s">
        <v>2</v>
      </c>
      <c r="D242" s="25">
        <f>[40]krnmei!$J$1163+5000000</f>
        <v>7100000</v>
      </c>
      <c r="E242" s="2"/>
      <c r="F242" s="1" t="s">
        <v>14</v>
      </c>
      <c r="G242" s="2"/>
      <c r="H242" s="2" t="s">
        <v>2</v>
      </c>
      <c r="I242" s="25">
        <f>[40]krnmei!$J$738</f>
        <v>5250000</v>
      </c>
      <c r="J242" s="2"/>
      <c r="K242" s="1" t="s">
        <v>14</v>
      </c>
      <c r="L242" s="2"/>
      <c r="M242" s="2" t="s">
        <v>2</v>
      </c>
      <c r="N242" s="27">
        <f>[40]krnmei!$J$755</f>
        <v>6150000</v>
      </c>
      <c r="O242" s="3"/>
    </row>
    <row r="243" spans="1:15" ht="15" x14ac:dyDescent="0.35">
      <c r="A243" s="1"/>
      <c r="B243" s="2"/>
      <c r="C243" s="15"/>
      <c r="D243" s="15" t="str">
        <f>D224</f>
        <v>Grogol, 01 April  2026</v>
      </c>
      <c r="E243" s="2"/>
      <c r="F243" s="1"/>
      <c r="G243" s="2"/>
      <c r="H243" s="15"/>
      <c r="I243" s="15" t="str">
        <f>D243</f>
        <v>Grogol, 01 April  2026</v>
      </c>
      <c r="J243" s="15"/>
      <c r="K243" s="1"/>
      <c r="L243" s="2"/>
      <c r="M243" s="15"/>
      <c r="N243" s="15" t="str">
        <f>I243</f>
        <v>Grogol, 01 April  2026</v>
      </c>
      <c r="O243" s="16"/>
    </row>
    <row r="244" spans="1:15" ht="15" x14ac:dyDescent="0.35">
      <c r="A244" s="1"/>
      <c r="B244" s="2"/>
      <c r="C244" s="2"/>
      <c r="D244" s="15" t="s">
        <v>15</v>
      </c>
      <c r="E244" s="15"/>
      <c r="F244" s="1"/>
      <c r="G244" s="2"/>
      <c r="H244" s="2"/>
      <c r="I244" s="15" t="s">
        <v>15</v>
      </c>
      <c r="J244" s="2"/>
      <c r="K244" s="1"/>
      <c r="L244" s="2"/>
      <c r="M244" s="2"/>
      <c r="N244" s="15" t="s">
        <v>15</v>
      </c>
      <c r="O244" s="3"/>
    </row>
    <row r="245" spans="1:15" ht="15" x14ac:dyDescent="0.35">
      <c r="A245" s="1"/>
      <c r="B245" s="2"/>
      <c r="C245" s="2"/>
      <c r="D245" s="15"/>
      <c r="E245" s="2"/>
      <c r="F245" s="1"/>
      <c r="G245" s="2"/>
      <c r="H245" s="2"/>
      <c r="I245" s="15"/>
      <c r="J245" s="2"/>
      <c r="K245" s="1"/>
      <c r="L245" s="2"/>
      <c r="M245" s="2"/>
      <c r="N245" s="15"/>
      <c r="O245" s="3"/>
    </row>
    <row r="246" spans="1:15" ht="15" x14ac:dyDescent="0.35">
      <c r="A246" s="1"/>
      <c r="B246" s="2"/>
      <c r="C246" s="2"/>
      <c r="D246" s="15"/>
      <c r="E246" s="2"/>
      <c r="F246" s="1"/>
      <c r="G246" s="2"/>
      <c r="H246" s="2"/>
      <c r="I246" s="15"/>
      <c r="J246" s="2"/>
      <c r="K246" s="1"/>
      <c r="L246" s="2"/>
      <c r="M246" s="2"/>
      <c r="N246" s="15"/>
      <c r="O246" s="3"/>
    </row>
    <row r="247" spans="1:15" ht="15.6" thickBot="1" x14ac:dyDescent="0.4">
      <c r="A247" s="17"/>
      <c r="B247" s="18"/>
      <c r="C247" s="18"/>
      <c r="D247" s="19" t="s">
        <v>16</v>
      </c>
      <c r="E247" s="18"/>
      <c r="F247" s="17"/>
      <c r="G247" s="18"/>
      <c r="H247" s="18"/>
      <c r="I247" s="19" t="s">
        <v>16</v>
      </c>
      <c r="J247" s="18"/>
      <c r="K247" s="17"/>
      <c r="L247" s="18"/>
      <c r="M247" s="18"/>
      <c r="N247" s="19" t="s">
        <v>16</v>
      </c>
      <c r="O247" s="20"/>
    </row>
    <row r="248" spans="1:15" ht="15" x14ac:dyDescent="0.35">
      <c r="A248" s="46" t="s">
        <v>0</v>
      </c>
      <c r="B248" s="47"/>
      <c r="C248" s="47"/>
      <c r="D248" s="47"/>
      <c r="E248" s="47"/>
      <c r="F248" s="46" t="s">
        <v>0</v>
      </c>
      <c r="G248" s="47"/>
      <c r="H248" s="47"/>
      <c r="I248" s="47"/>
      <c r="J248" s="47"/>
      <c r="K248" s="46" t="s">
        <v>0</v>
      </c>
      <c r="L248" s="47"/>
      <c r="M248" s="47"/>
      <c r="N248" s="47"/>
      <c r="O248" s="48"/>
    </row>
    <row r="249" spans="1:15" ht="15" x14ac:dyDescent="0.35">
      <c r="A249" s="1"/>
      <c r="B249" s="2"/>
      <c r="C249" s="2"/>
      <c r="D249" s="2"/>
      <c r="E249" s="2"/>
      <c r="F249" s="1"/>
      <c r="G249" s="2"/>
      <c r="H249" s="2"/>
      <c r="I249" s="2"/>
      <c r="J249" s="2"/>
      <c r="K249" s="1"/>
      <c r="L249" s="2"/>
      <c r="M249" s="2"/>
      <c r="N249" s="2"/>
      <c r="O249" s="3"/>
    </row>
    <row r="250" spans="1:15" ht="15" x14ac:dyDescent="0.35">
      <c r="A250" s="1" t="s">
        <v>1</v>
      </c>
      <c r="B250" s="2" t="s">
        <v>2</v>
      </c>
      <c r="C250" s="51" t="s">
        <v>38</v>
      </c>
      <c r="D250" s="51"/>
      <c r="E250" s="4">
        <v>31</v>
      </c>
      <c r="F250" s="1" t="s">
        <v>1</v>
      </c>
      <c r="G250" s="2" t="s">
        <v>2</v>
      </c>
      <c r="H250" s="50" t="s">
        <v>39</v>
      </c>
      <c r="I250" s="50"/>
      <c r="J250" s="4">
        <v>32</v>
      </c>
      <c r="K250" s="1" t="s">
        <v>1</v>
      </c>
      <c r="L250" s="2" t="s">
        <v>2</v>
      </c>
      <c r="M250" s="50" t="s">
        <v>40</v>
      </c>
      <c r="N250" s="50"/>
      <c r="O250" s="6">
        <v>33</v>
      </c>
    </row>
    <row r="251" spans="1:15" ht="15" x14ac:dyDescent="0.35">
      <c r="A251" s="1" t="s">
        <v>4</v>
      </c>
      <c r="B251" s="2"/>
      <c r="C251" s="2" t="s">
        <v>2</v>
      </c>
      <c r="D251" s="2"/>
      <c r="F251" s="1" t="s">
        <v>4</v>
      </c>
      <c r="G251" s="2"/>
      <c r="H251" s="2" t="s">
        <v>2</v>
      </c>
      <c r="I251" s="2"/>
      <c r="J251" s="2"/>
      <c r="K251" s="1" t="s">
        <v>4</v>
      </c>
      <c r="L251" s="2"/>
      <c r="M251" s="2" t="s">
        <v>2</v>
      </c>
      <c r="N251" s="2"/>
      <c r="O251" s="3"/>
    </row>
    <row r="252" spans="1:15" ht="15" x14ac:dyDescent="0.35">
      <c r="A252" s="1" t="s">
        <v>5</v>
      </c>
      <c r="B252" s="2"/>
      <c r="C252" s="2" t="s">
        <v>2</v>
      </c>
      <c r="D252" s="8">
        <v>0</v>
      </c>
      <c r="E252" s="2"/>
      <c r="F252" s="1" t="s">
        <v>5</v>
      </c>
      <c r="G252" s="2"/>
      <c r="H252" s="2" t="s">
        <v>2</v>
      </c>
      <c r="I252" s="8">
        <f>'[3]KARNING 2021'!$C$786</f>
        <v>15000</v>
      </c>
      <c r="J252" s="2"/>
      <c r="K252" s="1" t="s">
        <v>5</v>
      </c>
      <c r="L252" s="2"/>
      <c r="M252" s="2" t="s">
        <v>2</v>
      </c>
      <c r="N252" s="8"/>
      <c r="O252" s="3"/>
    </row>
    <row r="253" spans="1:15" ht="15" x14ac:dyDescent="0.35">
      <c r="A253" s="1" t="s">
        <v>6</v>
      </c>
      <c r="B253" s="2"/>
      <c r="C253" s="2" t="s">
        <v>2</v>
      </c>
      <c r="D253" s="8">
        <v>0</v>
      </c>
      <c r="E253" s="2"/>
      <c r="F253" s="1" t="s">
        <v>6</v>
      </c>
      <c r="G253" s="2"/>
      <c r="H253" s="2" t="s">
        <v>2</v>
      </c>
      <c r="I253" s="8">
        <f>'[3]KARNING 2021'!$D$786</f>
        <v>20000</v>
      </c>
      <c r="J253" s="2"/>
      <c r="K253" s="1" t="s">
        <v>6</v>
      </c>
      <c r="L253" s="2"/>
      <c r="M253" s="2" t="s">
        <v>2</v>
      </c>
      <c r="N253" s="8"/>
      <c r="O253" s="3"/>
    </row>
    <row r="254" spans="1:15" ht="15" x14ac:dyDescent="0.35">
      <c r="A254" s="1" t="s">
        <v>7</v>
      </c>
      <c r="B254" s="2"/>
      <c r="C254" s="2" t="s">
        <v>2</v>
      </c>
      <c r="D254" s="8">
        <v>0</v>
      </c>
      <c r="E254" s="2"/>
      <c r="F254" s="1" t="s">
        <v>7</v>
      </c>
      <c r="G254" s="2"/>
      <c r="H254" s="2" t="s">
        <v>2</v>
      </c>
      <c r="I254" s="8">
        <f>'[3]KARNING 2021'!$E$786</f>
        <v>200000</v>
      </c>
      <c r="J254" s="2"/>
      <c r="K254" s="1" t="s">
        <v>7</v>
      </c>
      <c r="L254" s="2"/>
      <c r="M254" s="2" t="s">
        <v>2</v>
      </c>
      <c r="N254" s="8"/>
      <c r="O254" s="3"/>
    </row>
    <row r="255" spans="1:15" ht="15" x14ac:dyDescent="0.35">
      <c r="A255" s="1" t="s">
        <v>8</v>
      </c>
      <c r="B255" s="21">
        <v>0</v>
      </c>
      <c r="C255" s="2" t="s">
        <v>2</v>
      </c>
      <c r="D255" s="8">
        <v>0</v>
      </c>
      <c r="E255" s="2"/>
      <c r="F255" s="1" t="s">
        <v>8</v>
      </c>
      <c r="G255" s="21">
        <v>20</v>
      </c>
      <c r="H255" s="2" t="s">
        <v>2</v>
      </c>
      <c r="I255" s="8">
        <f>[4]krnmei!$I$786</f>
        <v>300000</v>
      </c>
      <c r="J255" s="2"/>
      <c r="K255" s="1" t="s">
        <v>8</v>
      </c>
      <c r="L255" s="21">
        <v>0</v>
      </c>
      <c r="M255" s="2" t="s">
        <v>2</v>
      </c>
      <c r="N255" s="25"/>
      <c r="O255" s="3"/>
    </row>
    <row r="256" spans="1:15" ht="15" x14ac:dyDescent="0.35">
      <c r="A256" s="1" t="s">
        <v>9</v>
      </c>
      <c r="B256" s="2"/>
      <c r="C256" s="2" t="s">
        <v>2</v>
      </c>
      <c r="D256" s="11">
        <v>0</v>
      </c>
      <c r="E256" s="2"/>
      <c r="F256" s="1" t="s">
        <v>9</v>
      </c>
      <c r="G256" s="2"/>
      <c r="H256" s="2" t="s">
        <v>2</v>
      </c>
      <c r="I256" s="11">
        <f>[40]krnmei!$K$789</f>
        <v>84750</v>
      </c>
      <c r="J256" s="2"/>
      <c r="K256" s="1" t="s">
        <v>9</v>
      </c>
      <c r="L256" s="2"/>
      <c r="M256" s="2" t="s">
        <v>2</v>
      </c>
      <c r="N256" s="11"/>
      <c r="O256" s="3"/>
    </row>
    <row r="257" spans="1:15" ht="15" x14ac:dyDescent="0.35">
      <c r="A257" s="1" t="s">
        <v>10</v>
      </c>
      <c r="B257" s="2"/>
      <c r="C257" s="2" t="s">
        <v>2</v>
      </c>
      <c r="D257" s="8"/>
      <c r="E257" s="2"/>
      <c r="F257" s="1" t="s">
        <v>10</v>
      </c>
      <c r="G257" s="2">
        <v>0</v>
      </c>
      <c r="H257" s="2" t="s">
        <v>2</v>
      </c>
      <c r="I257" s="8"/>
      <c r="J257" s="2"/>
      <c r="K257" s="1" t="s">
        <v>10</v>
      </c>
      <c r="L257" s="2">
        <v>0</v>
      </c>
      <c r="M257" s="2" t="s">
        <v>2</v>
      </c>
      <c r="N257" s="8"/>
      <c r="O257" s="3"/>
    </row>
    <row r="258" spans="1:15" ht="15" x14ac:dyDescent="0.35">
      <c r="A258" s="1" t="s">
        <v>11</v>
      </c>
      <c r="B258" s="2"/>
      <c r="C258" s="2" t="s">
        <v>2</v>
      </c>
      <c r="D258" s="9">
        <v>0</v>
      </c>
      <c r="E258" s="2"/>
      <c r="F258" s="1" t="s">
        <v>11</v>
      </c>
      <c r="G258" s="2"/>
      <c r="H258" s="2" t="s">
        <v>2</v>
      </c>
      <c r="I258" s="9">
        <v>0</v>
      </c>
      <c r="J258" s="2"/>
      <c r="K258" s="1" t="s">
        <v>11</v>
      </c>
      <c r="L258" s="2"/>
      <c r="M258" s="2" t="s">
        <v>2</v>
      </c>
      <c r="N258" s="9"/>
      <c r="O258" s="3"/>
    </row>
    <row r="259" spans="1:15" ht="15" x14ac:dyDescent="0.35">
      <c r="A259" s="1" t="s">
        <v>12</v>
      </c>
      <c r="B259" s="2"/>
      <c r="C259" s="2" t="s">
        <v>2</v>
      </c>
      <c r="D259" s="8">
        <v>0</v>
      </c>
      <c r="E259" s="2"/>
      <c r="F259" s="1" t="s">
        <v>12</v>
      </c>
      <c r="G259" s="2"/>
      <c r="H259" s="2" t="s">
        <v>2</v>
      </c>
      <c r="I259" s="8">
        <v>50000</v>
      </c>
      <c r="J259" s="2"/>
      <c r="K259" s="1" t="s">
        <v>12</v>
      </c>
      <c r="L259" s="2"/>
      <c r="M259" s="2" t="s">
        <v>2</v>
      </c>
      <c r="N259" s="8"/>
      <c r="O259" s="3"/>
    </row>
    <row r="260" spans="1:15" ht="15" x14ac:dyDescent="0.35">
      <c r="A260" s="13" t="s">
        <v>13</v>
      </c>
      <c r="B260" s="5"/>
      <c r="C260" s="5" t="s">
        <v>2</v>
      </c>
      <c r="D260" s="24">
        <f>SUM(D252:D259)</f>
        <v>0</v>
      </c>
      <c r="E260" s="2"/>
      <c r="F260" s="13" t="s">
        <v>13</v>
      </c>
      <c r="G260" s="5"/>
      <c r="H260" s="5" t="s">
        <v>2</v>
      </c>
      <c r="I260" s="24">
        <f>SUM(I252:I259)</f>
        <v>669750</v>
      </c>
      <c r="J260" s="2"/>
      <c r="K260" s="13" t="s">
        <v>13</v>
      </c>
      <c r="L260" s="5"/>
      <c r="M260" s="5" t="s">
        <v>2</v>
      </c>
      <c r="N260" s="8"/>
      <c r="O260" s="3"/>
    </row>
    <row r="261" spans="1:15" ht="15" x14ac:dyDescent="0.35">
      <c r="A261" s="1" t="s">
        <v>14</v>
      </c>
      <c r="B261" s="2"/>
      <c r="C261" s="2" t="s">
        <v>2</v>
      </c>
      <c r="D261" s="27">
        <f>[39]krnmei!$J$770</f>
        <v>0</v>
      </c>
      <c r="E261" s="2"/>
      <c r="F261" s="1" t="s">
        <v>14</v>
      </c>
      <c r="G261" s="2"/>
      <c r="H261" s="2" t="s">
        <v>2</v>
      </c>
      <c r="I261" s="27">
        <f>[40]krnmei!$J$789</f>
        <v>5350000</v>
      </c>
      <c r="J261" s="2"/>
      <c r="K261" s="1" t="s">
        <v>14</v>
      </c>
      <c r="L261" s="2"/>
      <c r="M261" s="2" t="s">
        <v>2</v>
      </c>
      <c r="N261" s="27">
        <f>[39]krnmei!$J$804</f>
        <v>0</v>
      </c>
      <c r="O261" s="3"/>
    </row>
    <row r="262" spans="1:15" ht="15" x14ac:dyDescent="0.35">
      <c r="A262" s="1"/>
      <c r="B262" s="2"/>
      <c r="C262" s="15"/>
      <c r="D262" s="15" t="str">
        <f>D243</f>
        <v>Grogol, 01 April  2026</v>
      </c>
      <c r="E262" s="2"/>
      <c r="F262" s="1"/>
      <c r="G262" s="2"/>
      <c r="H262" s="15"/>
      <c r="I262" s="15" t="str">
        <f>D262</f>
        <v>Grogol, 01 April  2026</v>
      </c>
      <c r="J262" s="15"/>
      <c r="K262" s="1"/>
      <c r="L262" s="2"/>
      <c r="M262" s="15"/>
      <c r="N262" s="15" t="str">
        <f>I262</f>
        <v>Grogol, 01 April  2026</v>
      </c>
      <c r="O262" s="16"/>
    </row>
    <row r="263" spans="1:15" ht="15" x14ac:dyDescent="0.35">
      <c r="A263" s="1"/>
      <c r="B263" s="2"/>
      <c r="C263" s="2"/>
      <c r="D263" s="15" t="s">
        <v>15</v>
      </c>
      <c r="E263" s="15"/>
      <c r="F263" s="1"/>
      <c r="G263" s="2"/>
      <c r="H263" s="2"/>
      <c r="I263" s="15" t="s">
        <v>15</v>
      </c>
      <c r="J263" s="2"/>
      <c r="K263" s="1"/>
      <c r="L263" s="2"/>
      <c r="M263" s="2"/>
      <c r="N263" s="15" t="s">
        <v>15</v>
      </c>
      <c r="O263" s="3"/>
    </row>
    <row r="264" spans="1:15" ht="15" x14ac:dyDescent="0.35">
      <c r="A264" s="1"/>
      <c r="B264" s="2"/>
      <c r="C264" s="2"/>
      <c r="D264" s="15"/>
      <c r="E264" s="2"/>
      <c r="F264" s="1"/>
      <c r="G264" s="2"/>
      <c r="H264" s="2"/>
      <c r="I264" s="15"/>
      <c r="J264" s="2"/>
      <c r="K264" s="1"/>
      <c r="L264" s="2"/>
      <c r="M264" s="2"/>
      <c r="N264" s="15"/>
      <c r="O264" s="3"/>
    </row>
    <row r="265" spans="1:15" ht="15" x14ac:dyDescent="0.35">
      <c r="A265" s="1"/>
      <c r="B265" s="2"/>
      <c r="C265" s="2"/>
      <c r="D265" s="15"/>
      <c r="E265" s="2"/>
      <c r="F265" s="1"/>
      <c r="G265" s="2"/>
      <c r="H265" s="2"/>
      <c r="I265" s="15"/>
      <c r="J265" s="2"/>
      <c r="K265" s="1"/>
      <c r="L265" s="2"/>
      <c r="M265" s="2"/>
      <c r="N265" s="15"/>
      <c r="O265" s="3"/>
    </row>
    <row r="266" spans="1:15" ht="15.6" thickBot="1" x14ac:dyDescent="0.4">
      <c r="A266" s="17"/>
      <c r="B266" s="18"/>
      <c r="C266" s="18"/>
      <c r="D266" s="19" t="s">
        <v>16</v>
      </c>
      <c r="E266" s="18"/>
      <c r="F266" s="17"/>
      <c r="G266" s="18"/>
      <c r="H266" s="18"/>
      <c r="I266" s="19" t="s">
        <v>16</v>
      </c>
      <c r="J266" s="18"/>
      <c r="K266" s="17"/>
      <c r="L266" s="18"/>
      <c r="M266" s="18"/>
      <c r="N266" s="19" t="s">
        <v>16</v>
      </c>
      <c r="O266" s="20"/>
    </row>
    <row r="267" spans="1:15" ht="15" x14ac:dyDescent="0.35">
      <c r="A267" s="46" t="s">
        <v>0</v>
      </c>
      <c r="B267" s="47"/>
      <c r="C267" s="47"/>
      <c r="D267" s="47"/>
      <c r="E267" s="47"/>
      <c r="F267" s="46" t="s">
        <v>0</v>
      </c>
      <c r="G267" s="47"/>
      <c r="H267" s="47"/>
      <c r="I267" s="47"/>
      <c r="J267" s="47"/>
      <c r="K267" s="46" t="s">
        <v>0</v>
      </c>
      <c r="L267" s="47"/>
      <c r="M267" s="47"/>
      <c r="N267" s="47"/>
      <c r="O267" s="48"/>
    </row>
    <row r="268" spans="1:15" ht="15" x14ac:dyDescent="0.35">
      <c r="A268" s="1"/>
      <c r="B268" s="2"/>
      <c r="C268" s="2"/>
      <c r="D268" s="2"/>
      <c r="E268" s="2"/>
      <c r="F268" s="1"/>
      <c r="G268" s="2"/>
      <c r="H268" s="2"/>
      <c r="I268" s="2"/>
      <c r="J268" s="2"/>
      <c r="K268" s="1"/>
      <c r="L268" s="2"/>
      <c r="M268" s="2"/>
      <c r="N268" s="2"/>
      <c r="O268" s="3"/>
    </row>
    <row r="269" spans="1:15" ht="15" x14ac:dyDescent="0.35">
      <c r="A269" s="1" t="s">
        <v>1</v>
      </c>
      <c r="B269" s="2" t="s">
        <v>2</v>
      </c>
      <c r="C269" s="51" t="s">
        <v>41</v>
      </c>
      <c r="D269" s="51"/>
      <c r="E269" s="4">
        <v>34</v>
      </c>
      <c r="F269" s="1" t="s">
        <v>1</v>
      </c>
      <c r="G269" s="2"/>
      <c r="H269" s="50" t="s">
        <v>80</v>
      </c>
      <c r="I269" s="50"/>
      <c r="J269" s="4">
        <v>44</v>
      </c>
      <c r="K269" s="1" t="s">
        <v>1</v>
      </c>
      <c r="L269" s="2" t="s">
        <v>2</v>
      </c>
      <c r="M269" s="50" t="s">
        <v>42</v>
      </c>
      <c r="N269" s="50"/>
      <c r="O269" s="6">
        <v>35</v>
      </c>
    </row>
    <row r="270" spans="1:15" ht="15" x14ac:dyDescent="0.35">
      <c r="A270" s="1" t="s">
        <v>4</v>
      </c>
      <c r="B270" s="2"/>
      <c r="C270" s="2" t="s">
        <v>2</v>
      </c>
      <c r="D270" s="2"/>
      <c r="F270" s="1" t="s">
        <v>4</v>
      </c>
      <c r="G270" s="2"/>
      <c r="H270" s="2" t="s">
        <v>2</v>
      </c>
      <c r="I270" s="2"/>
      <c r="J270" s="2"/>
      <c r="K270" s="1" t="s">
        <v>4</v>
      </c>
      <c r="L270" s="2"/>
      <c r="M270" s="2" t="s">
        <v>2</v>
      </c>
      <c r="N270" s="2"/>
      <c r="O270" s="3"/>
    </row>
    <row r="271" spans="1:15" ht="15" x14ac:dyDescent="0.35">
      <c r="A271" s="1" t="s">
        <v>5</v>
      </c>
      <c r="B271" s="2"/>
      <c r="C271" s="2" t="s">
        <v>2</v>
      </c>
      <c r="D271" s="8">
        <f>'[3]KARNING 2021'!$C$820</f>
        <v>15000</v>
      </c>
      <c r="E271" s="2"/>
      <c r="F271" s="1" t="s">
        <v>5</v>
      </c>
      <c r="G271" s="2"/>
      <c r="H271" s="2" t="s">
        <v>2</v>
      </c>
      <c r="I271" s="8">
        <f>[33]krnmei!$C$1196</f>
        <v>15000</v>
      </c>
      <c r="J271" s="2"/>
      <c r="K271" s="1" t="s">
        <v>66</v>
      </c>
      <c r="L271" s="2"/>
      <c r="M271" s="2" t="s">
        <v>2</v>
      </c>
      <c r="N271" s="8">
        <f>[16]krnmei!$C$856</f>
        <v>15000</v>
      </c>
      <c r="O271" s="3"/>
    </row>
    <row r="272" spans="1:15" ht="15" x14ac:dyDescent="0.35">
      <c r="A272" s="1" t="s">
        <v>6</v>
      </c>
      <c r="B272" s="2"/>
      <c r="C272" s="2" t="s">
        <v>2</v>
      </c>
      <c r="D272" s="8">
        <f>'[3]KARNING 2021'!$D$820</f>
        <v>5000</v>
      </c>
      <c r="E272" s="2"/>
      <c r="F272" s="1" t="s">
        <v>6</v>
      </c>
      <c r="G272" s="2"/>
      <c r="H272" s="2" t="s">
        <v>2</v>
      </c>
      <c r="I272" s="8">
        <f>[33]krnmei!$D$1196</f>
        <v>50000</v>
      </c>
      <c r="J272" s="2"/>
      <c r="K272" s="1" t="s">
        <v>6</v>
      </c>
      <c r="L272" s="2"/>
      <c r="M272" s="2" t="s">
        <v>2</v>
      </c>
      <c r="N272" s="7">
        <f>'[3]KARNING 2021'!$D$854</f>
        <v>5000</v>
      </c>
      <c r="O272" s="3"/>
    </row>
    <row r="273" spans="1:15" ht="15" x14ac:dyDescent="0.35">
      <c r="A273" s="1" t="s">
        <v>7</v>
      </c>
      <c r="B273" s="2"/>
      <c r="C273" s="2" t="s">
        <v>2</v>
      </c>
      <c r="D273" s="8">
        <f>'[3]KARNING 2021'!$E$820</f>
        <v>230000</v>
      </c>
      <c r="E273" s="2"/>
      <c r="F273" s="1" t="s">
        <v>7</v>
      </c>
      <c r="G273" s="2"/>
      <c r="H273" s="2" t="s">
        <v>2</v>
      </c>
      <c r="I273" s="8">
        <v>80000</v>
      </c>
      <c r="J273" s="2"/>
      <c r="K273" s="1" t="s">
        <v>7</v>
      </c>
      <c r="L273" s="2"/>
      <c r="M273" s="2" t="s">
        <v>2</v>
      </c>
      <c r="N273" s="7">
        <v>0</v>
      </c>
      <c r="O273" s="3"/>
    </row>
    <row r="274" spans="1:15" ht="15" x14ac:dyDescent="0.35">
      <c r="A274" s="1" t="s">
        <v>8</v>
      </c>
      <c r="B274" s="21">
        <v>10</v>
      </c>
      <c r="C274" s="2" t="s">
        <v>2</v>
      </c>
      <c r="D274" s="8">
        <v>50000</v>
      </c>
      <c r="E274" s="2"/>
      <c r="F274" s="1" t="s">
        <v>8</v>
      </c>
      <c r="G274" s="2"/>
      <c r="H274" s="2" t="s">
        <v>2</v>
      </c>
      <c r="I274" s="8">
        <v>0</v>
      </c>
      <c r="J274" s="2"/>
      <c r="K274" s="1" t="s">
        <v>8</v>
      </c>
      <c r="L274" s="21">
        <v>33</v>
      </c>
      <c r="M274" s="2" t="s">
        <v>2</v>
      </c>
      <c r="N274" s="7">
        <v>400000</v>
      </c>
      <c r="O274" s="3"/>
    </row>
    <row r="275" spans="1:15" ht="15" x14ac:dyDescent="0.35">
      <c r="A275" s="1" t="s">
        <v>9</v>
      </c>
      <c r="B275" s="2"/>
      <c r="C275" s="2" t="s">
        <v>2</v>
      </c>
      <c r="D275" s="11">
        <f>[40]krnmei!$K$823</f>
        <v>8250</v>
      </c>
      <c r="E275" s="2"/>
      <c r="F275" s="1" t="s">
        <v>9</v>
      </c>
      <c r="G275" s="2"/>
      <c r="H275" s="2" t="s">
        <v>2</v>
      </c>
      <c r="I275" s="11">
        <v>0</v>
      </c>
      <c r="J275" s="2"/>
      <c r="K275" s="1" t="s">
        <v>9</v>
      </c>
      <c r="L275" s="2"/>
      <c r="M275" s="2" t="s">
        <v>2</v>
      </c>
      <c r="N275" s="11">
        <f>[40]krnmei!$K$857</f>
        <v>21000</v>
      </c>
      <c r="O275" s="3"/>
    </row>
    <row r="276" spans="1:15" ht="15" x14ac:dyDescent="0.35">
      <c r="A276" s="1" t="s">
        <v>10</v>
      </c>
      <c r="B276" s="2"/>
      <c r="C276" s="2" t="s">
        <v>2</v>
      </c>
      <c r="D276" s="8"/>
      <c r="E276" s="2"/>
      <c r="F276" s="1" t="s">
        <v>10</v>
      </c>
      <c r="G276" s="2"/>
      <c r="H276" s="2" t="s">
        <v>2</v>
      </c>
      <c r="I276" s="8">
        <v>0</v>
      </c>
      <c r="J276" s="2"/>
      <c r="K276" s="1" t="s">
        <v>10</v>
      </c>
      <c r="L276" s="2">
        <v>0</v>
      </c>
      <c r="M276" s="2" t="s">
        <v>2</v>
      </c>
      <c r="N276" s="7">
        <v>0</v>
      </c>
      <c r="O276" s="3"/>
    </row>
    <row r="277" spans="1:15" ht="15" x14ac:dyDescent="0.35">
      <c r="A277" s="1" t="s">
        <v>11</v>
      </c>
      <c r="B277" s="2"/>
      <c r="C277" s="2" t="s">
        <v>2</v>
      </c>
      <c r="D277" s="9">
        <f>[9]krnmei!$P$830</f>
        <v>0</v>
      </c>
      <c r="E277" s="2"/>
      <c r="F277" s="1" t="s">
        <v>11</v>
      </c>
      <c r="G277" s="2"/>
      <c r="H277" s="2" t="s">
        <v>2</v>
      </c>
      <c r="I277" s="9">
        <v>0</v>
      </c>
      <c r="J277" s="2"/>
      <c r="K277" s="1" t="s">
        <v>11</v>
      </c>
      <c r="L277" s="2"/>
      <c r="M277" s="2" t="s">
        <v>2</v>
      </c>
      <c r="N277" s="7">
        <v>0</v>
      </c>
      <c r="O277" s="3"/>
    </row>
    <row r="278" spans="1:15" ht="15" x14ac:dyDescent="0.35">
      <c r="A278" s="1" t="s">
        <v>12</v>
      </c>
      <c r="B278" s="2"/>
      <c r="C278" s="2" t="s">
        <v>2</v>
      </c>
      <c r="D278" s="8">
        <f>'[3]KARNING 2021'!$F$820</f>
        <v>200000</v>
      </c>
      <c r="E278" s="2"/>
      <c r="F278" s="1" t="s">
        <v>12</v>
      </c>
      <c r="G278" s="2"/>
      <c r="H278" s="2" t="s">
        <v>2</v>
      </c>
      <c r="I278" s="8">
        <f>[33]krnmei!$F$1196</f>
        <v>55000</v>
      </c>
      <c r="J278" s="2"/>
      <c r="K278" s="1" t="s">
        <v>12</v>
      </c>
      <c r="L278" s="2"/>
      <c r="M278" s="2" t="s">
        <v>2</v>
      </c>
      <c r="N278" s="7">
        <v>0</v>
      </c>
      <c r="O278" s="3"/>
    </row>
    <row r="279" spans="1:15" ht="15" x14ac:dyDescent="0.35">
      <c r="A279" s="13" t="s">
        <v>13</v>
      </c>
      <c r="B279" s="5"/>
      <c r="C279" s="5" t="s">
        <v>2</v>
      </c>
      <c r="D279" s="8">
        <f>SUM(D271:D278)</f>
        <v>508250</v>
      </c>
      <c r="E279" s="2"/>
      <c r="F279" s="13" t="s">
        <v>13</v>
      </c>
      <c r="G279" s="5"/>
      <c r="H279" s="5" t="s">
        <v>2</v>
      </c>
      <c r="I279" s="24">
        <f>SUM(I271:I278)</f>
        <v>200000</v>
      </c>
      <c r="J279" s="2"/>
      <c r="K279" s="13" t="s">
        <v>13</v>
      </c>
      <c r="L279" s="5"/>
      <c r="M279" s="5" t="s">
        <v>2</v>
      </c>
      <c r="N279" s="8">
        <f>SUM(N271:N278)</f>
        <v>441000</v>
      </c>
      <c r="O279" s="3"/>
    </row>
    <row r="280" spans="1:15" ht="15" x14ac:dyDescent="0.35">
      <c r="A280" s="1" t="s">
        <v>14</v>
      </c>
      <c r="B280" s="2"/>
      <c r="C280" s="2" t="s">
        <v>2</v>
      </c>
      <c r="D280" s="27">
        <f>[40]krnmei!$J$823</f>
        <v>500000</v>
      </c>
      <c r="E280" s="2"/>
      <c r="F280" s="1" t="s">
        <v>14</v>
      </c>
      <c r="G280" s="2"/>
      <c r="H280" s="2" t="s">
        <v>2</v>
      </c>
      <c r="I280" s="27">
        <v>0</v>
      </c>
      <c r="J280" s="2"/>
      <c r="K280" s="1" t="s">
        <v>14</v>
      </c>
      <c r="L280" s="2"/>
      <c r="M280" s="2" t="s">
        <v>2</v>
      </c>
      <c r="N280" s="10">
        <f>[40]krnmei!$J$857</f>
        <v>1000000</v>
      </c>
      <c r="O280" s="3"/>
    </row>
    <row r="281" spans="1:15" ht="15" x14ac:dyDescent="0.35">
      <c r="A281" s="1"/>
      <c r="B281" s="2"/>
      <c r="C281" s="15"/>
      <c r="D281" s="15" t="str">
        <f>D262</f>
        <v>Grogol, 01 April  2026</v>
      </c>
      <c r="E281" s="2"/>
      <c r="F281" s="1"/>
      <c r="G281" s="2"/>
      <c r="H281" s="15"/>
      <c r="I281" s="15" t="str">
        <f>D281</f>
        <v>Grogol, 01 April  2026</v>
      </c>
      <c r="J281" s="15"/>
      <c r="K281" s="1"/>
      <c r="L281" s="2"/>
      <c r="M281" s="15"/>
      <c r="N281" s="15" t="str">
        <f>I281</f>
        <v>Grogol, 01 April  2026</v>
      </c>
      <c r="O281" s="16"/>
    </row>
    <row r="282" spans="1:15" ht="15" x14ac:dyDescent="0.35">
      <c r="A282" s="1"/>
      <c r="B282" s="2"/>
      <c r="C282" s="2"/>
      <c r="D282" s="15" t="s">
        <v>15</v>
      </c>
      <c r="E282" s="15"/>
      <c r="F282" s="1"/>
      <c r="G282" s="2"/>
      <c r="H282" s="2"/>
      <c r="I282" s="15" t="s">
        <v>15</v>
      </c>
      <c r="J282" s="2"/>
      <c r="K282" s="1"/>
      <c r="L282" s="2"/>
      <c r="M282" s="2"/>
      <c r="N282" s="15" t="s">
        <v>15</v>
      </c>
      <c r="O282" s="3"/>
    </row>
    <row r="283" spans="1:15" ht="15" x14ac:dyDescent="0.35">
      <c r="A283" s="1"/>
      <c r="B283" s="2"/>
      <c r="C283" s="2"/>
      <c r="D283" s="15"/>
      <c r="E283" s="2"/>
      <c r="F283" s="1"/>
      <c r="G283" s="2"/>
      <c r="H283" s="2"/>
      <c r="I283" s="15"/>
      <c r="J283" s="2"/>
      <c r="K283" s="1"/>
      <c r="L283" s="2"/>
      <c r="M283" s="2"/>
      <c r="N283" s="2"/>
      <c r="O283" s="3"/>
    </row>
    <row r="284" spans="1:15" ht="15" x14ac:dyDescent="0.35">
      <c r="A284" s="1"/>
      <c r="B284" s="2"/>
      <c r="C284" s="2"/>
      <c r="D284" s="15"/>
      <c r="E284" s="2"/>
      <c r="F284" s="1"/>
      <c r="G284" s="2"/>
      <c r="H284" s="2"/>
      <c r="I284" s="15"/>
      <c r="J284" s="2"/>
      <c r="K284" s="1"/>
      <c r="L284" s="2"/>
      <c r="M284" s="2"/>
      <c r="N284" s="15"/>
      <c r="O284" s="3"/>
    </row>
    <row r="285" spans="1:15" ht="15.6" thickBot="1" x14ac:dyDescent="0.4">
      <c r="A285" s="17"/>
      <c r="B285" s="18"/>
      <c r="C285" s="18"/>
      <c r="D285" s="19" t="s">
        <v>16</v>
      </c>
      <c r="E285" s="18"/>
      <c r="F285" s="17"/>
      <c r="G285" s="18"/>
      <c r="H285" s="18"/>
      <c r="I285" s="19" t="s">
        <v>16</v>
      </c>
      <c r="J285" s="18"/>
      <c r="K285" s="17"/>
      <c r="L285" s="18"/>
      <c r="M285" s="18"/>
      <c r="N285" s="19" t="s">
        <v>16</v>
      </c>
      <c r="O285" s="20"/>
    </row>
    <row r="286" spans="1:15" ht="15" x14ac:dyDescent="0.35">
      <c r="A286" s="46" t="s">
        <v>0</v>
      </c>
      <c r="B286" s="47"/>
      <c r="C286" s="47"/>
      <c r="D286" s="47"/>
      <c r="E286" s="47"/>
      <c r="F286" s="46" t="s">
        <v>0</v>
      </c>
      <c r="G286" s="47"/>
      <c r="H286" s="47"/>
      <c r="I286" s="47"/>
      <c r="J286" s="47"/>
      <c r="K286" s="46" t="s">
        <v>0</v>
      </c>
      <c r="L286" s="47"/>
      <c r="M286" s="47"/>
      <c r="N286" s="47"/>
      <c r="O286" s="48"/>
    </row>
    <row r="287" spans="1:15" ht="15" x14ac:dyDescent="0.35">
      <c r="A287" s="1"/>
      <c r="B287" s="2"/>
      <c r="C287" s="2"/>
      <c r="D287" s="2"/>
      <c r="E287" s="4"/>
      <c r="F287" s="1"/>
      <c r="G287" s="2"/>
      <c r="H287" s="2"/>
      <c r="I287" s="2"/>
      <c r="J287" s="2"/>
      <c r="K287" s="1"/>
      <c r="L287" s="2"/>
      <c r="M287" s="2"/>
      <c r="N287" s="2"/>
      <c r="O287" s="3"/>
    </row>
    <row r="288" spans="1:15" ht="15" x14ac:dyDescent="0.35">
      <c r="A288" s="1" t="s">
        <v>1</v>
      </c>
      <c r="B288" s="2" t="s">
        <v>2</v>
      </c>
      <c r="C288" s="50" t="s">
        <v>43</v>
      </c>
      <c r="D288" s="50"/>
      <c r="E288" s="5">
        <v>22</v>
      </c>
      <c r="F288" s="1" t="s">
        <v>1</v>
      </c>
      <c r="G288" s="2" t="s">
        <v>2</v>
      </c>
      <c r="H288" s="50" t="s">
        <v>44</v>
      </c>
      <c r="I288" s="50"/>
      <c r="J288" s="5">
        <v>21</v>
      </c>
      <c r="K288" s="1" t="s">
        <v>1</v>
      </c>
      <c r="L288" s="2" t="s">
        <v>2</v>
      </c>
      <c r="M288" s="50" t="s">
        <v>45</v>
      </c>
      <c r="N288" s="50"/>
      <c r="O288" s="33">
        <v>24</v>
      </c>
    </row>
    <row r="289" spans="1:15" ht="15" x14ac:dyDescent="0.35">
      <c r="A289" s="1" t="s">
        <v>4</v>
      </c>
      <c r="B289" s="5" t="s">
        <v>2</v>
      </c>
      <c r="C289" s="5"/>
      <c r="D289" s="2"/>
      <c r="E289" s="5"/>
      <c r="F289" s="1" t="s">
        <v>4</v>
      </c>
      <c r="G289" s="2" t="s">
        <v>2</v>
      </c>
      <c r="H289" s="2"/>
      <c r="I289" s="2"/>
      <c r="J289" s="2"/>
      <c r="K289" s="1" t="s">
        <v>4</v>
      </c>
      <c r="L289" s="2" t="s">
        <v>2</v>
      </c>
      <c r="M289" s="2"/>
      <c r="N289" s="2"/>
      <c r="O289" s="3"/>
    </row>
    <row r="290" spans="1:15" ht="15" x14ac:dyDescent="0.35">
      <c r="A290" s="1" t="s">
        <v>5</v>
      </c>
      <c r="B290" s="2"/>
      <c r="C290" s="5" t="s">
        <v>2</v>
      </c>
      <c r="D290" s="7">
        <v>100000</v>
      </c>
      <c r="E290" s="2"/>
      <c r="F290" s="1" t="s">
        <v>5</v>
      </c>
      <c r="G290" s="2"/>
      <c r="H290" s="2" t="s">
        <v>2</v>
      </c>
      <c r="I290" s="25">
        <f>[28]krnmei!$C$894</f>
        <v>100000</v>
      </c>
      <c r="J290" s="2"/>
      <c r="K290" s="1" t="s">
        <v>5</v>
      </c>
      <c r="L290" s="2"/>
      <c r="M290" s="2" t="s">
        <v>2</v>
      </c>
      <c r="N290" s="25">
        <f>[8]krnmei!$C$912</f>
        <v>100000</v>
      </c>
      <c r="O290" s="3"/>
    </row>
    <row r="291" spans="1:15" ht="15" x14ac:dyDescent="0.35">
      <c r="A291" s="1" t="s">
        <v>6</v>
      </c>
      <c r="B291" s="2"/>
      <c r="C291" s="5" t="s">
        <v>2</v>
      </c>
      <c r="D291" s="7">
        <v>10000</v>
      </c>
      <c r="E291" s="2"/>
      <c r="F291" s="1" t="s">
        <v>6</v>
      </c>
      <c r="G291" s="2"/>
      <c r="H291" s="2" t="s">
        <v>2</v>
      </c>
      <c r="I291" s="25">
        <f>[32]krnmei!$D$889</f>
        <v>10000</v>
      </c>
      <c r="J291" s="2"/>
      <c r="K291" s="1" t="s">
        <v>6</v>
      </c>
      <c r="L291" s="2"/>
      <c r="M291" s="2" t="s">
        <v>2</v>
      </c>
      <c r="N291" s="25">
        <f>'[3]KARNING 2021'!$D$905</f>
        <v>10000</v>
      </c>
      <c r="O291" s="3"/>
    </row>
    <row r="292" spans="1:15" ht="15" x14ac:dyDescent="0.35">
      <c r="A292" s="1" t="s">
        <v>7</v>
      </c>
      <c r="B292" s="2"/>
      <c r="C292" s="5" t="s">
        <v>2</v>
      </c>
      <c r="D292" s="2">
        <v>0</v>
      </c>
      <c r="E292" s="2"/>
      <c r="F292" s="1" t="s">
        <v>7</v>
      </c>
      <c r="G292" s="2"/>
      <c r="H292" s="2" t="s">
        <v>2</v>
      </c>
      <c r="I292" s="25">
        <f>[24]krnmei!$E$895</f>
        <v>100000</v>
      </c>
      <c r="J292" s="2"/>
      <c r="K292" s="1" t="s">
        <v>7</v>
      </c>
      <c r="L292" s="2"/>
      <c r="M292" s="2" t="s">
        <v>2</v>
      </c>
      <c r="N292" s="25">
        <f>[5]krnmei!$E$909</f>
        <v>100000</v>
      </c>
      <c r="O292" s="3"/>
    </row>
    <row r="293" spans="1:15" ht="15" x14ac:dyDescent="0.35">
      <c r="A293" s="1" t="s">
        <v>8</v>
      </c>
      <c r="B293" s="21">
        <v>25</v>
      </c>
      <c r="C293" s="5" t="s">
        <v>2</v>
      </c>
      <c r="D293" s="21">
        <f>[34]krnmei!$I$1013</f>
        <v>500000</v>
      </c>
      <c r="E293" s="2"/>
      <c r="F293" s="1" t="s">
        <v>8</v>
      </c>
      <c r="G293" s="21"/>
      <c r="H293" s="2" t="s">
        <v>2</v>
      </c>
      <c r="I293" s="25"/>
      <c r="J293" s="2"/>
      <c r="K293" s="1" t="s">
        <v>8</v>
      </c>
      <c r="L293" s="21">
        <v>23</v>
      </c>
      <c r="M293" s="2" t="s">
        <v>2</v>
      </c>
      <c r="N293" s="34">
        <f>[26]krnmei!$I$910</f>
        <v>600000</v>
      </c>
      <c r="O293" s="3"/>
    </row>
    <row r="294" spans="1:15" ht="15" x14ac:dyDescent="0.35">
      <c r="A294" s="1" t="s">
        <v>9</v>
      </c>
      <c r="B294" s="2"/>
      <c r="C294" s="5" t="s">
        <v>2</v>
      </c>
      <c r="D294" s="11">
        <f>[40]krnmei!$K$1010</f>
        <v>11250</v>
      </c>
      <c r="E294" s="2"/>
      <c r="F294" s="1" t="s">
        <v>9</v>
      </c>
      <c r="G294" s="2"/>
      <c r="H294" s="2" t="s">
        <v>2</v>
      </c>
      <c r="I294" s="11"/>
      <c r="J294" s="2"/>
      <c r="K294" s="1" t="s">
        <v>9</v>
      </c>
      <c r="L294" s="2"/>
      <c r="M294" s="2" t="s">
        <v>2</v>
      </c>
      <c r="N294" s="11">
        <f>[40]krnmei!$K$908</f>
        <v>177000</v>
      </c>
      <c r="O294" s="3"/>
    </row>
    <row r="295" spans="1:15" ht="15" x14ac:dyDescent="0.35">
      <c r="A295" s="1" t="s">
        <v>10</v>
      </c>
      <c r="B295" s="2"/>
      <c r="C295" s="5" t="s">
        <v>2</v>
      </c>
      <c r="D295" s="2">
        <v>0</v>
      </c>
      <c r="E295" s="2"/>
      <c r="F295" s="1" t="s">
        <v>10</v>
      </c>
      <c r="G295" s="2"/>
      <c r="H295" s="2" t="s">
        <v>2</v>
      </c>
      <c r="I295" s="8">
        <v>0</v>
      </c>
      <c r="J295" s="2"/>
      <c r="K295" s="1" t="s">
        <v>10</v>
      </c>
      <c r="L295" s="2"/>
      <c r="M295" s="2" t="s">
        <v>2</v>
      </c>
      <c r="N295" s="9">
        <v>0</v>
      </c>
      <c r="O295" s="3"/>
    </row>
    <row r="296" spans="1:15" ht="15" x14ac:dyDescent="0.35">
      <c r="A296" s="1" t="s">
        <v>11</v>
      </c>
      <c r="B296" s="2"/>
      <c r="C296" s="5" t="s">
        <v>2</v>
      </c>
      <c r="D296" s="2">
        <v>0</v>
      </c>
      <c r="E296" s="2"/>
      <c r="F296" s="1" t="s">
        <v>11</v>
      </c>
      <c r="G296" s="2"/>
      <c r="H296" s="2" t="s">
        <v>2</v>
      </c>
      <c r="I296" s="9">
        <f>[12]krnmei!$P$899</f>
        <v>60000</v>
      </c>
      <c r="J296" s="2"/>
      <c r="K296" s="1" t="s">
        <v>11</v>
      </c>
      <c r="L296" s="2"/>
      <c r="M296" s="2" t="s">
        <v>2</v>
      </c>
      <c r="N296" s="9">
        <v>0</v>
      </c>
      <c r="O296" s="3"/>
    </row>
    <row r="297" spans="1:15" ht="15" x14ac:dyDescent="0.35">
      <c r="A297" s="1" t="s">
        <v>12</v>
      </c>
      <c r="B297" s="2"/>
      <c r="C297" s="5" t="s">
        <v>2</v>
      </c>
      <c r="D297" s="2">
        <v>0</v>
      </c>
      <c r="E297" s="2"/>
      <c r="F297" s="1" t="s">
        <v>12</v>
      </c>
      <c r="G297" s="2"/>
      <c r="H297" s="2" t="s">
        <v>2</v>
      </c>
      <c r="I297" s="7"/>
      <c r="J297" s="2"/>
      <c r="K297" s="1" t="s">
        <v>12</v>
      </c>
      <c r="L297" s="2"/>
      <c r="M297" s="2" t="s">
        <v>2</v>
      </c>
      <c r="N297" s="25">
        <f>[5]krnmei!$F$909</f>
        <v>100000</v>
      </c>
      <c r="O297" s="3"/>
    </row>
    <row r="298" spans="1:15" ht="15" x14ac:dyDescent="0.35">
      <c r="A298" s="13" t="s">
        <v>13</v>
      </c>
      <c r="B298" s="5"/>
      <c r="C298" s="5" t="s">
        <v>2</v>
      </c>
      <c r="D298" s="14">
        <f>SUM(D290:D297)</f>
        <v>621250</v>
      </c>
      <c r="E298" s="2"/>
      <c r="F298" s="13" t="s">
        <v>13</v>
      </c>
      <c r="G298" s="5"/>
      <c r="H298" s="5" t="s">
        <v>2</v>
      </c>
      <c r="I298" s="24">
        <f>SUM(I290:I297)</f>
        <v>270000</v>
      </c>
      <c r="J298" s="2"/>
      <c r="K298" s="13" t="s">
        <v>13</v>
      </c>
      <c r="L298" s="5"/>
      <c r="M298" s="2" t="s">
        <v>2</v>
      </c>
      <c r="N298" s="24">
        <f>SUM(N290:N297)</f>
        <v>1087000</v>
      </c>
      <c r="O298" s="3"/>
    </row>
    <row r="299" spans="1:15" ht="15" x14ac:dyDescent="0.35">
      <c r="A299" s="1" t="s">
        <v>14</v>
      </c>
      <c r="B299" s="2"/>
      <c r="C299" s="2" t="s">
        <v>2</v>
      </c>
      <c r="D299" s="27">
        <f>[40]krnmei!$J$1010</f>
        <v>250000</v>
      </c>
      <c r="E299" s="2"/>
      <c r="F299" s="1" t="s">
        <v>14</v>
      </c>
      <c r="G299" s="2"/>
      <c r="H299" s="2" t="s">
        <v>2</v>
      </c>
      <c r="I299" s="27">
        <f>[12]krnmei!$O$899</f>
        <v>3000000</v>
      </c>
      <c r="J299" s="2"/>
      <c r="K299" s="1" t="s">
        <v>14</v>
      </c>
      <c r="L299" s="2"/>
      <c r="M299" s="2" t="s">
        <v>2</v>
      </c>
      <c r="N299" s="27">
        <f>[40]krnmei!$J$908</f>
        <v>11200000</v>
      </c>
      <c r="O299" s="3"/>
    </row>
    <row r="300" spans="1:15" ht="15" x14ac:dyDescent="0.35">
      <c r="A300" s="1"/>
      <c r="B300" s="2"/>
      <c r="C300" s="2"/>
      <c r="D300" s="2" t="str">
        <f>D281</f>
        <v>Grogol, 01 April  2026</v>
      </c>
      <c r="E300" s="2"/>
      <c r="F300" s="1"/>
      <c r="G300" s="2"/>
      <c r="H300" s="15"/>
      <c r="I300" s="15" t="str">
        <f>I281</f>
        <v>Grogol, 01 April  2026</v>
      </c>
      <c r="J300" s="15"/>
      <c r="K300" s="1"/>
      <c r="L300" s="2"/>
      <c r="M300" s="2"/>
      <c r="N300" s="2" t="str">
        <f>D167</f>
        <v>Grogol, 01 April  2026</v>
      </c>
      <c r="O300" s="3"/>
    </row>
    <row r="301" spans="1:15" ht="15" x14ac:dyDescent="0.35">
      <c r="A301" s="1"/>
      <c r="B301" s="2"/>
      <c r="C301" s="2"/>
      <c r="D301" s="15" t="s">
        <v>15</v>
      </c>
      <c r="E301" s="2"/>
      <c r="F301" s="1"/>
      <c r="G301" s="2"/>
      <c r="H301" s="2"/>
      <c r="I301" s="15" t="s">
        <v>15</v>
      </c>
      <c r="J301" s="2"/>
      <c r="K301" s="1"/>
      <c r="L301" s="2"/>
      <c r="M301" s="2"/>
      <c r="N301" s="15" t="s">
        <v>15</v>
      </c>
      <c r="O301" s="3"/>
    </row>
    <row r="302" spans="1:15" ht="15" x14ac:dyDescent="0.35">
      <c r="A302" s="1"/>
      <c r="B302" s="2"/>
      <c r="C302" s="2"/>
      <c r="D302" s="2"/>
      <c r="E302" s="2"/>
      <c r="F302" s="1"/>
      <c r="G302" s="2"/>
      <c r="H302" s="2"/>
      <c r="I302" s="15"/>
      <c r="J302" s="2"/>
      <c r="K302" s="1"/>
      <c r="L302" s="2"/>
      <c r="M302" s="2"/>
      <c r="N302" s="2"/>
      <c r="O302" s="3"/>
    </row>
    <row r="303" spans="1:15" ht="15" x14ac:dyDescent="0.35">
      <c r="A303" s="1"/>
      <c r="B303" s="2"/>
      <c r="C303" s="2"/>
      <c r="D303" s="2"/>
      <c r="E303" s="2"/>
      <c r="F303" s="1"/>
      <c r="G303" s="2"/>
      <c r="H303" s="2"/>
      <c r="I303" s="15"/>
      <c r="J303" s="2"/>
      <c r="K303" s="1"/>
      <c r="L303" s="2"/>
      <c r="M303" s="2"/>
      <c r="N303" s="2"/>
      <c r="O303" s="3"/>
    </row>
    <row r="304" spans="1:15" ht="15.6" thickBot="1" x14ac:dyDescent="0.4">
      <c r="A304" s="17"/>
      <c r="B304" s="18"/>
      <c r="C304" s="18"/>
      <c r="D304" s="19" t="s">
        <v>16</v>
      </c>
      <c r="E304" s="18"/>
      <c r="F304" s="17"/>
      <c r="G304" s="18"/>
      <c r="H304" s="18"/>
      <c r="I304" s="19" t="s">
        <v>16</v>
      </c>
      <c r="J304" s="18"/>
      <c r="K304" s="17"/>
      <c r="L304" s="18"/>
      <c r="M304" s="18"/>
      <c r="N304" s="19" t="s">
        <v>16</v>
      </c>
      <c r="O304" s="20"/>
    </row>
    <row r="305" spans="1:15" ht="15" x14ac:dyDescent="0.35">
      <c r="A305" s="46" t="s">
        <v>0</v>
      </c>
      <c r="B305" s="47"/>
      <c r="C305" s="47"/>
      <c r="D305" s="47"/>
      <c r="E305" s="47"/>
      <c r="F305" s="46" t="s">
        <v>0</v>
      </c>
      <c r="G305" s="47"/>
      <c r="H305" s="47"/>
      <c r="I305" s="47"/>
      <c r="J305" s="47"/>
      <c r="K305" s="46" t="s">
        <v>0</v>
      </c>
      <c r="L305" s="47"/>
      <c r="M305" s="47"/>
      <c r="N305" s="47"/>
      <c r="O305" s="48"/>
    </row>
    <row r="306" spans="1:15" ht="15" x14ac:dyDescent="0.35">
      <c r="A306" s="1"/>
      <c r="B306" s="2"/>
      <c r="C306" s="2"/>
      <c r="D306" s="2"/>
      <c r="E306" s="2"/>
      <c r="F306" s="1"/>
      <c r="G306" s="2"/>
      <c r="H306" s="2"/>
      <c r="I306" s="2"/>
      <c r="J306" s="2"/>
      <c r="K306" s="1"/>
      <c r="L306" s="2"/>
      <c r="M306" s="2"/>
      <c r="N306" s="2"/>
      <c r="O306" s="3"/>
    </row>
    <row r="307" spans="1:15" ht="15" x14ac:dyDescent="0.35">
      <c r="A307" s="1" t="s">
        <v>1</v>
      </c>
      <c r="B307" s="2" t="s">
        <v>2</v>
      </c>
      <c r="C307" s="51" t="s">
        <v>46</v>
      </c>
      <c r="D307" s="51"/>
      <c r="E307" s="4">
        <v>36</v>
      </c>
      <c r="F307" s="1" t="s">
        <v>1</v>
      </c>
      <c r="G307" s="2" t="s">
        <v>2</v>
      </c>
      <c r="H307" s="50" t="str">
        <f>[17]krnmei!$B$1140</f>
        <v>SITI RODIYAH</v>
      </c>
      <c r="I307" s="50"/>
      <c r="J307" s="4">
        <v>18</v>
      </c>
      <c r="K307" s="1" t="s">
        <v>1</v>
      </c>
      <c r="L307" s="2"/>
      <c r="M307" s="5" t="s">
        <v>2</v>
      </c>
      <c r="N307" s="5" t="s">
        <v>68</v>
      </c>
      <c r="O307" s="6">
        <v>25</v>
      </c>
    </row>
    <row r="308" spans="1:15" ht="15" x14ac:dyDescent="0.35">
      <c r="A308" s="1" t="s">
        <v>4</v>
      </c>
      <c r="B308" s="2"/>
      <c r="C308" s="2" t="s">
        <v>2</v>
      </c>
      <c r="D308" s="2"/>
      <c r="F308" s="1" t="s">
        <v>4</v>
      </c>
      <c r="G308" s="2"/>
      <c r="H308" s="2" t="s">
        <v>2</v>
      </c>
      <c r="I308" s="2"/>
      <c r="J308" s="2"/>
      <c r="K308" s="1" t="s">
        <v>4</v>
      </c>
      <c r="L308" s="2"/>
      <c r="M308" s="2" t="s">
        <v>2</v>
      </c>
      <c r="N308" s="2"/>
      <c r="O308" s="3"/>
    </row>
    <row r="309" spans="1:15" ht="15" x14ac:dyDescent="0.35">
      <c r="A309" s="1" t="s">
        <v>5</v>
      </c>
      <c r="B309" s="2"/>
      <c r="C309" s="2" t="s">
        <v>2</v>
      </c>
      <c r="D309" s="25">
        <f>'[3]KARNING 2021'!$C$922</f>
        <v>15000</v>
      </c>
      <c r="E309" s="2"/>
      <c r="F309" s="1" t="s">
        <v>5</v>
      </c>
      <c r="G309" s="2"/>
      <c r="H309" s="2" t="s">
        <v>2</v>
      </c>
      <c r="I309" s="25"/>
      <c r="J309" s="2"/>
      <c r="K309" s="1" t="s">
        <v>5</v>
      </c>
      <c r="L309" s="2"/>
      <c r="M309" s="2" t="s">
        <v>2</v>
      </c>
      <c r="N309" s="25">
        <v>100000</v>
      </c>
      <c r="O309" s="3"/>
    </row>
    <row r="310" spans="1:15" ht="15" x14ac:dyDescent="0.35">
      <c r="A310" s="1" t="s">
        <v>6</v>
      </c>
      <c r="B310" s="2"/>
      <c r="C310" s="2" t="s">
        <v>2</v>
      </c>
      <c r="D310" s="25">
        <f>'[3]KARNING 2021'!$D$922</f>
        <v>35000</v>
      </c>
      <c r="E310" s="2"/>
      <c r="F310" s="1" t="s">
        <v>6</v>
      </c>
      <c r="G310" s="2"/>
      <c r="H310" s="2" t="s">
        <v>2</v>
      </c>
      <c r="I310" s="25"/>
      <c r="J310" s="2"/>
      <c r="K310" s="1" t="s">
        <v>6</v>
      </c>
      <c r="L310" s="2"/>
      <c r="M310" s="2" t="s">
        <v>2</v>
      </c>
      <c r="N310" s="25">
        <v>50000</v>
      </c>
      <c r="O310" s="3"/>
    </row>
    <row r="311" spans="1:15" ht="15" x14ac:dyDescent="0.35">
      <c r="A311" s="1" t="s">
        <v>7</v>
      </c>
      <c r="B311" s="2"/>
      <c r="C311" s="2" t="s">
        <v>2</v>
      </c>
      <c r="D311" s="25">
        <f>'[3]KARNING 2021'!$E$922</f>
        <v>50000</v>
      </c>
      <c r="E311" s="2"/>
      <c r="F311" s="1" t="s">
        <v>7</v>
      </c>
      <c r="G311" s="2"/>
      <c r="H311" s="2" t="s">
        <v>2</v>
      </c>
      <c r="I311" s="25"/>
      <c r="J311" s="2"/>
      <c r="K311" s="1" t="s">
        <v>7</v>
      </c>
      <c r="L311" s="2"/>
      <c r="M311" s="2" t="s">
        <v>2</v>
      </c>
      <c r="N311" s="8">
        <v>100000</v>
      </c>
      <c r="O311" s="3"/>
    </row>
    <row r="312" spans="1:15" ht="15" x14ac:dyDescent="0.35">
      <c r="A312" s="1" t="s">
        <v>8</v>
      </c>
      <c r="B312" s="2"/>
      <c r="C312" s="2" t="s">
        <v>2</v>
      </c>
      <c r="D312" s="25"/>
      <c r="E312" s="2"/>
      <c r="F312" s="1" t="s">
        <v>8</v>
      </c>
      <c r="G312" s="21"/>
      <c r="H312" s="2" t="s">
        <v>2</v>
      </c>
      <c r="I312" s="25"/>
      <c r="J312" s="2"/>
      <c r="K312" s="1" t="s">
        <v>8</v>
      </c>
      <c r="L312" s="21">
        <v>0</v>
      </c>
      <c r="M312" s="2" t="s">
        <v>2</v>
      </c>
      <c r="N312" s="11">
        <v>0</v>
      </c>
      <c r="O312" s="3"/>
    </row>
    <row r="313" spans="1:15" ht="15" x14ac:dyDescent="0.35">
      <c r="A313" s="1" t="s">
        <v>9</v>
      </c>
      <c r="B313" s="2"/>
      <c r="C313" s="2" t="s">
        <v>2</v>
      </c>
      <c r="D313" s="25"/>
      <c r="E313" s="2"/>
      <c r="F313" s="1" t="s">
        <v>9</v>
      </c>
      <c r="G313" s="2"/>
      <c r="H313" s="2" t="s">
        <v>2</v>
      </c>
      <c r="I313" s="31"/>
      <c r="J313" s="2"/>
      <c r="K313" s="1" t="s">
        <v>9</v>
      </c>
      <c r="L313" s="2"/>
      <c r="M313" s="2" t="s">
        <v>2</v>
      </c>
      <c r="N313" s="11">
        <v>0</v>
      </c>
      <c r="O313" s="3"/>
    </row>
    <row r="314" spans="1:15" ht="15" x14ac:dyDescent="0.35">
      <c r="A314" s="1" t="s">
        <v>10</v>
      </c>
      <c r="B314" s="2"/>
      <c r="C314" s="2" t="s">
        <v>2</v>
      </c>
      <c r="D314" s="8"/>
      <c r="E314" s="2"/>
      <c r="F314" s="1" t="s">
        <v>10</v>
      </c>
      <c r="G314" s="2"/>
      <c r="H314" s="2" t="s">
        <v>2</v>
      </c>
      <c r="I314" s="8"/>
      <c r="J314" s="2"/>
      <c r="K314" s="1" t="s">
        <v>10</v>
      </c>
      <c r="L314" s="2"/>
      <c r="M314" s="2" t="s">
        <v>2</v>
      </c>
      <c r="N314" s="8">
        <v>0</v>
      </c>
      <c r="O314" s="3"/>
    </row>
    <row r="315" spans="1:15" ht="15" x14ac:dyDescent="0.35">
      <c r="A315" s="1" t="s">
        <v>11</v>
      </c>
      <c r="B315" s="2"/>
      <c r="C315" s="2" t="s">
        <v>2</v>
      </c>
      <c r="D315" s="9"/>
      <c r="E315" s="2"/>
      <c r="F315" s="1" t="s">
        <v>11</v>
      </c>
      <c r="G315" s="2"/>
      <c r="H315" s="2" t="s">
        <v>2</v>
      </c>
      <c r="I315" s="9"/>
      <c r="J315" s="2"/>
      <c r="K315" s="1" t="s">
        <v>11</v>
      </c>
      <c r="L315" s="2"/>
      <c r="M315" s="2" t="s">
        <v>2</v>
      </c>
      <c r="N315" s="9">
        <f>[32]krnmei!$P$1127</f>
        <v>0</v>
      </c>
      <c r="O315" s="3"/>
    </row>
    <row r="316" spans="1:15" ht="15" x14ac:dyDescent="0.35">
      <c r="A316" s="1" t="s">
        <v>12</v>
      </c>
      <c r="B316" s="2"/>
      <c r="C316" s="2" t="s">
        <v>2</v>
      </c>
      <c r="D316" s="7"/>
      <c r="E316" s="2"/>
      <c r="F316" s="1" t="s">
        <v>12</v>
      </c>
      <c r="G316" s="2"/>
      <c r="H316" s="2" t="s">
        <v>2</v>
      </c>
      <c r="I316" s="8"/>
      <c r="J316" s="2"/>
      <c r="K316" s="1" t="s">
        <v>12</v>
      </c>
      <c r="L316" s="2"/>
      <c r="M316" s="2" t="s">
        <v>2</v>
      </c>
      <c r="N316" s="8">
        <v>50000</v>
      </c>
      <c r="O316" s="3"/>
    </row>
    <row r="317" spans="1:15" ht="15" x14ac:dyDescent="0.35">
      <c r="A317" s="13" t="s">
        <v>13</v>
      </c>
      <c r="B317" s="5"/>
      <c r="C317" s="5" t="s">
        <v>2</v>
      </c>
      <c r="D317" s="24">
        <f>SUM(D309:D316)</f>
        <v>100000</v>
      </c>
      <c r="E317" s="2"/>
      <c r="F317" s="13" t="s">
        <v>13</v>
      </c>
      <c r="G317" s="5"/>
      <c r="H317" s="5"/>
      <c r="I317" s="24"/>
      <c r="J317" s="2"/>
      <c r="K317" s="13" t="s">
        <v>13</v>
      </c>
      <c r="L317" s="5"/>
      <c r="M317" s="5" t="s">
        <v>2</v>
      </c>
      <c r="N317" s="24">
        <f>N309+N310+N311+N316+N315</f>
        <v>300000</v>
      </c>
      <c r="O317" s="3"/>
    </row>
    <row r="318" spans="1:15" ht="15" x14ac:dyDescent="0.35">
      <c r="A318" s="1" t="s">
        <v>14</v>
      </c>
      <c r="B318" s="2"/>
      <c r="C318" s="2" t="s">
        <v>2</v>
      </c>
      <c r="D318" s="25">
        <v>0</v>
      </c>
      <c r="E318" s="2"/>
      <c r="F318" s="1" t="s">
        <v>14</v>
      </c>
      <c r="G318" s="2"/>
      <c r="H318" s="2"/>
      <c r="I318" s="25">
        <f>[39]krnmei!$J$1144</f>
        <v>0</v>
      </c>
      <c r="J318" s="2"/>
      <c r="K318" s="1" t="s">
        <v>14</v>
      </c>
      <c r="L318" s="2"/>
      <c r="M318" s="2" t="s">
        <v>2</v>
      </c>
      <c r="N318" s="25">
        <v>0</v>
      </c>
      <c r="O318" s="3"/>
    </row>
    <row r="319" spans="1:15" ht="15" x14ac:dyDescent="0.35">
      <c r="A319" s="1"/>
      <c r="B319" s="2"/>
      <c r="C319" s="15"/>
      <c r="D319" s="15" t="str">
        <f>I300</f>
        <v>Grogol, 01 April  2026</v>
      </c>
      <c r="E319" s="2"/>
      <c r="F319" s="1"/>
      <c r="G319" s="2"/>
      <c r="H319" s="15"/>
      <c r="I319" s="35" t="str">
        <f>D167</f>
        <v>Grogol, 01 April  2026</v>
      </c>
      <c r="J319" s="15"/>
      <c r="K319" s="1"/>
      <c r="L319" s="2"/>
      <c r="M319" s="15"/>
      <c r="N319" s="35" t="str">
        <f>D167</f>
        <v>Grogol, 01 April  2026</v>
      </c>
      <c r="O319" s="16"/>
    </row>
    <row r="320" spans="1:15" ht="15" x14ac:dyDescent="0.35">
      <c r="A320" s="1"/>
      <c r="B320" s="2"/>
      <c r="C320" s="2"/>
      <c r="D320" s="15" t="s">
        <v>15</v>
      </c>
      <c r="E320" s="15"/>
      <c r="F320" s="1"/>
      <c r="G320" s="2"/>
      <c r="H320" s="2"/>
      <c r="I320" s="15" t="s">
        <v>15</v>
      </c>
      <c r="J320" s="2"/>
      <c r="K320" s="1"/>
      <c r="L320" s="2"/>
      <c r="M320" s="2"/>
      <c r="N320" s="15" t="s">
        <v>15</v>
      </c>
      <c r="O320" s="3"/>
    </row>
    <row r="321" spans="1:15" ht="15" x14ac:dyDescent="0.35">
      <c r="A321" s="1"/>
      <c r="B321" s="2"/>
      <c r="C321" s="2"/>
      <c r="D321" s="15"/>
      <c r="E321" s="2"/>
      <c r="F321" s="1"/>
      <c r="G321" s="2"/>
      <c r="H321" s="2"/>
      <c r="I321" s="15"/>
      <c r="J321" s="2"/>
      <c r="K321" s="1"/>
      <c r="L321" s="2"/>
      <c r="M321" s="2"/>
      <c r="N321" s="15"/>
      <c r="O321" s="3"/>
    </row>
    <row r="322" spans="1:15" ht="15" x14ac:dyDescent="0.35">
      <c r="A322" s="1"/>
      <c r="B322" s="2"/>
      <c r="C322" s="2"/>
      <c r="D322" s="15"/>
      <c r="E322" s="2"/>
      <c r="F322" s="1"/>
      <c r="G322" s="2"/>
      <c r="H322" s="2"/>
      <c r="I322" s="15"/>
      <c r="J322" s="2"/>
      <c r="K322" s="1"/>
      <c r="L322" s="2"/>
      <c r="M322" s="2"/>
      <c r="N322" s="15"/>
      <c r="O322" s="3"/>
    </row>
    <row r="323" spans="1:15" ht="15.6" thickBot="1" x14ac:dyDescent="0.4">
      <c r="A323" s="17"/>
      <c r="B323" s="18"/>
      <c r="C323" s="18"/>
      <c r="D323" s="19" t="s">
        <v>16</v>
      </c>
      <c r="E323" s="18"/>
      <c r="F323" s="17"/>
      <c r="G323" s="18"/>
      <c r="H323" s="18"/>
      <c r="I323" s="19" t="s">
        <v>16</v>
      </c>
      <c r="J323" s="18"/>
      <c r="K323" s="17"/>
      <c r="L323" s="18"/>
      <c r="M323" s="18"/>
      <c r="N323" s="19" t="s">
        <v>16</v>
      </c>
      <c r="O323" s="20"/>
    </row>
    <row r="324" spans="1:15" ht="15" x14ac:dyDescent="0.35">
      <c r="A324" s="46" t="s">
        <v>0</v>
      </c>
      <c r="B324" s="47"/>
      <c r="C324" s="47"/>
      <c r="D324" s="47"/>
      <c r="E324" s="47"/>
      <c r="F324" s="46" t="s">
        <v>0</v>
      </c>
      <c r="G324" s="47"/>
      <c r="H324" s="47"/>
      <c r="I324" s="47"/>
      <c r="J324" s="47"/>
      <c r="K324" s="46" t="s">
        <v>0</v>
      </c>
      <c r="L324" s="47"/>
      <c r="M324" s="47"/>
      <c r="N324" s="47"/>
      <c r="O324" s="48"/>
    </row>
    <row r="325" spans="1:15" ht="15" x14ac:dyDescent="0.35">
      <c r="A325" s="1"/>
      <c r="B325" s="2"/>
      <c r="C325" s="2"/>
      <c r="D325" s="2"/>
      <c r="E325" s="4"/>
      <c r="F325" s="1"/>
      <c r="G325" s="2"/>
      <c r="H325" s="2"/>
      <c r="I325" s="2"/>
      <c r="J325" s="2"/>
      <c r="K325" s="1"/>
      <c r="L325" s="2"/>
      <c r="M325" s="2"/>
      <c r="N325" s="2"/>
      <c r="O325" s="3"/>
    </row>
    <row r="326" spans="1:15" ht="15" x14ac:dyDescent="0.35">
      <c r="A326" s="1" t="s">
        <v>1</v>
      </c>
      <c r="B326" s="2" t="s">
        <v>2</v>
      </c>
      <c r="C326" s="51" t="s">
        <v>47</v>
      </c>
      <c r="D326" s="51"/>
      <c r="E326" s="4">
        <v>37</v>
      </c>
      <c r="F326" s="1" t="s">
        <v>1</v>
      </c>
      <c r="G326" s="2" t="s">
        <v>2</v>
      </c>
      <c r="H326" s="50" t="s">
        <v>48</v>
      </c>
      <c r="I326" s="50"/>
      <c r="J326" s="4">
        <v>42</v>
      </c>
      <c r="K326" s="1" t="s">
        <v>1</v>
      </c>
      <c r="L326" s="24"/>
      <c r="M326" s="5" t="s">
        <v>2</v>
      </c>
      <c r="N326" s="5" t="s">
        <v>67</v>
      </c>
      <c r="O326" s="6">
        <v>26</v>
      </c>
    </row>
    <row r="327" spans="1:15" ht="15" x14ac:dyDescent="0.35">
      <c r="A327" s="1" t="s">
        <v>4</v>
      </c>
      <c r="B327" s="2"/>
      <c r="C327" s="2" t="s">
        <v>2</v>
      </c>
      <c r="D327" s="2"/>
      <c r="F327" s="1" t="s">
        <v>4</v>
      </c>
      <c r="G327" s="2"/>
      <c r="H327" s="2" t="s">
        <v>2</v>
      </c>
      <c r="I327" s="2"/>
      <c r="J327" s="2"/>
      <c r="K327" s="1" t="s">
        <v>4</v>
      </c>
      <c r="L327" s="2"/>
      <c r="M327" s="2"/>
      <c r="N327" s="2"/>
      <c r="O327" s="3"/>
    </row>
    <row r="328" spans="1:15" ht="15" x14ac:dyDescent="0.35">
      <c r="A328" s="1" t="s">
        <v>5</v>
      </c>
      <c r="B328" s="2"/>
      <c r="C328" s="2" t="s">
        <v>2</v>
      </c>
      <c r="D328" s="25">
        <f>'[3]KARNING 2021'!$C$973</f>
        <v>15000</v>
      </c>
      <c r="E328" s="2"/>
      <c r="F328" s="1" t="s">
        <v>5</v>
      </c>
      <c r="G328" s="2"/>
      <c r="H328" s="2" t="s">
        <v>2</v>
      </c>
      <c r="I328" s="25">
        <f>'[3]KARNING 2021'!$C$990</f>
        <v>100000</v>
      </c>
      <c r="J328" s="2"/>
      <c r="K328" s="1" t="s">
        <v>49</v>
      </c>
      <c r="L328" s="2"/>
      <c r="M328" s="2" t="s">
        <v>2</v>
      </c>
      <c r="N328" s="7">
        <v>100000</v>
      </c>
      <c r="O328" s="3"/>
    </row>
    <row r="329" spans="1:15" ht="15" x14ac:dyDescent="0.35">
      <c r="A329" s="1" t="s">
        <v>6</v>
      </c>
      <c r="B329" s="2"/>
      <c r="C329" s="2" t="s">
        <v>2</v>
      </c>
      <c r="D329" s="25">
        <f>'[3]KARNING 2021'!$D$973</f>
        <v>10000</v>
      </c>
      <c r="E329" s="2"/>
      <c r="F329" s="1" t="s">
        <v>6</v>
      </c>
      <c r="G329" s="2"/>
      <c r="H329" s="2" t="s">
        <v>2</v>
      </c>
      <c r="I329" s="25">
        <f>'[3]KARNING 2021'!$D$990</f>
        <v>75000</v>
      </c>
      <c r="J329" s="2"/>
      <c r="K329" s="1" t="s">
        <v>6</v>
      </c>
      <c r="L329" s="2"/>
      <c r="M329" s="2" t="s">
        <v>2</v>
      </c>
      <c r="N329" s="7">
        <v>50000</v>
      </c>
      <c r="O329" s="3"/>
    </row>
    <row r="330" spans="1:15" ht="15" x14ac:dyDescent="0.35">
      <c r="A330" s="1" t="s">
        <v>7</v>
      </c>
      <c r="B330" s="2"/>
      <c r="C330" s="2" t="s">
        <v>2</v>
      </c>
      <c r="D330" s="25">
        <f>[21]krnmei!$E$978</f>
        <v>500000</v>
      </c>
      <c r="E330" s="2"/>
      <c r="F330" s="1" t="s">
        <v>7</v>
      </c>
      <c r="G330" s="2"/>
      <c r="H330" s="2" t="s">
        <v>2</v>
      </c>
      <c r="I330" s="25">
        <f>'[3]KARNING 2021'!$E$990</f>
        <v>100000</v>
      </c>
      <c r="J330" s="2"/>
      <c r="K330" s="1" t="s">
        <v>7</v>
      </c>
      <c r="L330" s="2"/>
      <c r="M330" s="2" t="s">
        <v>2</v>
      </c>
      <c r="N330" s="7">
        <v>100000</v>
      </c>
      <c r="O330" s="3"/>
    </row>
    <row r="331" spans="1:15" ht="15" x14ac:dyDescent="0.35">
      <c r="A331" s="1" t="s">
        <v>8</v>
      </c>
      <c r="B331" s="7">
        <v>37</v>
      </c>
      <c r="C331" s="2" t="s">
        <v>2</v>
      </c>
      <c r="D331" s="25">
        <f>'[3]KARNING 2021'!$I$973</f>
        <v>200000</v>
      </c>
      <c r="E331" s="2"/>
      <c r="F331" s="1" t="s">
        <v>8</v>
      </c>
      <c r="G331" s="7">
        <v>32</v>
      </c>
      <c r="H331" s="2" t="s">
        <v>2</v>
      </c>
      <c r="I331" s="25">
        <f>[26]krnmei!$I$995</f>
        <v>1500000</v>
      </c>
      <c r="J331" s="2"/>
      <c r="K331" s="1" t="s">
        <v>8</v>
      </c>
      <c r="L331" s="2"/>
      <c r="M331" s="2" t="s">
        <v>2</v>
      </c>
      <c r="N331" s="7"/>
      <c r="O331" s="3"/>
    </row>
    <row r="332" spans="1:15" ht="15" x14ac:dyDescent="0.35">
      <c r="A332" s="1" t="s">
        <v>9</v>
      </c>
      <c r="B332" s="2"/>
      <c r="C332" s="2" t="s">
        <v>2</v>
      </c>
      <c r="D332" s="11">
        <f>[40]krnmei!$K$976</f>
        <v>24000</v>
      </c>
      <c r="E332" s="2"/>
      <c r="F332" s="1" t="s">
        <v>9</v>
      </c>
      <c r="G332" s="7"/>
      <c r="H332" s="2" t="s">
        <v>2</v>
      </c>
      <c r="I332" s="11">
        <f>[40]krnmei!$K$993</f>
        <v>240000</v>
      </c>
      <c r="J332" s="2"/>
      <c r="K332" s="1" t="s">
        <v>9</v>
      </c>
      <c r="L332" s="2"/>
      <c r="M332" s="2" t="s">
        <v>2</v>
      </c>
      <c r="N332" s="11"/>
      <c r="O332" s="3"/>
    </row>
    <row r="333" spans="1:15" ht="15" x14ac:dyDescent="0.35">
      <c r="A333" s="1" t="s">
        <v>10</v>
      </c>
      <c r="B333" s="7"/>
      <c r="C333" s="2" t="s">
        <v>2</v>
      </c>
      <c r="D333" s="8">
        <v>0</v>
      </c>
      <c r="E333" s="2"/>
      <c r="F333" s="1" t="s">
        <v>10</v>
      </c>
      <c r="G333" s="7"/>
      <c r="H333" s="2" t="s">
        <v>2</v>
      </c>
      <c r="I333" s="8">
        <v>0</v>
      </c>
      <c r="J333" s="2"/>
      <c r="K333" s="1" t="s">
        <v>10</v>
      </c>
      <c r="L333" s="2"/>
      <c r="M333" s="2" t="s">
        <v>2</v>
      </c>
      <c r="N333" s="7"/>
      <c r="O333" s="3"/>
    </row>
    <row r="334" spans="1:15" ht="15" x14ac:dyDescent="0.35">
      <c r="A334" s="1" t="s">
        <v>11</v>
      </c>
      <c r="B334" s="2"/>
      <c r="C334" s="2" t="s">
        <v>2</v>
      </c>
      <c r="D334" s="8">
        <v>0</v>
      </c>
      <c r="E334" s="2"/>
      <c r="F334" s="1" t="s">
        <v>11</v>
      </c>
      <c r="G334" s="2"/>
      <c r="H334" s="2" t="s">
        <v>2</v>
      </c>
      <c r="I334" s="8">
        <v>0</v>
      </c>
      <c r="J334" s="2"/>
      <c r="K334" s="1" t="s">
        <v>11</v>
      </c>
      <c r="L334" s="2"/>
      <c r="M334" s="2" t="s">
        <v>2</v>
      </c>
      <c r="N334" s="2"/>
      <c r="O334" s="3"/>
    </row>
    <row r="335" spans="1:15" ht="15" x14ac:dyDescent="0.35">
      <c r="A335" s="1" t="s">
        <v>12</v>
      </c>
      <c r="B335" s="2"/>
      <c r="C335" s="2" t="s">
        <v>2</v>
      </c>
      <c r="D335" s="7">
        <f>'[3]KARNING 2021'!$F$973</f>
        <v>50000</v>
      </c>
      <c r="E335" s="2"/>
      <c r="F335" s="1" t="s">
        <v>12</v>
      </c>
      <c r="G335" s="2"/>
      <c r="H335" s="2" t="s">
        <v>2</v>
      </c>
      <c r="I335" s="8">
        <f>'[3]KARNING 2021'!$F$990</f>
        <v>50000</v>
      </c>
      <c r="J335" s="2"/>
      <c r="K335" s="1" t="s">
        <v>12</v>
      </c>
      <c r="L335" s="2"/>
      <c r="M335" s="2" t="s">
        <v>2</v>
      </c>
      <c r="N335" s="8">
        <v>100000</v>
      </c>
      <c r="O335" s="3"/>
    </row>
    <row r="336" spans="1:15" ht="15" x14ac:dyDescent="0.35">
      <c r="A336" s="13" t="s">
        <v>13</v>
      </c>
      <c r="B336" s="5"/>
      <c r="C336" s="5" t="s">
        <v>2</v>
      </c>
      <c r="D336" s="24">
        <f>SUM(D328:D335)</f>
        <v>799000</v>
      </c>
      <c r="E336" s="2"/>
      <c r="F336" s="13" t="s">
        <v>13</v>
      </c>
      <c r="G336" s="5"/>
      <c r="H336" s="5" t="s">
        <v>2</v>
      </c>
      <c r="I336" s="24">
        <f>SUM(I328:I335)</f>
        <v>2065000</v>
      </c>
      <c r="J336" s="2"/>
      <c r="K336" s="13" t="s">
        <v>13</v>
      </c>
      <c r="L336" s="5"/>
      <c r="M336" s="5"/>
      <c r="N336" s="24">
        <f>SUM(N328:N335)</f>
        <v>350000</v>
      </c>
      <c r="O336" s="3"/>
    </row>
    <row r="337" spans="1:15" ht="15" x14ac:dyDescent="0.35">
      <c r="A337" s="1" t="s">
        <v>14</v>
      </c>
      <c r="B337" s="2"/>
      <c r="C337" s="2" t="s">
        <v>2</v>
      </c>
      <c r="D337" s="25">
        <f>[40]krnmei!$J$976</f>
        <v>1400000</v>
      </c>
      <c r="E337" s="2"/>
      <c r="F337" s="1" t="s">
        <v>14</v>
      </c>
      <c r="G337" s="2"/>
      <c r="H337" s="2" t="s">
        <v>2</v>
      </c>
      <c r="I337" s="32">
        <f>[40]krnmei!$J$993</f>
        <v>14500000</v>
      </c>
      <c r="J337" s="2"/>
      <c r="K337" s="1" t="s">
        <v>14</v>
      </c>
      <c r="L337" s="2"/>
      <c r="M337" s="2" t="s">
        <v>2</v>
      </c>
      <c r="N337" s="32">
        <f>[24]krnmei!$J$1014</f>
        <v>0</v>
      </c>
      <c r="O337" s="3"/>
    </row>
    <row r="338" spans="1:15" ht="15" x14ac:dyDescent="0.35">
      <c r="A338" s="1"/>
      <c r="B338" s="2"/>
      <c r="C338" s="15"/>
      <c r="D338" s="35" t="str">
        <f>D167</f>
        <v>Grogol, 01 April  2026</v>
      </c>
      <c r="E338" s="2"/>
      <c r="F338" s="1"/>
      <c r="G338" s="2"/>
      <c r="H338" s="15"/>
      <c r="I338" s="35" t="str">
        <f>D167</f>
        <v>Grogol, 01 April  2026</v>
      </c>
      <c r="J338" s="15"/>
      <c r="K338" s="1"/>
      <c r="L338" s="49" t="str">
        <f>I338</f>
        <v>Grogol, 01 April  2026</v>
      </c>
      <c r="M338" s="49"/>
      <c r="N338" s="49"/>
      <c r="O338" s="16"/>
    </row>
    <row r="339" spans="1:15" ht="15" x14ac:dyDescent="0.35">
      <c r="A339" s="1"/>
      <c r="B339" s="2"/>
      <c r="C339" s="2"/>
      <c r="D339" s="15" t="s">
        <v>15</v>
      </c>
      <c r="E339" s="15"/>
      <c r="F339" s="1"/>
      <c r="G339" s="2"/>
      <c r="H339" s="2"/>
      <c r="I339" s="15" t="s">
        <v>15</v>
      </c>
      <c r="J339" s="2"/>
      <c r="K339" s="1"/>
      <c r="L339" s="2"/>
      <c r="M339" s="2"/>
      <c r="N339" s="15" t="s">
        <v>15</v>
      </c>
      <c r="O339" s="3"/>
    </row>
    <row r="340" spans="1:15" ht="15" x14ac:dyDescent="0.35">
      <c r="A340" s="1"/>
      <c r="B340" s="2"/>
      <c r="C340" s="2"/>
      <c r="D340" s="15"/>
      <c r="E340" s="2"/>
      <c r="F340" s="1"/>
      <c r="G340" s="2"/>
      <c r="H340" s="2"/>
      <c r="I340" s="15"/>
      <c r="J340" s="2"/>
      <c r="K340" s="1"/>
      <c r="L340" s="2"/>
      <c r="M340" s="2"/>
      <c r="N340" s="2"/>
      <c r="O340" s="3"/>
    </row>
    <row r="341" spans="1:15" ht="15" x14ac:dyDescent="0.35">
      <c r="A341" s="1"/>
      <c r="B341" s="2"/>
      <c r="C341" s="2"/>
      <c r="D341" s="15"/>
      <c r="E341" s="2"/>
      <c r="F341" s="1"/>
      <c r="G341" s="2"/>
      <c r="H341" s="2"/>
      <c r="I341" s="15"/>
      <c r="J341" s="2"/>
      <c r="K341" s="1"/>
      <c r="L341" s="2"/>
      <c r="M341" s="2"/>
      <c r="N341" s="2"/>
      <c r="O341" s="3"/>
    </row>
    <row r="342" spans="1:15" ht="15.6" thickBot="1" x14ac:dyDescent="0.4">
      <c r="A342" s="17"/>
      <c r="B342" s="18"/>
      <c r="C342" s="18"/>
      <c r="D342" s="19" t="s">
        <v>16</v>
      </c>
      <c r="E342" s="18"/>
      <c r="F342" s="17"/>
      <c r="G342" s="18"/>
      <c r="H342" s="18"/>
      <c r="I342" s="19" t="s">
        <v>16</v>
      </c>
      <c r="J342" s="18"/>
      <c r="K342" s="17"/>
      <c r="L342" s="18"/>
      <c r="M342" s="18"/>
      <c r="N342" s="19" t="s">
        <v>16</v>
      </c>
      <c r="O342" s="20"/>
    </row>
    <row r="343" spans="1:15" ht="15" x14ac:dyDescent="0.35">
      <c r="A343" s="46" t="s">
        <v>0</v>
      </c>
      <c r="B343" s="47"/>
      <c r="C343" s="47"/>
      <c r="D343" s="47"/>
      <c r="E343" s="47"/>
      <c r="F343" s="46" t="s">
        <v>0</v>
      </c>
      <c r="G343" s="47"/>
      <c r="H343" s="47"/>
      <c r="I343" s="47"/>
      <c r="J343" s="47"/>
      <c r="K343" s="46" t="s">
        <v>0</v>
      </c>
      <c r="L343" s="47"/>
      <c r="M343" s="47"/>
      <c r="N343" s="47"/>
      <c r="O343" s="48"/>
    </row>
    <row r="344" spans="1:15" ht="15" x14ac:dyDescent="0.35">
      <c r="A344" s="1"/>
      <c r="B344" s="2"/>
      <c r="C344" s="2"/>
      <c r="D344" s="2"/>
      <c r="E344" s="2"/>
      <c r="F344" s="1"/>
      <c r="G344" s="2"/>
      <c r="H344" s="2"/>
      <c r="I344" s="2"/>
      <c r="J344" s="2"/>
      <c r="K344" s="1"/>
      <c r="L344" s="2"/>
      <c r="M344" s="2"/>
      <c r="N344" s="2"/>
      <c r="O344" s="3"/>
    </row>
    <row r="345" spans="1:15" ht="15" x14ac:dyDescent="0.35">
      <c r="A345" s="1" t="s">
        <v>1</v>
      </c>
      <c r="B345" s="2" t="s">
        <v>2</v>
      </c>
      <c r="C345" s="50" t="s">
        <v>50</v>
      </c>
      <c r="D345" s="50"/>
      <c r="E345" s="4">
        <v>38</v>
      </c>
      <c r="F345" s="1" t="s">
        <v>1</v>
      </c>
      <c r="G345" s="2" t="s">
        <v>2</v>
      </c>
      <c r="H345" s="50" t="s">
        <v>51</v>
      </c>
      <c r="I345" s="50"/>
      <c r="J345" s="4">
        <v>39</v>
      </c>
      <c r="K345" s="1" t="s">
        <v>1</v>
      </c>
      <c r="L345" s="2" t="s">
        <v>2</v>
      </c>
      <c r="M345" s="50"/>
      <c r="N345" s="50"/>
      <c r="O345" s="6"/>
    </row>
    <row r="346" spans="1:15" ht="15" x14ac:dyDescent="0.35">
      <c r="A346" s="1" t="s">
        <v>4</v>
      </c>
      <c r="B346" s="2"/>
      <c r="C346" s="2" t="s">
        <v>2</v>
      </c>
      <c r="D346" s="2"/>
      <c r="F346" s="1" t="s">
        <v>4</v>
      </c>
      <c r="G346" s="2"/>
      <c r="H346" s="2" t="s">
        <v>2</v>
      </c>
      <c r="I346" s="2"/>
      <c r="J346" s="2"/>
      <c r="K346" s="1" t="s">
        <v>52</v>
      </c>
      <c r="L346" s="2" t="s">
        <v>2</v>
      </c>
      <c r="M346" s="2"/>
      <c r="N346" s="2"/>
      <c r="O346" s="3"/>
    </row>
    <row r="347" spans="1:15" ht="15" x14ac:dyDescent="0.35">
      <c r="A347" s="1" t="s">
        <v>5</v>
      </c>
      <c r="B347" s="2"/>
      <c r="C347" s="2" t="s">
        <v>2</v>
      </c>
      <c r="D347" s="25">
        <f>'[3]KARNING 2021'!$C$1024</f>
        <v>20000</v>
      </c>
      <c r="E347" s="2"/>
      <c r="F347" s="1" t="s">
        <v>5</v>
      </c>
      <c r="G347" s="2"/>
      <c r="H347" s="2" t="s">
        <v>2</v>
      </c>
      <c r="I347" s="25">
        <f>'[3]KARNING 2021'!$C$1041</f>
        <v>15000</v>
      </c>
      <c r="J347" s="2"/>
      <c r="K347" s="1" t="s">
        <v>53</v>
      </c>
      <c r="L347" s="2"/>
      <c r="M347" s="2" t="s">
        <v>2</v>
      </c>
      <c r="N347" s="7">
        <v>0</v>
      </c>
      <c r="O347" s="3"/>
    </row>
    <row r="348" spans="1:15" ht="15" x14ac:dyDescent="0.35">
      <c r="A348" s="1" t="s">
        <v>6</v>
      </c>
      <c r="B348" s="2"/>
      <c r="C348" s="2" t="s">
        <v>2</v>
      </c>
      <c r="D348" s="25">
        <v>20000</v>
      </c>
      <c r="E348" s="2"/>
      <c r="F348" s="1" t="s">
        <v>6</v>
      </c>
      <c r="G348" s="2"/>
      <c r="H348" s="2" t="s">
        <v>2</v>
      </c>
      <c r="I348" s="25">
        <f>'[3]KARNING 2021'!$D$1041</f>
        <v>10000</v>
      </c>
      <c r="J348" s="2"/>
      <c r="K348" s="1" t="s">
        <v>54</v>
      </c>
      <c r="L348" s="2"/>
      <c r="M348" s="2" t="s">
        <v>2</v>
      </c>
      <c r="N348" s="7">
        <v>0</v>
      </c>
      <c r="O348" s="3"/>
    </row>
    <row r="349" spans="1:15" ht="15" x14ac:dyDescent="0.35">
      <c r="A349" s="1" t="s">
        <v>7</v>
      </c>
      <c r="B349" s="2"/>
      <c r="C349" s="2" t="s">
        <v>2</v>
      </c>
      <c r="D349" s="25">
        <v>20000</v>
      </c>
      <c r="E349" s="2"/>
      <c r="F349" s="1" t="s">
        <v>7</v>
      </c>
      <c r="G349" s="2"/>
      <c r="H349" s="2" t="s">
        <v>2</v>
      </c>
      <c r="I349" s="8">
        <v>50000</v>
      </c>
      <c r="J349" s="2"/>
      <c r="K349" s="1" t="s">
        <v>55</v>
      </c>
      <c r="L349" s="2"/>
      <c r="M349" s="2" t="s">
        <v>2</v>
      </c>
      <c r="N349" s="7">
        <v>0</v>
      </c>
      <c r="O349" s="3"/>
    </row>
    <row r="350" spans="1:15" ht="15" x14ac:dyDescent="0.35">
      <c r="A350" s="1" t="s">
        <v>8</v>
      </c>
      <c r="B350" s="21">
        <v>2</v>
      </c>
      <c r="C350" s="2" t="s">
        <v>2</v>
      </c>
      <c r="D350" s="25">
        <f>[38]krnmei!$I$1026</f>
        <v>150000</v>
      </c>
      <c r="E350" s="2"/>
      <c r="F350" s="1" t="s">
        <v>8</v>
      </c>
      <c r="G350" s="21">
        <v>10</v>
      </c>
      <c r="H350" s="2" t="s">
        <v>2</v>
      </c>
      <c r="I350" s="25">
        <f>[31]krnmei!$I$1048</f>
        <v>500000</v>
      </c>
      <c r="J350" s="2"/>
      <c r="K350" s="1" t="s">
        <v>8</v>
      </c>
      <c r="L350" s="2"/>
      <c r="M350" s="2" t="s">
        <v>2</v>
      </c>
      <c r="N350" s="7"/>
      <c r="O350" s="3"/>
    </row>
    <row r="351" spans="1:15" ht="15" x14ac:dyDescent="0.35">
      <c r="A351" s="1" t="s">
        <v>9</v>
      </c>
      <c r="B351" s="2"/>
      <c r="C351" s="2" t="s">
        <v>2</v>
      </c>
      <c r="D351" s="11">
        <f>[40]krnmei!$K$1027</f>
        <v>42750</v>
      </c>
      <c r="E351" s="2"/>
      <c r="F351" s="1" t="s">
        <v>9</v>
      </c>
      <c r="G351" s="2"/>
      <c r="H351" s="2" t="s">
        <v>2</v>
      </c>
      <c r="I351" s="11">
        <f>[40]krnmei!$K$1044</f>
        <v>45000</v>
      </c>
      <c r="J351" s="2"/>
      <c r="K351" s="1" t="s">
        <v>56</v>
      </c>
      <c r="L351" s="2"/>
      <c r="M351" s="2" t="s">
        <v>2</v>
      </c>
      <c r="N351" s="11"/>
      <c r="O351" s="3"/>
    </row>
    <row r="352" spans="1:15" ht="15" x14ac:dyDescent="0.35">
      <c r="A352" s="1" t="s">
        <v>10</v>
      </c>
      <c r="B352" s="2"/>
      <c r="C352" s="2" t="s">
        <v>2</v>
      </c>
      <c r="D352" s="8">
        <v>0</v>
      </c>
      <c r="E352" s="2"/>
      <c r="F352" s="1" t="s">
        <v>10</v>
      </c>
      <c r="G352" s="2"/>
      <c r="H352" s="2" t="s">
        <v>2</v>
      </c>
      <c r="I352" s="8"/>
      <c r="J352" s="2"/>
      <c r="K352" s="1" t="s">
        <v>57</v>
      </c>
      <c r="L352" s="2"/>
      <c r="M352" s="2" t="s">
        <v>2</v>
      </c>
      <c r="N352" s="2"/>
      <c r="O352" s="3"/>
    </row>
    <row r="353" spans="1:15" ht="15" x14ac:dyDescent="0.35">
      <c r="A353" s="1" t="s">
        <v>11</v>
      </c>
      <c r="B353" s="2"/>
      <c r="C353" s="2" t="s">
        <v>2</v>
      </c>
      <c r="D353" s="9">
        <v>0</v>
      </c>
      <c r="E353" s="2"/>
      <c r="F353" s="1" t="s">
        <v>11</v>
      </c>
      <c r="G353" s="2"/>
      <c r="H353" s="2" t="s">
        <v>2</v>
      </c>
      <c r="I353" s="9"/>
      <c r="J353" s="2"/>
      <c r="K353" s="1" t="s">
        <v>58</v>
      </c>
      <c r="L353" s="2"/>
      <c r="M353" s="2" t="s">
        <v>2</v>
      </c>
      <c r="N353" s="2"/>
      <c r="O353" s="3"/>
    </row>
    <row r="354" spans="1:15" ht="15" x14ac:dyDescent="0.35">
      <c r="A354" s="1" t="s">
        <v>12</v>
      </c>
      <c r="B354" s="2"/>
      <c r="C354" s="2" t="s">
        <v>2</v>
      </c>
      <c r="D354" s="8">
        <v>20000</v>
      </c>
      <c r="E354" s="2"/>
      <c r="F354" s="1" t="s">
        <v>12</v>
      </c>
      <c r="G354" s="2"/>
      <c r="H354" s="2" t="s">
        <v>2</v>
      </c>
      <c r="I354" s="8"/>
      <c r="J354" s="2"/>
      <c r="K354" s="1" t="s">
        <v>59</v>
      </c>
      <c r="L354" s="2"/>
      <c r="M354" s="2" t="s">
        <v>2</v>
      </c>
      <c r="N354" s="36"/>
      <c r="O354" s="3"/>
    </row>
    <row r="355" spans="1:15" ht="15" x14ac:dyDescent="0.35">
      <c r="A355" s="13" t="s">
        <v>13</v>
      </c>
      <c r="B355" s="5"/>
      <c r="C355" s="5" t="s">
        <v>2</v>
      </c>
      <c r="D355" s="24">
        <f>SUM(D347:D354)</f>
        <v>272750</v>
      </c>
      <c r="E355" s="2"/>
      <c r="F355" s="13" t="s">
        <v>13</v>
      </c>
      <c r="G355" s="5"/>
      <c r="H355" s="5" t="s">
        <v>2</v>
      </c>
      <c r="I355" s="24">
        <f>SUM(I347:I354)</f>
        <v>620000</v>
      </c>
      <c r="J355" s="2"/>
      <c r="K355" s="13" t="s">
        <v>13</v>
      </c>
      <c r="L355" s="5"/>
      <c r="M355" s="5"/>
      <c r="N355" s="24">
        <f>SUM(N347:N354)</f>
        <v>0</v>
      </c>
      <c r="O355" s="3"/>
    </row>
    <row r="356" spans="1:15" ht="15" x14ac:dyDescent="0.35">
      <c r="A356" s="1" t="s">
        <v>14</v>
      </c>
      <c r="B356" s="2"/>
      <c r="C356" s="2" t="s">
        <v>2</v>
      </c>
      <c r="D356" s="25">
        <f>[40]krnmei!$J$1027</f>
        <v>2700000</v>
      </c>
      <c r="E356" s="2"/>
      <c r="F356" s="1" t="s">
        <v>14</v>
      </c>
      <c r="G356" s="2"/>
      <c r="H356" s="2" t="s">
        <v>2</v>
      </c>
      <c r="I356" s="27">
        <f>[40]krnmei!$J$1044</f>
        <v>2500000</v>
      </c>
      <c r="J356" s="2"/>
      <c r="K356" s="1" t="s">
        <v>14</v>
      </c>
      <c r="L356" s="2"/>
      <c r="M356" s="2"/>
      <c r="N356" s="27"/>
      <c r="O356" s="3"/>
    </row>
    <row r="357" spans="1:15" ht="15" x14ac:dyDescent="0.35">
      <c r="A357" s="1"/>
      <c r="B357" s="2"/>
      <c r="C357" s="15"/>
      <c r="D357" s="35" t="str">
        <f>D167</f>
        <v>Grogol, 01 April  2026</v>
      </c>
      <c r="E357" s="2"/>
      <c r="F357" s="1"/>
      <c r="G357" s="2"/>
      <c r="H357" s="15"/>
      <c r="I357" s="15" t="str">
        <f>D357</f>
        <v>Grogol, 01 April  2026</v>
      </c>
      <c r="J357" s="15"/>
      <c r="K357" s="1"/>
      <c r="L357" s="2"/>
      <c r="M357" s="15"/>
      <c r="N357" s="15" t="s">
        <v>84</v>
      </c>
      <c r="O357" s="16"/>
    </row>
    <row r="358" spans="1:15" ht="15" x14ac:dyDescent="0.35">
      <c r="A358" s="1"/>
      <c r="B358" s="2"/>
      <c r="C358" s="2"/>
      <c r="D358" s="15" t="s">
        <v>15</v>
      </c>
      <c r="E358" s="15"/>
      <c r="F358" s="1"/>
      <c r="G358" s="2"/>
      <c r="H358" s="2"/>
      <c r="I358" s="15" t="s">
        <v>15</v>
      </c>
      <c r="J358" s="2"/>
      <c r="K358" s="1"/>
      <c r="L358" s="2"/>
      <c r="M358" s="2"/>
      <c r="N358" s="15" t="s">
        <v>15</v>
      </c>
      <c r="O358" s="3"/>
    </row>
    <row r="359" spans="1:15" ht="15" x14ac:dyDescent="0.35">
      <c r="A359" s="1"/>
      <c r="B359" s="2"/>
      <c r="C359" s="2"/>
      <c r="D359" s="15"/>
      <c r="E359" s="2"/>
      <c r="F359" s="1"/>
      <c r="G359" s="2"/>
      <c r="H359" s="2"/>
      <c r="I359" s="15"/>
      <c r="J359" s="2"/>
      <c r="K359" s="1"/>
      <c r="L359" s="2"/>
      <c r="M359" s="2"/>
      <c r="N359" s="2"/>
      <c r="O359" s="3"/>
    </row>
    <row r="360" spans="1:15" ht="15" x14ac:dyDescent="0.35">
      <c r="A360" s="1"/>
      <c r="B360" s="2"/>
      <c r="C360" s="2"/>
      <c r="D360" s="15"/>
      <c r="E360" s="2"/>
      <c r="F360" s="1"/>
      <c r="G360" s="2"/>
      <c r="H360" s="2"/>
      <c r="I360" s="15"/>
      <c r="J360" s="2"/>
      <c r="K360" s="1"/>
      <c r="L360" s="2"/>
      <c r="M360" s="2"/>
      <c r="N360" s="2"/>
      <c r="O360" s="3"/>
    </row>
    <row r="361" spans="1:15" ht="15.6" thickBot="1" x14ac:dyDescent="0.4">
      <c r="A361" s="17"/>
      <c r="B361" s="18"/>
      <c r="C361" s="18"/>
      <c r="D361" s="19" t="s">
        <v>16</v>
      </c>
      <c r="E361" s="18"/>
      <c r="F361" s="17"/>
      <c r="G361" s="18"/>
      <c r="H361" s="18"/>
      <c r="I361" s="19" t="s">
        <v>16</v>
      </c>
      <c r="J361" s="18"/>
      <c r="K361" s="17"/>
      <c r="L361" s="18"/>
      <c r="M361" s="37"/>
      <c r="N361" s="19" t="s">
        <v>16</v>
      </c>
      <c r="O361" s="20"/>
    </row>
    <row r="362" spans="1:15" ht="15" x14ac:dyDescent="0.35">
      <c r="A362" s="46" t="s">
        <v>0</v>
      </c>
      <c r="B362" s="47"/>
      <c r="C362" s="47"/>
      <c r="D362" s="47"/>
      <c r="E362" s="47"/>
      <c r="F362" s="46" t="s">
        <v>0</v>
      </c>
      <c r="G362" s="47"/>
      <c r="H362" s="47"/>
      <c r="I362" s="47"/>
      <c r="J362" s="47"/>
      <c r="K362" s="46" t="s">
        <v>0</v>
      </c>
      <c r="L362" s="47"/>
      <c r="M362" s="47"/>
      <c r="N362" s="47"/>
      <c r="O362" s="48"/>
    </row>
    <row r="363" spans="1:15" ht="15" x14ac:dyDescent="0.35">
      <c r="A363" s="1"/>
      <c r="B363" s="2"/>
      <c r="C363" s="2"/>
      <c r="D363" s="2"/>
      <c r="E363" s="2"/>
      <c r="F363" s="1"/>
      <c r="G363" s="2"/>
      <c r="H363" s="2"/>
      <c r="I363" s="2"/>
      <c r="J363" s="2"/>
      <c r="K363" s="1"/>
      <c r="L363" s="2"/>
      <c r="M363" s="2"/>
      <c r="N363" s="2"/>
      <c r="O363" s="3"/>
    </row>
    <row r="364" spans="1:15" ht="15" x14ac:dyDescent="0.35">
      <c r="A364" s="1" t="s">
        <v>1</v>
      </c>
      <c r="B364" s="2"/>
      <c r="C364" s="5" t="s">
        <v>2</v>
      </c>
      <c r="D364" s="42" t="s">
        <v>64</v>
      </c>
      <c r="E364" s="4">
        <v>45</v>
      </c>
      <c r="F364" s="1" t="s">
        <v>1</v>
      </c>
      <c r="G364" s="2"/>
      <c r="H364" s="5" t="s">
        <v>2</v>
      </c>
      <c r="I364" s="4" t="s">
        <v>60</v>
      </c>
      <c r="J364" s="4">
        <v>16</v>
      </c>
      <c r="K364" s="1" t="s">
        <v>1</v>
      </c>
      <c r="L364" s="2"/>
      <c r="M364" s="5" t="s">
        <v>2</v>
      </c>
      <c r="N364" s="4" t="s">
        <v>61</v>
      </c>
      <c r="O364" s="6">
        <v>17</v>
      </c>
    </row>
    <row r="365" spans="1:15" ht="15" x14ac:dyDescent="0.35">
      <c r="A365" s="1" t="s">
        <v>52</v>
      </c>
      <c r="B365" s="2"/>
      <c r="C365" s="2" t="s">
        <v>2</v>
      </c>
      <c r="D365" s="2"/>
      <c r="E365" s="2"/>
      <c r="F365" s="1" t="s">
        <v>52</v>
      </c>
      <c r="G365" s="2"/>
      <c r="H365" s="2" t="s">
        <v>2</v>
      </c>
      <c r="I365" s="2"/>
      <c r="J365" s="2"/>
      <c r="K365" s="1" t="s">
        <v>52</v>
      </c>
      <c r="L365" s="2"/>
      <c r="M365" s="2" t="s">
        <v>2</v>
      </c>
      <c r="N365" s="2"/>
      <c r="O365" s="3"/>
    </row>
    <row r="366" spans="1:15" ht="15" x14ac:dyDescent="0.35">
      <c r="A366" s="1" t="s">
        <v>65</v>
      </c>
      <c r="B366" s="2"/>
      <c r="C366" s="2" t="s">
        <v>2</v>
      </c>
      <c r="D366" s="7">
        <f>[26]krnmei!$C$1233</f>
        <v>15000</v>
      </c>
      <c r="E366" s="2"/>
      <c r="F366" s="1" t="s">
        <v>53</v>
      </c>
      <c r="G366" s="2"/>
      <c r="H366" s="2" t="s">
        <v>2</v>
      </c>
      <c r="I366" s="7">
        <f>[17]krnmei!$C$1094</f>
        <v>100000</v>
      </c>
      <c r="K366" s="1" t="s">
        <v>53</v>
      </c>
      <c r="L366" s="2"/>
      <c r="M366" s="2" t="s">
        <v>2</v>
      </c>
      <c r="N366" s="7">
        <f>[17]krnmei!$C$1111</f>
        <v>100000</v>
      </c>
      <c r="O366" s="3"/>
    </row>
    <row r="367" spans="1:15" ht="15" x14ac:dyDescent="0.35">
      <c r="A367" s="1" t="s">
        <v>54</v>
      </c>
      <c r="B367" s="2"/>
      <c r="C367" s="2" t="s">
        <v>2</v>
      </c>
      <c r="D367" s="7">
        <f>[5]krnmei!$D$1232</f>
        <v>10000</v>
      </c>
      <c r="E367" s="2"/>
      <c r="F367" s="1" t="s">
        <v>54</v>
      </c>
      <c r="G367" s="2"/>
      <c r="H367" s="2" t="s">
        <v>2</v>
      </c>
      <c r="I367" s="2">
        <v>25000</v>
      </c>
      <c r="J367" s="2"/>
      <c r="K367" s="1" t="s">
        <v>54</v>
      </c>
      <c r="L367" s="2"/>
      <c r="M367" s="2" t="s">
        <v>2</v>
      </c>
      <c r="N367" s="2">
        <v>25000</v>
      </c>
      <c r="O367" s="3"/>
    </row>
    <row r="368" spans="1:15" ht="15" x14ac:dyDescent="0.35">
      <c r="A368" s="1" t="s">
        <v>55</v>
      </c>
      <c r="B368" s="2"/>
      <c r="C368" s="2" t="s">
        <v>2</v>
      </c>
      <c r="D368" s="7">
        <f>[35]krnmei!$E$1238</f>
        <v>50000</v>
      </c>
      <c r="E368" s="2"/>
      <c r="F368" s="1" t="s">
        <v>55</v>
      </c>
      <c r="G368" s="2"/>
      <c r="H368" s="2" t="s">
        <v>2</v>
      </c>
      <c r="I368" s="7">
        <f>[25]krnmei!$E$1097</f>
        <v>200000</v>
      </c>
      <c r="J368" s="2"/>
      <c r="K368" s="1" t="s">
        <v>55</v>
      </c>
      <c r="L368" s="2"/>
      <c r="M368" s="2" t="s">
        <v>2</v>
      </c>
      <c r="N368" s="2">
        <v>0</v>
      </c>
      <c r="O368" s="3"/>
    </row>
    <row r="369" spans="1:15" ht="15" x14ac:dyDescent="0.35">
      <c r="A369" s="1" t="s">
        <v>8</v>
      </c>
      <c r="B369" s="2">
        <v>21</v>
      </c>
      <c r="C369" s="2" t="s">
        <v>2</v>
      </c>
      <c r="D369" s="2">
        <f>[6]krnmei!$I$1236</f>
        <v>400000</v>
      </c>
      <c r="E369" s="2"/>
      <c r="F369" s="1" t="s">
        <v>8</v>
      </c>
      <c r="G369" s="2"/>
      <c r="H369" s="2" t="s">
        <v>2</v>
      </c>
      <c r="I369" s="2">
        <v>0</v>
      </c>
      <c r="J369" s="2"/>
      <c r="K369" s="1" t="s">
        <v>8</v>
      </c>
      <c r="L369" s="2">
        <v>4</v>
      </c>
      <c r="M369" s="2" t="s">
        <v>2</v>
      </c>
      <c r="N369" s="2">
        <f>[39]krnmei!$I$1110</f>
        <v>1000000</v>
      </c>
      <c r="O369" s="3"/>
    </row>
    <row r="370" spans="1:15" ht="15" x14ac:dyDescent="0.35">
      <c r="A370" s="1" t="s">
        <v>56</v>
      </c>
      <c r="B370" s="2"/>
      <c r="C370" s="2" t="s">
        <v>2</v>
      </c>
      <c r="D370" s="45">
        <f>[40]krnmei!$K$1231</f>
        <v>33750</v>
      </c>
      <c r="E370" s="2"/>
      <c r="F370" s="1" t="s">
        <v>56</v>
      </c>
      <c r="G370" s="2"/>
      <c r="H370" s="2" t="s">
        <v>2</v>
      </c>
      <c r="I370" s="2">
        <v>0</v>
      </c>
      <c r="J370" s="2"/>
      <c r="K370" s="1" t="s">
        <v>56</v>
      </c>
      <c r="L370" s="2"/>
      <c r="M370" s="2" t="s">
        <v>2</v>
      </c>
      <c r="N370" s="44">
        <f>[40]krnmei!$K$1112</f>
        <v>405000</v>
      </c>
      <c r="O370" s="3"/>
    </row>
    <row r="371" spans="1:15" ht="15" x14ac:dyDescent="0.35">
      <c r="A371" s="1" t="s">
        <v>57</v>
      </c>
      <c r="B371" s="2"/>
      <c r="C371" s="2" t="s">
        <v>2</v>
      </c>
      <c r="D371" s="2">
        <v>0</v>
      </c>
      <c r="E371" s="2"/>
      <c r="F371" s="1" t="s">
        <v>57</v>
      </c>
      <c r="G371" s="2"/>
      <c r="H371" s="2" t="s">
        <v>2</v>
      </c>
      <c r="I371" s="2">
        <v>0</v>
      </c>
      <c r="J371" s="2"/>
      <c r="K371" s="1" t="s">
        <v>57</v>
      </c>
      <c r="L371" s="2"/>
      <c r="M371" s="2" t="s">
        <v>2</v>
      </c>
      <c r="N371" s="2">
        <v>0</v>
      </c>
      <c r="O371" s="3"/>
    </row>
    <row r="372" spans="1:15" ht="15" x14ac:dyDescent="0.35">
      <c r="A372" s="1" t="s">
        <v>62</v>
      </c>
      <c r="B372" s="2"/>
      <c r="C372" s="2" t="s">
        <v>2</v>
      </c>
      <c r="D372" s="2">
        <v>0</v>
      </c>
      <c r="E372" s="2"/>
      <c r="F372" s="1" t="s">
        <v>62</v>
      </c>
      <c r="G372" s="2"/>
      <c r="H372" s="2" t="s">
        <v>2</v>
      </c>
      <c r="I372" s="2">
        <v>0</v>
      </c>
      <c r="J372" s="2"/>
      <c r="K372" s="1" t="s">
        <v>62</v>
      </c>
      <c r="L372" s="2"/>
      <c r="M372" s="2" t="s">
        <v>2</v>
      </c>
      <c r="N372" s="2">
        <v>0</v>
      </c>
      <c r="O372" s="3"/>
    </row>
    <row r="373" spans="1:15" ht="15.6" thickBot="1" x14ac:dyDescent="0.4">
      <c r="A373" s="1" t="s">
        <v>59</v>
      </c>
      <c r="B373" s="2"/>
      <c r="C373" s="2" t="s">
        <v>2</v>
      </c>
      <c r="D373" s="2">
        <v>0</v>
      </c>
      <c r="E373" s="2"/>
      <c r="F373" s="1" t="s">
        <v>59</v>
      </c>
      <c r="G373" s="2"/>
      <c r="H373" s="2" t="s">
        <v>2</v>
      </c>
      <c r="I373" s="7">
        <f>[36]krnmei!$F$1096</f>
        <v>150000</v>
      </c>
      <c r="J373" s="2"/>
      <c r="K373" s="1" t="s">
        <v>59</v>
      </c>
      <c r="L373" s="2"/>
      <c r="M373" s="2" t="s">
        <v>2</v>
      </c>
      <c r="N373" s="7">
        <f>[36]krnmei!$F$1113</f>
        <v>150000</v>
      </c>
      <c r="O373" s="3"/>
    </row>
    <row r="374" spans="1:15" ht="15.6" thickTop="1" x14ac:dyDescent="0.35">
      <c r="A374" s="13" t="s">
        <v>13</v>
      </c>
      <c r="B374" s="5"/>
      <c r="C374" s="5"/>
      <c r="D374" s="38">
        <f>SUM(D366:D373)</f>
        <v>508750</v>
      </c>
      <c r="E374" s="2"/>
      <c r="F374" s="13" t="s">
        <v>13</v>
      </c>
      <c r="G374" s="5"/>
      <c r="H374" s="5" t="s">
        <v>2</v>
      </c>
      <c r="I374" s="38">
        <f>SUM(I366:I373)</f>
        <v>475000</v>
      </c>
      <c r="J374" s="2"/>
      <c r="K374" s="13" t="s">
        <v>13</v>
      </c>
      <c r="L374" s="5"/>
      <c r="M374" s="5" t="s">
        <v>2</v>
      </c>
      <c r="N374" s="38">
        <f>SUM(N366:N373)</f>
        <v>1680000</v>
      </c>
      <c r="O374" s="3"/>
    </row>
    <row r="375" spans="1:15" ht="15" x14ac:dyDescent="0.35">
      <c r="A375" s="1" t="s">
        <v>14</v>
      </c>
      <c r="B375" s="2"/>
      <c r="C375" s="2"/>
      <c r="D375" s="39">
        <f>[40]krnmei!$J$1231</f>
        <v>1850000</v>
      </c>
      <c r="E375" s="2"/>
      <c r="F375" s="1" t="s">
        <v>14</v>
      </c>
      <c r="G375" s="2"/>
      <c r="H375" s="2" t="s">
        <v>2</v>
      </c>
      <c r="I375" s="39">
        <v>0</v>
      </c>
      <c r="J375" s="2"/>
      <c r="K375" s="1" t="s">
        <v>14</v>
      </c>
      <c r="L375" s="2"/>
      <c r="M375" s="2" t="s">
        <v>2</v>
      </c>
      <c r="N375" s="39">
        <f>[40]krnmei!$J$1112</f>
        <v>25000000</v>
      </c>
      <c r="O375" s="3"/>
    </row>
    <row r="376" spans="1:15" ht="15" x14ac:dyDescent="0.35">
      <c r="A376" s="1"/>
      <c r="B376" s="2"/>
      <c r="C376" s="2"/>
      <c r="D376" s="15" t="s">
        <v>89</v>
      </c>
      <c r="E376" s="2"/>
      <c r="F376" s="1"/>
      <c r="G376" s="2"/>
      <c r="H376" s="15"/>
      <c r="I376" s="15" t="str">
        <f>D167</f>
        <v>Grogol, 01 April  2026</v>
      </c>
      <c r="J376" s="15"/>
      <c r="K376" s="1"/>
      <c r="L376" s="2"/>
      <c r="M376" s="15"/>
      <c r="N376" s="15" t="str">
        <f>D167</f>
        <v>Grogol, 01 April  2026</v>
      </c>
      <c r="O376" s="16"/>
    </row>
    <row r="377" spans="1:15" ht="15" x14ac:dyDescent="0.35">
      <c r="A377" s="1"/>
      <c r="B377" s="2"/>
      <c r="C377" s="2"/>
      <c r="D377" s="15" t="s">
        <v>15</v>
      </c>
      <c r="E377" s="2"/>
      <c r="F377" s="1"/>
      <c r="G377" s="2"/>
      <c r="H377" s="2"/>
      <c r="I377" s="15" t="s">
        <v>15</v>
      </c>
      <c r="J377" s="2"/>
      <c r="K377" s="1"/>
      <c r="L377" s="2"/>
      <c r="M377" s="2"/>
      <c r="N377" s="15" t="s">
        <v>15</v>
      </c>
      <c r="O377" s="3"/>
    </row>
    <row r="378" spans="1:15" ht="15" x14ac:dyDescent="0.35">
      <c r="A378" s="1"/>
      <c r="B378" s="2"/>
      <c r="C378" s="2"/>
      <c r="D378" s="15"/>
      <c r="E378" s="2"/>
      <c r="F378" s="1"/>
      <c r="G378" s="2"/>
      <c r="H378" s="2"/>
      <c r="I378" s="15"/>
      <c r="J378" s="2"/>
      <c r="K378" s="1"/>
      <c r="L378" s="2"/>
      <c r="M378" s="2"/>
      <c r="N378" s="15"/>
      <c r="O378" s="3"/>
    </row>
    <row r="379" spans="1:15" ht="15" x14ac:dyDescent="0.35">
      <c r="A379" s="1"/>
      <c r="B379" s="2"/>
      <c r="C379" s="2"/>
      <c r="D379" s="2"/>
      <c r="E379" s="2"/>
      <c r="F379" s="1"/>
      <c r="G379" s="2"/>
      <c r="H379" s="2"/>
      <c r="I379" s="15"/>
      <c r="J379" s="2"/>
      <c r="K379" s="1"/>
      <c r="L379" s="2"/>
      <c r="M379" s="2"/>
      <c r="N379" s="2"/>
      <c r="O379" s="3"/>
    </row>
    <row r="380" spans="1:15" ht="15.6" thickBot="1" x14ac:dyDescent="0.4">
      <c r="A380" s="17"/>
      <c r="B380" s="18"/>
      <c r="C380" s="18"/>
      <c r="D380" s="19" t="s">
        <v>16</v>
      </c>
      <c r="E380" s="18"/>
      <c r="F380" s="17"/>
      <c r="G380" s="18"/>
      <c r="H380" s="18"/>
      <c r="I380" s="19" t="s">
        <v>16</v>
      </c>
      <c r="J380" s="18"/>
      <c r="K380" s="17"/>
      <c r="L380" s="18"/>
      <c r="M380" s="18"/>
      <c r="N380" s="19" t="s">
        <v>16</v>
      </c>
      <c r="O380" s="20"/>
    </row>
  </sheetData>
  <mergeCells count="113">
    <mergeCell ref="A362:E362"/>
    <mergeCell ref="F362:J362"/>
    <mergeCell ref="K362:O362"/>
    <mergeCell ref="L338:N338"/>
    <mergeCell ref="A343:E343"/>
    <mergeCell ref="F343:J343"/>
    <mergeCell ref="K343:O343"/>
    <mergeCell ref="C345:D345"/>
    <mergeCell ref="H345:I345"/>
    <mergeCell ref="M345:N345"/>
    <mergeCell ref="C307:D307"/>
    <mergeCell ref="H307:I307"/>
    <mergeCell ref="A324:E324"/>
    <mergeCell ref="F324:J324"/>
    <mergeCell ref="K324:O324"/>
    <mergeCell ref="C326:D326"/>
    <mergeCell ref="H326:I326"/>
    <mergeCell ref="C288:D288"/>
    <mergeCell ref="H288:I288"/>
    <mergeCell ref="M288:N288"/>
    <mergeCell ref="A305:E305"/>
    <mergeCell ref="F305:J305"/>
    <mergeCell ref="K305:O305"/>
    <mergeCell ref="C269:D269"/>
    <mergeCell ref="H269:I269"/>
    <mergeCell ref="M269:N269"/>
    <mergeCell ref="A286:E286"/>
    <mergeCell ref="F286:J286"/>
    <mergeCell ref="K286:O286"/>
    <mergeCell ref="C250:D250"/>
    <mergeCell ref="H250:I250"/>
    <mergeCell ref="M250:N250"/>
    <mergeCell ref="A267:E267"/>
    <mergeCell ref="F267:J267"/>
    <mergeCell ref="K267:O267"/>
    <mergeCell ref="A229:E229"/>
    <mergeCell ref="F229:J229"/>
    <mergeCell ref="K229:O229"/>
    <mergeCell ref="H231:I231"/>
    <mergeCell ref="M231:N231"/>
    <mergeCell ref="A248:E248"/>
    <mergeCell ref="F248:J248"/>
    <mergeCell ref="K248:O248"/>
    <mergeCell ref="H193:I193"/>
    <mergeCell ref="A210:E210"/>
    <mergeCell ref="F210:J210"/>
    <mergeCell ref="K210:O210"/>
    <mergeCell ref="C212:D212"/>
    <mergeCell ref="H212:I212"/>
    <mergeCell ref="M212:N212"/>
    <mergeCell ref="C174:D174"/>
    <mergeCell ref="H174:I174"/>
    <mergeCell ref="M174:N174"/>
    <mergeCell ref="A191:E191"/>
    <mergeCell ref="F191:J191"/>
    <mergeCell ref="K191:O191"/>
    <mergeCell ref="C155:D155"/>
    <mergeCell ref="H155:I155"/>
    <mergeCell ref="M155:N155"/>
    <mergeCell ref="A172:E172"/>
    <mergeCell ref="F172:J172"/>
    <mergeCell ref="K172:O172"/>
    <mergeCell ref="A134:E134"/>
    <mergeCell ref="F134:J134"/>
    <mergeCell ref="K134:O134"/>
    <mergeCell ref="H136:I136"/>
    <mergeCell ref="M136:N136"/>
    <mergeCell ref="A153:E153"/>
    <mergeCell ref="F153:J153"/>
    <mergeCell ref="K153:O153"/>
    <mergeCell ref="A115:E115"/>
    <mergeCell ref="F115:J115"/>
    <mergeCell ref="K115:O115"/>
    <mergeCell ref="C117:D117"/>
    <mergeCell ref="H117:I117"/>
    <mergeCell ref="M117:N117"/>
    <mergeCell ref="H91:J91"/>
    <mergeCell ref="A96:E96"/>
    <mergeCell ref="F96:J96"/>
    <mergeCell ref="K96:O96"/>
    <mergeCell ref="C98:D98"/>
    <mergeCell ref="H98:I98"/>
    <mergeCell ref="M98:N98"/>
    <mergeCell ref="A77:E77"/>
    <mergeCell ref="F77:J77"/>
    <mergeCell ref="K77:O77"/>
    <mergeCell ref="C79:D79"/>
    <mergeCell ref="H79:I79"/>
    <mergeCell ref="M79:N79"/>
    <mergeCell ref="A58:E58"/>
    <mergeCell ref="F58:J58"/>
    <mergeCell ref="K58:O58"/>
    <mergeCell ref="C60:D60"/>
    <mergeCell ref="H60:I60"/>
    <mergeCell ref="M60:N60"/>
    <mergeCell ref="A39:E39"/>
    <mergeCell ref="F39:J39"/>
    <mergeCell ref="K39:O39"/>
    <mergeCell ref="C41:D41"/>
    <mergeCell ref="H41:I41"/>
    <mergeCell ref="M41:N41"/>
    <mergeCell ref="A20:E20"/>
    <mergeCell ref="F20:J20"/>
    <mergeCell ref="K20:O20"/>
    <mergeCell ref="C22:D22"/>
    <mergeCell ref="H22:I22"/>
    <mergeCell ref="M22:N22"/>
    <mergeCell ref="A1:E1"/>
    <mergeCell ref="F1:J1"/>
    <mergeCell ref="K1:O1"/>
    <mergeCell ref="C3:D3"/>
    <mergeCell ref="H3:I3"/>
    <mergeCell ref="M3:N3"/>
  </mergeCells>
  <pageMargins left="0.31496062992125984" right="1.299212598425197" top="0.15748031496062992" bottom="0.19685039370078741" header="0.31496062992125984" footer="0.31496062992125984"/>
  <pageSetup paperSize="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5645-CDAD-4C56-8663-C3E7E998C58A}">
  <dimension ref="A1:O380"/>
  <sheetViews>
    <sheetView tabSelected="1" workbookViewId="0">
      <selection activeCell="R7" sqref="R7"/>
    </sheetView>
  </sheetViews>
  <sheetFormatPr defaultRowHeight="14.4" x14ac:dyDescent="0.3"/>
  <cols>
    <col min="1" max="1" width="19.44140625" customWidth="1"/>
    <col min="2" max="2" width="4" customWidth="1"/>
    <col min="3" max="3" width="3.44140625" customWidth="1"/>
    <col min="4" max="4" width="19.6640625" customWidth="1"/>
    <col min="5" max="5" width="5.6640625" customWidth="1"/>
    <col min="6" max="6" width="20.33203125" customWidth="1"/>
    <col min="7" max="7" width="4.6640625" customWidth="1"/>
    <col min="8" max="8" width="2.88671875" customWidth="1"/>
    <col min="9" max="9" width="19.5546875" customWidth="1"/>
    <col min="10" max="10" width="6.109375" customWidth="1"/>
    <col min="11" max="11" width="19.88671875" customWidth="1"/>
    <col min="12" max="12" width="4.44140625" customWidth="1"/>
    <col min="13" max="13" width="4" customWidth="1"/>
    <col min="14" max="14" width="19.33203125" customWidth="1"/>
    <col min="15" max="15" width="6.33203125" customWidth="1"/>
  </cols>
  <sheetData>
    <row r="1" spans="1:15" ht="15" x14ac:dyDescent="0.35">
      <c r="A1" s="46" t="s">
        <v>0</v>
      </c>
      <c r="B1" s="47"/>
      <c r="C1" s="47"/>
      <c r="D1" s="47"/>
      <c r="E1" s="47"/>
      <c r="F1" s="46" t="s">
        <v>0</v>
      </c>
      <c r="G1" s="47"/>
      <c r="H1" s="47"/>
      <c r="I1" s="47"/>
      <c r="J1" s="47"/>
      <c r="K1" s="46" t="s">
        <v>0</v>
      </c>
      <c r="L1" s="47"/>
      <c r="M1" s="47"/>
      <c r="N1" s="47"/>
      <c r="O1" s="48"/>
    </row>
    <row r="2" spans="1:15" ht="15" x14ac:dyDescent="0.35">
      <c r="A2" s="1"/>
      <c r="B2" s="2"/>
      <c r="C2" s="2"/>
      <c r="D2" s="2"/>
      <c r="E2" s="2"/>
      <c r="F2" s="1"/>
      <c r="G2" s="2"/>
      <c r="H2" s="2"/>
      <c r="I2" s="2"/>
      <c r="J2" s="2"/>
      <c r="K2" s="1"/>
      <c r="L2" s="2"/>
      <c r="M2" s="2"/>
      <c r="N2" s="2"/>
      <c r="O2" s="3"/>
    </row>
    <row r="3" spans="1:15" ht="15" x14ac:dyDescent="0.35">
      <c r="A3" s="1" t="s">
        <v>1</v>
      </c>
      <c r="B3" s="2" t="s">
        <v>2</v>
      </c>
      <c r="C3" s="50" t="s">
        <v>74</v>
      </c>
      <c r="D3" s="50"/>
      <c r="E3" s="4">
        <v>50</v>
      </c>
      <c r="F3" s="1" t="s">
        <v>1</v>
      </c>
      <c r="G3" s="2" t="s">
        <v>2</v>
      </c>
      <c r="H3" s="50" t="s">
        <v>69</v>
      </c>
      <c r="I3" s="50"/>
      <c r="J3" s="4">
        <v>46</v>
      </c>
      <c r="K3" s="1" t="s">
        <v>1</v>
      </c>
      <c r="L3" s="2" t="s">
        <v>91</v>
      </c>
      <c r="M3" s="50" t="s">
        <v>92</v>
      </c>
      <c r="N3" s="50"/>
      <c r="O3" s="6">
        <v>55</v>
      </c>
    </row>
    <row r="4" spans="1:15" ht="15" x14ac:dyDescent="0.35">
      <c r="A4" s="1" t="s">
        <v>4</v>
      </c>
      <c r="B4" s="2"/>
      <c r="C4" s="2" t="s">
        <v>2</v>
      </c>
      <c r="D4" s="2"/>
      <c r="F4" s="1" t="s">
        <v>4</v>
      </c>
      <c r="G4" s="2"/>
      <c r="H4" s="2" t="s">
        <v>2</v>
      </c>
      <c r="I4" s="2"/>
      <c r="J4" s="2"/>
      <c r="K4" s="1" t="s">
        <v>4</v>
      </c>
      <c r="L4" s="2"/>
      <c r="M4" s="4" t="s">
        <v>2</v>
      </c>
      <c r="N4" s="2"/>
      <c r="O4" s="3"/>
    </row>
    <row r="5" spans="1:15" ht="15" x14ac:dyDescent="0.35">
      <c r="A5" s="1" t="s">
        <v>5</v>
      </c>
      <c r="B5" s="2"/>
      <c r="C5" s="2" t="s">
        <v>2</v>
      </c>
      <c r="D5" s="7">
        <f>[1]krnmei!$C$1314</f>
        <v>15000</v>
      </c>
      <c r="E5" s="2"/>
      <c r="F5" s="1" t="s">
        <v>5</v>
      </c>
      <c r="G5" s="2"/>
      <c r="H5" s="2" t="s">
        <v>2</v>
      </c>
      <c r="I5" s="7">
        <f>[2]krnmei!$C$1289</f>
        <v>15000</v>
      </c>
      <c r="J5" s="2"/>
      <c r="K5" s="1" t="s">
        <v>5</v>
      </c>
      <c r="L5" s="2"/>
      <c r="M5" s="4" t="s">
        <v>2</v>
      </c>
      <c r="N5" s="8"/>
      <c r="O5" s="3"/>
    </row>
    <row r="6" spans="1:15" ht="15" x14ac:dyDescent="0.35">
      <c r="A6" s="1" t="s">
        <v>6</v>
      </c>
      <c r="B6" s="2"/>
      <c r="C6" s="2" t="s">
        <v>2</v>
      </c>
      <c r="D6" s="7">
        <f>[1]krnmei!$D$1365</f>
        <v>10000</v>
      </c>
      <c r="E6" s="2"/>
      <c r="F6" s="1" t="s">
        <v>6</v>
      </c>
      <c r="G6" s="2"/>
      <c r="H6" s="2" t="s">
        <v>2</v>
      </c>
      <c r="I6" s="7">
        <f>[2]krnmei!$D$1290</f>
        <v>10000</v>
      </c>
      <c r="J6" s="2"/>
      <c r="K6" s="1" t="s">
        <v>6</v>
      </c>
      <c r="L6" s="2"/>
      <c r="M6" s="4" t="s">
        <v>2</v>
      </c>
      <c r="N6" s="8">
        <f>[41]krnmei!$D$8</f>
        <v>0</v>
      </c>
      <c r="O6" s="3"/>
    </row>
    <row r="7" spans="1:15" ht="15" x14ac:dyDescent="0.35">
      <c r="A7" s="1" t="s">
        <v>7</v>
      </c>
      <c r="B7" s="2"/>
      <c r="C7" s="2" t="s">
        <v>2</v>
      </c>
      <c r="D7" s="7">
        <f>[1]krnmei!$E$1365</f>
        <v>60000</v>
      </c>
      <c r="E7" s="2"/>
      <c r="F7" s="1" t="s">
        <v>7</v>
      </c>
      <c r="G7" s="2"/>
      <c r="H7" s="2" t="s">
        <v>2</v>
      </c>
      <c r="I7" s="7">
        <v>25000</v>
      </c>
      <c r="J7" s="2"/>
      <c r="K7" s="1" t="s">
        <v>7</v>
      </c>
      <c r="L7" s="2"/>
      <c r="M7" s="4" t="s">
        <v>2</v>
      </c>
      <c r="N7" s="8">
        <f>[41]krnmei!$E$8</f>
        <v>0</v>
      </c>
      <c r="O7" s="3"/>
    </row>
    <row r="8" spans="1:15" ht="15" x14ac:dyDescent="0.35">
      <c r="A8" s="1" t="s">
        <v>8</v>
      </c>
      <c r="B8" s="7"/>
      <c r="C8" s="2" t="s">
        <v>2</v>
      </c>
      <c r="D8" s="7"/>
      <c r="E8" s="2"/>
      <c r="F8" s="1" t="s">
        <v>8</v>
      </c>
      <c r="G8" s="2"/>
      <c r="H8" s="2" t="s">
        <v>2</v>
      </c>
      <c r="I8" s="7">
        <v>0</v>
      </c>
      <c r="J8" s="2"/>
      <c r="K8" s="1" t="s">
        <v>8</v>
      </c>
      <c r="L8" s="2"/>
      <c r="M8" s="4" t="s">
        <v>2</v>
      </c>
      <c r="N8" s="9"/>
      <c r="O8" s="3"/>
    </row>
    <row r="9" spans="1:15" ht="15" x14ac:dyDescent="0.35">
      <c r="A9" s="1" t="s">
        <v>9</v>
      </c>
      <c r="B9" s="2"/>
      <c r="C9" s="2" t="s">
        <v>2</v>
      </c>
      <c r="D9" s="10"/>
      <c r="E9" s="2"/>
      <c r="F9" s="1" t="s">
        <v>9</v>
      </c>
      <c r="G9" s="2"/>
      <c r="H9" s="2" t="s">
        <v>2</v>
      </c>
      <c r="I9" s="7">
        <v>0</v>
      </c>
      <c r="J9" s="2"/>
      <c r="K9" s="1" t="s">
        <v>9</v>
      </c>
      <c r="L9" s="2"/>
      <c r="M9" s="4" t="s">
        <v>2</v>
      </c>
      <c r="N9" s="11"/>
      <c r="O9" s="3"/>
    </row>
    <row r="10" spans="1:15" ht="15" x14ac:dyDescent="0.35">
      <c r="A10" s="1" t="s">
        <v>10</v>
      </c>
      <c r="B10" s="7"/>
      <c r="C10" s="2" t="s">
        <v>2</v>
      </c>
      <c r="D10" s="7"/>
      <c r="E10" s="2"/>
      <c r="F10" s="1" t="s">
        <v>10</v>
      </c>
      <c r="G10" s="2"/>
      <c r="H10" s="2" t="s">
        <v>2</v>
      </c>
      <c r="I10" s="7">
        <v>0</v>
      </c>
      <c r="J10" s="2"/>
      <c r="K10" s="1" t="s">
        <v>10</v>
      </c>
      <c r="L10" s="2"/>
      <c r="M10" s="4" t="s">
        <v>2</v>
      </c>
      <c r="N10" s="8"/>
      <c r="O10" s="3"/>
    </row>
    <row r="11" spans="1:15" ht="15" x14ac:dyDescent="0.35">
      <c r="A11" s="1" t="s">
        <v>11</v>
      </c>
      <c r="B11" s="2"/>
      <c r="C11" s="2" t="s">
        <v>2</v>
      </c>
      <c r="D11" s="12"/>
      <c r="E11" s="2"/>
      <c r="F11" s="1" t="s">
        <v>11</v>
      </c>
      <c r="G11" s="2"/>
      <c r="H11" s="2" t="s">
        <v>2</v>
      </c>
      <c r="I11" s="7">
        <v>0</v>
      </c>
      <c r="J11" s="2"/>
      <c r="K11" s="1" t="s">
        <v>11</v>
      </c>
      <c r="L11" s="2"/>
      <c r="M11" s="4" t="s">
        <v>2</v>
      </c>
      <c r="N11" s="8"/>
      <c r="O11" s="3"/>
    </row>
    <row r="12" spans="1:15" ht="15" x14ac:dyDescent="0.35">
      <c r="A12" s="1" t="s">
        <v>12</v>
      </c>
      <c r="B12" s="2"/>
      <c r="C12" s="2" t="s">
        <v>2</v>
      </c>
      <c r="D12" s="8">
        <f>[1]krnmei!$F$1314</f>
        <v>15000</v>
      </c>
      <c r="E12" s="2"/>
      <c r="F12" s="1" t="s">
        <v>12</v>
      </c>
      <c r="G12" s="2"/>
      <c r="H12" s="2" t="s">
        <v>2</v>
      </c>
      <c r="I12" s="8">
        <f>[7]krnmei!$F$1289</f>
        <v>100000</v>
      </c>
      <c r="J12" s="2"/>
      <c r="K12" s="1" t="s">
        <v>12</v>
      </c>
      <c r="L12" s="2"/>
      <c r="M12" s="4" t="s">
        <v>2</v>
      </c>
      <c r="N12" s="8">
        <f>[41]krnmei!$F$8</f>
        <v>0</v>
      </c>
      <c r="O12" s="3"/>
    </row>
    <row r="13" spans="1:15" ht="15" x14ac:dyDescent="0.35">
      <c r="A13" s="13" t="s">
        <v>13</v>
      </c>
      <c r="B13" s="5"/>
      <c r="C13" s="5" t="s">
        <v>2</v>
      </c>
      <c r="D13" s="14">
        <f>SUM(D5:D12)</f>
        <v>100000</v>
      </c>
      <c r="E13" s="2"/>
      <c r="F13" s="13" t="s">
        <v>13</v>
      </c>
      <c r="G13" s="5"/>
      <c r="H13" s="5" t="s">
        <v>2</v>
      </c>
      <c r="I13" s="14">
        <f>SUM(I5:I12)</f>
        <v>150000</v>
      </c>
      <c r="J13" s="2"/>
      <c r="K13" s="13" t="s">
        <v>13</v>
      </c>
      <c r="L13" s="5"/>
      <c r="M13" s="4" t="s">
        <v>2</v>
      </c>
      <c r="N13" s="8">
        <f>SUM(N5:N12)</f>
        <v>0</v>
      </c>
      <c r="O13" s="3"/>
    </row>
    <row r="14" spans="1:15" ht="15" x14ac:dyDescent="0.35">
      <c r="A14" s="1" t="s">
        <v>14</v>
      </c>
      <c r="B14" s="2"/>
      <c r="C14" s="2" t="s">
        <v>2</v>
      </c>
      <c r="D14" s="7"/>
      <c r="E14" s="2"/>
      <c r="F14" s="1" t="s">
        <v>14</v>
      </c>
      <c r="G14" s="2"/>
      <c r="H14" s="2" t="s">
        <v>2</v>
      </c>
      <c r="I14" s="7"/>
      <c r="J14" s="2"/>
      <c r="K14" s="1" t="s">
        <v>14</v>
      </c>
      <c r="L14" s="2"/>
      <c r="M14" s="4" t="s">
        <v>2</v>
      </c>
      <c r="N14" s="8"/>
      <c r="O14" s="3"/>
    </row>
    <row r="15" spans="1:15" ht="15" x14ac:dyDescent="0.35">
      <c r="A15" s="1"/>
      <c r="B15" s="2"/>
      <c r="C15" s="15"/>
      <c r="D15" s="2" t="s">
        <v>90</v>
      </c>
      <c r="E15" s="2"/>
      <c r="F15" s="1"/>
      <c r="G15" s="2"/>
      <c r="H15" s="2"/>
      <c r="I15" s="15" t="str">
        <f>D15</f>
        <v>Grogol, 02 Mei   2026</v>
      </c>
      <c r="J15" s="15"/>
      <c r="K15" s="1"/>
      <c r="L15" s="2"/>
      <c r="M15" s="15"/>
      <c r="N15" s="15" t="str">
        <f>I15</f>
        <v>Grogol, 02 Mei   2026</v>
      </c>
      <c r="O15" s="16"/>
    </row>
    <row r="16" spans="1:15" ht="15" x14ac:dyDescent="0.35">
      <c r="A16" s="1"/>
      <c r="B16" s="2"/>
      <c r="C16" s="2"/>
      <c r="D16" s="15" t="s">
        <v>15</v>
      </c>
      <c r="E16" s="15"/>
      <c r="F16" s="1"/>
      <c r="G16" s="2"/>
      <c r="H16" s="2"/>
      <c r="I16" s="15" t="s">
        <v>15</v>
      </c>
      <c r="J16" s="2"/>
      <c r="K16" s="1"/>
      <c r="L16" s="2"/>
      <c r="M16" s="2"/>
      <c r="N16" s="15" t="s">
        <v>15</v>
      </c>
      <c r="O16" s="3"/>
    </row>
    <row r="17" spans="1:15" ht="15" x14ac:dyDescent="0.35">
      <c r="A17" s="1"/>
      <c r="B17" s="2"/>
      <c r="C17" s="2"/>
      <c r="D17" s="15"/>
      <c r="E17" s="2"/>
      <c r="F17" s="1"/>
      <c r="G17" s="2"/>
      <c r="H17" s="2"/>
      <c r="I17" s="15"/>
      <c r="J17" s="2"/>
      <c r="K17" s="1"/>
      <c r="L17" s="2"/>
      <c r="M17" s="2"/>
      <c r="N17" s="15"/>
      <c r="O17" s="3"/>
    </row>
    <row r="18" spans="1:15" ht="15" x14ac:dyDescent="0.35">
      <c r="A18" s="1"/>
      <c r="B18" s="2"/>
      <c r="C18" s="2"/>
      <c r="D18" s="15"/>
      <c r="E18" s="2"/>
      <c r="F18" s="1"/>
      <c r="G18" s="2"/>
      <c r="H18" s="2"/>
      <c r="I18" s="15"/>
      <c r="J18" s="2"/>
      <c r="K18" s="1"/>
      <c r="L18" s="2"/>
      <c r="M18" s="2"/>
      <c r="N18" s="15"/>
      <c r="O18" s="3"/>
    </row>
    <row r="19" spans="1:15" ht="15.6" thickBot="1" x14ac:dyDescent="0.4">
      <c r="A19" s="17"/>
      <c r="B19" s="18"/>
      <c r="C19" s="18"/>
      <c r="D19" s="19" t="s">
        <v>16</v>
      </c>
      <c r="E19" s="18"/>
      <c r="F19" s="17"/>
      <c r="G19" s="18"/>
      <c r="H19" s="18"/>
      <c r="I19" s="19" t="s">
        <v>16</v>
      </c>
      <c r="J19" s="18"/>
      <c r="K19" s="17"/>
      <c r="L19" s="18"/>
      <c r="M19" s="18"/>
      <c r="N19" s="19" t="s">
        <v>16</v>
      </c>
      <c r="O19" s="20"/>
    </row>
    <row r="20" spans="1:15" ht="15" x14ac:dyDescent="0.35">
      <c r="A20" s="46" t="s">
        <v>0</v>
      </c>
      <c r="B20" s="47"/>
      <c r="C20" s="47"/>
      <c r="D20" s="47"/>
      <c r="E20" s="47"/>
      <c r="F20" s="46" t="s">
        <v>0</v>
      </c>
      <c r="G20" s="47"/>
      <c r="H20" s="47"/>
      <c r="I20" s="47"/>
      <c r="J20" s="47"/>
      <c r="K20" s="46" t="s">
        <v>0</v>
      </c>
      <c r="L20" s="47"/>
      <c r="M20" s="47"/>
      <c r="N20" s="47"/>
      <c r="O20" s="48"/>
    </row>
    <row r="21" spans="1:15" ht="15" x14ac:dyDescent="0.35">
      <c r="A21" s="1"/>
      <c r="B21" s="2"/>
      <c r="C21" s="2"/>
      <c r="D21" s="2"/>
      <c r="E21" s="2"/>
      <c r="F21" s="1"/>
      <c r="G21" s="2"/>
      <c r="H21" s="2"/>
      <c r="I21" s="2"/>
      <c r="J21" s="2"/>
      <c r="K21" s="1"/>
      <c r="L21" s="2"/>
      <c r="M21" s="2"/>
      <c r="N21" s="2"/>
      <c r="O21" s="3"/>
    </row>
    <row r="22" spans="1:15" ht="15" x14ac:dyDescent="0.35">
      <c r="A22" s="1" t="s">
        <v>1</v>
      </c>
      <c r="B22" s="2" t="s">
        <v>2</v>
      </c>
      <c r="C22" s="50" t="s">
        <v>71</v>
      </c>
      <c r="D22" s="50"/>
      <c r="E22" s="4">
        <v>47</v>
      </c>
      <c r="F22" s="1" t="s">
        <v>1</v>
      </c>
      <c r="G22" s="2" t="s">
        <v>2</v>
      </c>
      <c r="H22" s="50" t="s">
        <v>72</v>
      </c>
      <c r="I22" s="50"/>
      <c r="J22" s="4">
        <v>48</v>
      </c>
      <c r="K22" s="1" t="s">
        <v>1</v>
      </c>
      <c r="L22" s="2" t="s">
        <v>2</v>
      </c>
      <c r="M22" s="50" t="s">
        <v>73</v>
      </c>
      <c r="N22" s="50"/>
      <c r="O22" s="6">
        <v>49</v>
      </c>
    </row>
    <row r="23" spans="1:15" ht="15" x14ac:dyDescent="0.35">
      <c r="A23" s="1" t="s">
        <v>4</v>
      </c>
      <c r="B23" s="2"/>
      <c r="C23" s="2" t="s">
        <v>2</v>
      </c>
      <c r="D23" s="2"/>
      <c r="F23" s="1" t="s">
        <v>4</v>
      </c>
      <c r="G23" s="2"/>
      <c r="H23" s="2" t="s">
        <v>2</v>
      </c>
      <c r="I23" s="2"/>
      <c r="J23" s="2"/>
      <c r="K23" s="1" t="s">
        <v>4</v>
      </c>
      <c r="L23" s="2"/>
      <c r="M23" s="2" t="s">
        <v>2</v>
      </c>
      <c r="N23" s="2"/>
      <c r="O23" s="3"/>
    </row>
    <row r="24" spans="1:15" ht="15" x14ac:dyDescent="0.35">
      <c r="A24" s="1" t="s">
        <v>5</v>
      </c>
      <c r="B24" s="2"/>
      <c r="C24" s="2" t="s">
        <v>2</v>
      </c>
      <c r="D24" s="8">
        <f>[1]krnmei!$C$1314</f>
        <v>15000</v>
      </c>
      <c r="E24" s="2"/>
      <c r="F24" s="1" t="s">
        <v>5</v>
      </c>
      <c r="G24" s="2"/>
      <c r="H24" s="2" t="s">
        <v>2</v>
      </c>
      <c r="I24" s="8">
        <f>[1]krnmei!$C$1331</f>
        <v>15000</v>
      </c>
      <c r="J24" s="2"/>
      <c r="K24" s="1" t="s">
        <v>5</v>
      </c>
      <c r="L24" s="2"/>
      <c r="M24" s="2" t="s">
        <v>2</v>
      </c>
      <c r="N24" s="8">
        <f>[1]krnmei!$C$1348</f>
        <v>15000</v>
      </c>
      <c r="O24" s="3"/>
    </row>
    <row r="25" spans="1:15" ht="15" x14ac:dyDescent="0.35">
      <c r="A25" s="1" t="s">
        <v>6</v>
      </c>
      <c r="B25" s="2"/>
      <c r="C25" s="2" t="s">
        <v>2</v>
      </c>
      <c r="D25" s="8">
        <f>[1]krnmei!$D$1314</f>
        <v>20000</v>
      </c>
      <c r="E25" s="2"/>
      <c r="F25" s="1" t="s">
        <v>6</v>
      </c>
      <c r="G25" s="2"/>
      <c r="H25" s="2" t="s">
        <v>2</v>
      </c>
      <c r="I25" s="8">
        <f>[1]krnmei!$D$1331</f>
        <v>20000</v>
      </c>
      <c r="J25" s="2"/>
      <c r="K25" s="1" t="s">
        <v>6</v>
      </c>
      <c r="L25" s="2"/>
      <c r="M25" s="2" t="s">
        <v>2</v>
      </c>
      <c r="N25" s="8">
        <f>[1]krnmei!$D$1348</f>
        <v>20000</v>
      </c>
      <c r="O25" s="3"/>
    </row>
    <row r="26" spans="1:15" ht="15" x14ac:dyDescent="0.35">
      <c r="A26" s="1" t="s">
        <v>7</v>
      </c>
      <c r="B26" s="2"/>
      <c r="C26" s="2" t="s">
        <v>2</v>
      </c>
      <c r="D26" s="8">
        <f>[1]krnmei!$E$1314</f>
        <v>50000</v>
      </c>
      <c r="E26" s="2"/>
      <c r="F26" s="1" t="s">
        <v>7</v>
      </c>
      <c r="G26" s="2"/>
      <c r="H26" s="2" t="s">
        <v>2</v>
      </c>
      <c r="I26" s="8">
        <f>[1]krnmei!$E$1331</f>
        <v>50000</v>
      </c>
      <c r="J26" s="2"/>
      <c r="K26" s="1" t="s">
        <v>7</v>
      </c>
      <c r="L26" s="2"/>
      <c r="M26" s="2" t="s">
        <v>2</v>
      </c>
      <c r="N26" s="8">
        <f>[1]krnmei!$E$1348</f>
        <v>50000</v>
      </c>
      <c r="O26" s="3"/>
    </row>
    <row r="27" spans="1:15" ht="15" x14ac:dyDescent="0.35">
      <c r="A27" s="1" t="s">
        <v>8</v>
      </c>
      <c r="B27" s="21"/>
      <c r="C27" s="2" t="s">
        <v>2</v>
      </c>
      <c r="D27" s="22">
        <v>0</v>
      </c>
      <c r="E27" s="2"/>
      <c r="F27" s="1" t="s">
        <v>8</v>
      </c>
      <c r="G27" s="2"/>
      <c r="H27" s="2" t="s">
        <v>2</v>
      </c>
      <c r="I27" s="8">
        <v>0</v>
      </c>
      <c r="J27" s="2"/>
      <c r="K27" s="1" t="s">
        <v>8</v>
      </c>
      <c r="L27" s="2"/>
      <c r="M27" s="2" t="s">
        <v>2</v>
      </c>
      <c r="N27" s="8">
        <v>0</v>
      </c>
      <c r="O27" s="3"/>
    </row>
    <row r="28" spans="1:15" ht="15" x14ac:dyDescent="0.35">
      <c r="A28" s="1" t="s">
        <v>9</v>
      </c>
      <c r="B28" s="2"/>
      <c r="C28" s="2" t="s">
        <v>2</v>
      </c>
      <c r="D28" s="8">
        <v>0</v>
      </c>
      <c r="E28" s="2"/>
      <c r="F28" s="1" t="s">
        <v>9</v>
      </c>
      <c r="G28" s="2"/>
      <c r="H28" s="2" t="s">
        <v>2</v>
      </c>
      <c r="I28" s="23">
        <v>0</v>
      </c>
      <c r="J28" s="2"/>
      <c r="K28" s="1" t="s">
        <v>9</v>
      </c>
      <c r="L28" s="2"/>
      <c r="M28" s="2" t="s">
        <v>2</v>
      </c>
      <c r="N28" s="8">
        <v>0</v>
      </c>
      <c r="O28" s="3"/>
    </row>
    <row r="29" spans="1:15" ht="15" x14ac:dyDescent="0.35">
      <c r="A29" s="1" t="s">
        <v>10</v>
      </c>
      <c r="B29" s="2">
        <v>0</v>
      </c>
      <c r="C29" s="2" t="s">
        <v>2</v>
      </c>
      <c r="D29" s="8">
        <v>0</v>
      </c>
      <c r="E29" s="2"/>
      <c r="F29" s="1" t="s">
        <v>10</v>
      </c>
      <c r="G29" s="2"/>
      <c r="H29" s="2" t="s">
        <v>2</v>
      </c>
      <c r="I29" s="8">
        <v>0</v>
      </c>
      <c r="J29" s="2"/>
      <c r="K29" s="1" t="s">
        <v>10</v>
      </c>
      <c r="L29" s="2"/>
      <c r="M29" s="2" t="s">
        <v>2</v>
      </c>
      <c r="N29" s="8">
        <v>0</v>
      </c>
      <c r="O29" s="3"/>
    </row>
    <row r="30" spans="1:15" ht="15" x14ac:dyDescent="0.35">
      <c r="A30" s="1" t="s">
        <v>11</v>
      </c>
      <c r="B30" s="2"/>
      <c r="C30" s="2" t="s">
        <v>2</v>
      </c>
      <c r="D30" s="8">
        <v>0</v>
      </c>
      <c r="E30" s="2"/>
      <c r="F30" s="1" t="s">
        <v>11</v>
      </c>
      <c r="G30" s="2"/>
      <c r="H30" s="2" t="s">
        <v>2</v>
      </c>
      <c r="I30" s="8">
        <v>0</v>
      </c>
      <c r="J30" s="2"/>
      <c r="K30" s="1" t="s">
        <v>11</v>
      </c>
      <c r="L30" s="2"/>
      <c r="M30" s="2" t="s">
        <v>2</v>
      </c>
      <c r="N30" s="9">
        <v>0</v>
      </c>
      <c r="O30" s="3"/>
    </row>
    <row r="31" spans="1:15" ht="15" x14ac:dyDescent="0.35">
      <c r="A31" s="1" t="s">
        <v>12</v>
      </c>
      <c r="B31" s="2"/>
      <c r="C31" s="2" t="s">
        <v>2</v>
      </c>
      <c r="D31" s="8">
        <f>[1]krnmei!$F$1314</f>
        <v>15000</v>
      </c>
      <c r="E31" s="2"/>
      <c r="F31" s="1" t="s">
        <v>12</v>
      </c>
      <c r="G31" s="2"/>
      <c r="H31" s="2" t="s">
        <v>2</v>
      </c>
      <c r="I31" s="8">
        <f>[1]krnmei!$F$1331</f>
        <v>15000</v>
      </c>
      <c r="J31" s="2"/>
      <c r="K31" s="1" t="s">
        <v>12</v>
      </c>
      <c r="L31" s="2"/>
      <c r="M31" s="2" t="s">
        <v>2</v>
      </c>
      <c r="N31" s="8">
        <f>[1]krnmei!$F$1348</f>
        <v>15000</v>
      </c>
      <c r="O31" s="3"/>
    </row>
    <row r="32" spans="1:15" ht="15" x14ac:dyDescent="0.35">
      <c r="A32" s="13" t="s">
        <v>13</v>
      </c>
      <c r="B32" s="5"/>
      <c r="C32" s="5" t="s">
        <v>2</v>
      </c>
      <c r="D32" s="8">
        <f>SUM(D24:D31)</f>
        <v>100000</v>
      </c>
      <c r="E32" s="2"/>
      <c r="F32" s="13" t="s">
        <v>13</v>
      </c>
      <c r="G32" s="5"/>
      <c r="H32" s="5" t="s">
        <v>2</v>
      </c>
      <c r="I32" s="24">
        <f>SUM(I24:I31)</f>
        <v>100000</v>
      </c>
      <c r="J32" s="2"/>
      <c r="K32" s="13" t="s">
        <v>13</v>
      </c>
      <c r="L32" s="5"/>
      <c r="M32" s="5" t="s">
        <v>2</v>
      </c>
      <c r="N32" s="24">
        <f>SUM(N24:N31)</f>
        <v>100000</v>
      </c>
      <c r="O32" s="3"/>
    </row>
    <row r="33" spans="1:15" ht="15" x14ac:dyDescent="0.35">
      <c r="A33" s="1" t="s">
        <v>14</v>
      </c>
      <c r="B33" s="2"/>
      <c r="C33" s="2" t="s">
        <v>2</v>
      </c>
      <c r="D33" s="8">
        <v>0</v>
      </c>
      <c r="E33" s="2"/>
      <c r="F33" s="1" t="s">
        <v>14</v>
      </c>
      <c r="G33" s="2"/>
      <c r="H33" s="2" t="s">
        <v>2</v>
      </c>
      <c r="I33" s="23">
        <f>[9]krnmei!$J$184</f>
        <v>0</v>
      </c>
      <c r="J33" s="2"/>
      <c r="K33" s="1" t="s">
        <v>14</v>
      </c>
      <c r="L33" s="2"/>
      <c r="M33" s="2" t="s">
        <v>2</v>
      </c>
      <c r="N33" s="25">
        <f>0</f>
        <v>0</v>
      </c>
      <c r="O33" s="3"/>
    </row>
    <row r="34" spans="1:15" ht="15" x14ac:dyDescent="0.35">
      <c r="A34" s="1"/>
      <c r="B34" s="2"/>
      <c r="C34" s="15"/>
      <c r="D34" s="15" t="str">
        <f>D15</f>
        <v>Grogol, 02 Mei   2026</v>
      </c>
      <c r="E34" s="2"/>
      <c r="F34" s="1"/>
      <c r="G34" s="2"/>
      <c r="H34" s="15"/>
      <c r="I34" s="15" t="str">
        <f>D34</f>
        <v>Grogol, 02 Mei   2026</v>
      </c>
      <c r="J34" s="15"/>
      <c r="K34" s="1"/>
      <c r="L34" s="2"/>
      <c r="M34" s="15"/>
      <c r="N34" s="15" t="str">
        <f>I34</f>
        <v>Grogol, 02 Mei   2026</v>
      </c>
      <c r="O34" s="16"/>
    </row>
    <row r="35" spans="1:15" ht="15" x14ac:dyDescent="0.35">
      <c r="A35" s="1"/>
      <c r="B35" s="2"/>
      <c r="C35" s="2"/>
      <c r="D35" s="15" t="s">
        <v>15</v>
      </c>
      <c r="E35" s="15"/>
      <c r="F35" s="1"/>
      <c r="G35" s="2"/>
      <c r="H35" s="2"/>
      <c r="I35" s="15" t="s">
        <v>15</v>
      </c>
      <c r="J35" s="2"/>
      <c r="K35" s="1"/>
      <c r="L35" s="2"/>
      <c r="M35" s="2"/>
      <c r="N35" s="15" t="s">
        <v>15</v>
      </c>
      <c r="O35" s="3"/>
    </row>
    <row r="36" spans="1:15" ht="15" x14ac:dyDescent="0.35">
      <c r="A36" s="1"/>
      <c r="B36" s="2"/>
      <c r="C36" s="2"/>
      <c r="D36" s="15"/>
      <c r="E36" s="15"/>
      <c r="F36" s="1"/>
      <c r="G36" s="2"/>
      <c r="H36" s="2"/>
      <c r="I36" s="15"/>
      <c r="J36" s="2"/>
      <c r="K36" s="1"/>
      <c r="L36" s="2"/>
      <c r="M36" s="2"/>
      <c r="N36" s="15"/>
      <c r="O36" s="3"/>
    </row>
    <row r="37" spans="1:15" ht="15" x14ac:dyDescent="0.35">
      <c r="A37" s="1"/>
      <c r="B37" s="2"/>
      <c r="C37" s="2"/>
      <c r="D37" s="15"/>
      <c r="E37" s="2"/>
      <c r="F37" s="1"/>
      <c r="G37" s="2"/>
      <c r="H37" s="2"/>
      <c r="I37" s="15"/>
      <c r="J37" s="2"/>
      <c r="K37" s="1"/>
      <c r="L37" s="2"/>
      <c r="M37" s="2"/>
      <c r="N37" s="15"/>
      <c r="O37" s="3"/>
    </row>
    <row r="38" spans="1:15" ht="15.6" thickBot="1" x14ac:dyDescent="0.4">
      <c r="A38" s="17"/>
      <c r="B38" s="18"/>
      <c r="C38" s="18"/>
      <c r="D38" s="19" t="s">
        <v>16</v>
      </c>
      <c r="E38" s="18"/>
      <c r="F38" s="17"/>
      <c r="G38" s="18"/>
      <c r="H38" s="18"/>
      <c r="I38" s="19" t="s">
        <v>16</v>
      </c>
      <c r="J38" s="18"/>
      <c r="K38" s="17"/>
      <c r="L38" s="18"/>
      <c r="M38" s="18"/>
      <c r="N38" s="19" t="s">
        <v>16</v>
      </c>
      <c r="O38" s="20"/>
    </row>
    <row r="39" spans="1:15" ht="15" x14ac:dyDescent="0.35">
      <c r="A39" s="46" t="s">
        <v>0</v>
      </c>
      <c r="B39" s="47"/>
      <c r="C39" s="47"/>
      <c r="D39" s="47"/>
      <c r="E39" s="47"/>
      <c r="F39" s="46" t="s">
        <v>0</v>
      </c>
      <c r="G39" s="47"/>
      <c r="H39" s="47"/>
      <c r="I39" s="47"/>
      <c r="J39" s="47"/>
      <c r="K39" s="46" t="s">
        <v>0</v>
      </c>
      <c r="L39" s="47"/>
      <c r="M39" s="47"/>
      <c r="N39" s="47"/>
      <c r="O39" s="48"/>
    </row>
    <row r="40" spans="1:15" ht="15" x14ac:dyDescent="0.35">
      <c r="A40" s="1"/>
      <c r="B40" s="2"/>
      <c r="C40" s="2"/>
      <c r="D40" s="2"/>
      <c r="E40" s="2"/>
      <c r="F40" s="1"/>
      <c r="G40" s="2"/>
      <c r="H40" s="2"/>
      <c r="I40" s="2"/>
      <c r="J40" s="2"/>
      <c r="K40" s="1"/>
      <c r="L40" s="2"/>
      <c r="M40" s="2"/>
      <c r="N40" s="2"/>
      <c r="O40" s="3"/>
    </row>
    <row r="41" spans="1:15" ht="15" x14ac:dyDescent="0.35">
      <c r="A41" s="1" t="s">
        <v>1</v>
      </c>
      <c r="B41" s="2" t="s">
        <v>2</v>
      </c>
      <c r="C41" s="50" t="s">
        <v>78</v>
      </c>
      <c r="D41" s="50"/>
      <c r="E41" s="4">
        <v>23</v>
      </c>
      <c r="F41" s="1" t="s">
        <v>1</v>
      </c>
      <c r="G41" s="2" t="s">
        <v>2</v>
      </c>
      <c r="H41" s="50" t="s">
        <v>17</v>
      </c>
      <c r="I41" s="50"/>
      <c r="J41" s="4">
        <v>1</v>
      </c>
      <c r="K41" s="1" t="s">
        <v>1</v>
      </c>
      <c r="L41" s="2" t="s">
        <v>2</v>
      </c>
      <c r="M41" s="50" t="s">
        <v>18</v>
      </c>
      <c r="N41" s="50"/>
      <c r="O41" s="6">
        <v>2</v>
      </c>
    </row>
    <row r="42" spans="1:15" ht="15" x14ac:dyDescent="0.35">
      <c r="A42" s="1" t="s">
        <v>4</v>
      </c>
      <c r="B42" s="2"/>
      <c r="C42" s="2" t="s">
        <v>2</v>
      </c>
      <c r="D42" s="2"/>
      <c r="F42" s="1" t="s">
        <v>4</v>
      </c>
      <c r="G42" s="2"/>
      <c r="H42" s="2" t="s">
        <v>2</v>
      </c>
      <c r="I42" s="2"/>
      <c r="J42" s="2"/>
      <c r="K42" s="1" t="s">
        <v>4</v>
      </c>
      <c r="L42" s="2"/>
      <c r="M42" s="2" t="s">
        <v>2</v>
      </c>
      <c r="N42" s="2"/>
      <c r="O42" s="3"/>
    </row>
    <row r="43" spans="1:15" ht="15" x14ac:dyDescent="0.35">
      <c r="A43" s="1" t="s">
        <v>5</v>
      </c>
      <c r="B43" s="2"/>
      <c r="C43" s="2" t="s">
        <v>2</v>
      </c>
      <c r="D43" s="8">
        <v>100000</v>
      </c>
      <c r="E43" s="2"/>
      <c r="F43" s="1" t="s">
        <v>5</v>
      </c>
      <c r="G43" s="2"/>
      <c r="H43" s="2" t="s">
        <v>2</v>
      </c>
      <c r="I43" s="8">
        <f>'[3]KARNING 2021'!$C$225</f>
        <v>100000</v>
      </c>
      <c r="J43" s="2"/>
      <c r="K43" s="1" t="s">
        <v>5</v>
      </c>
      <c r="L43" s="2"/>
      <c r="M43" s="2" t="s">
        <v>2</v>
      </c>
      <c r="N43" s="8">
        <f>'[3]KARNING 2021'!$C$242</f>
        <v>100000</v>
      </c>
      <c r="O43" s="3"/>
    </row>
    <row r="44" spans="1:15" ht="15" x14ac:dyDescent="0.35">
      <c r="A44" s="1" t="s">
        <v>6</v>
      </c>
      <c r="B44" s="2"/>
      <c r="C44" s="2" t="s">
        <v>2</v>
      </c>
      <c r="D44" s="8">
        <v>25000</v>
      </c>
      <c r="E44" s="2"/>
      <c r="F44" s="1" t="s">
        <v>6</v>
      </c>
      <c r="G44" s="2"/>
      <c r="H44" s="2" t="s">
        <v>2</v>
      </c>
      <c r="I44" s="8">
        <f>'[3]KARNING 2021'!$D$225</f>
        <v>100000</v>
      </c>
      <c r="J44" s="2"/>
      <c r="K44" s="1" t="s">
        <v>6</v>
      </c>
      <c r="L44" s="2"/>
      <c r="M44" s="2" t="s">
        <v>2</v>
      </c>
      <c r="N44" s="8">
        <f>'[3]KARNING 2021'!$D$242</f>
        <v>25000</v>
      </c>
      <c r="O44" s="3"/>
    </row>
    <row r="45" spans="1:15" ht="15" x14ac:dyDescent="0.35">
      <c r="A45" s="1" t="s">
        <v>7</v>
      </c>
      <c r="B45" s="2"/>
      <c r="C45" s="2" t="s">
        <v>2</v>
      </c>
      <c r="D45" s="8">
        <v>50000</v>
      </c>
      <c r="E45" s="2"/>
      <c r="F45" s="1" t="s">
        <v>7</v>
      </c>
      <c r="G45" s="2"/>
      <c r="H45" s="2" t="s">
        <v>2</v>
      </c>
      <c r="I45" s="8">
        <f>[10]krnmei!$E$230</f>
        <v>500000</v>
      </c>
      <c r="J45" s="2"/>
      <c r="K45" s="1" t="s">
        <v>7</v>
      </c>
      <c r="L45" s="2"/>
      <c r="M45" s="2" t="s">
        <v>2</v>
      </c>
      <c r="N45" s="8">
        <f>'[3]KARNING 2021'!$E$242</f>
        <v>150000</v>
      </c>
      <c r="O45" s="3"/>
    </row>
    <row r="46" spans="1:15" ht="15" x14ac:dyDescent="0.35">
      <c r="A46" s="1" t="s">
        <v>8</v>
      </c>
      <c r="B46" s="2">
        <v>3</v>
      </c>
      <c r="C46" s="2" t="s">
        <v>2</v>
      </c>
      <c r="D46" s="8">
        <f>[38]krnmei!$I$23</f>
        <v>1000000</v>
      </c>
      <c r="E46" s="2"/>
      <c r="F46" s="1" t="s">
        <v>8</v>
      </c>
      <c r="G46" s="21">
        <v>0</v>
      </c>
      <c r="H46" s="2" t="s">
        <v>2</v>
      </c>
      <c r="I46" s="25">
        <v>0</v>
      </c>
      <c r="J46" s="2"/>
      <c r="K46" s="1" t="s">
        <v>8</v>
      </c>
      <c r="L46" s="2">
        <v>20</v>
      </c>
      <c r="M46" s="2" t="s">
        <v>2</v>
      </c>
      <c r="N46" s="25">
        <f>[37]krnmei!$I$242</f>
        <v>1200000</v>
      </c>
      <c r="O46" s="3"/>
    </row>
    <row r="47" spans="1:15" ht="15" x14ac:dyDescent="0.35">
      <c r="A47" s="1" t="s">
        <v>9</v>
      </c>
      <c r="B47" s="2"/>
      <c r="C47" s="2" t="s">
        <v>2</v>
      </c>
      <c r="D47" s="8">
        <f>[41]krnmei!$K$25</f>
        <v>270000</v>
      </c>
      <c r="E47" s="2"/>
      <c r="F47" s="1" t="s">
        <v>9</v>
      </c>
      <c r="G47" s="2"/>
      <c r="H47" s="2" t="s">
        <v>2</v>
      </c>
      <c r="I47" s="26">
        <v>0</v>
      </c>
      <c r="J47" s="2"/>
      <c r="K47" s="1" t="s">
        <v>9</v>
      </c>
      <c r="L47" s="2"/>
      <c r="M47" s="2" t="s">
        <v>2</v>
      </c>
      <c r="N47" s="11">
        <f>[41]krnmei!$K$246</f>
        <v>520500</v>
      </c>
      <c r="O47" s="3"/>
    </row>
    <row r="48" spans="1:15" ht="15" x14ac:dyDescent="0.35">
      <c r="A48" s="1" t="s">
        <v>10</v>
      </c>
      <c r="B48" s="2"/>
      <c r="C48" s="2" t="s">
        <v>2</v>
      </c>
      <c r="D48" s="8">
        <v>0</v>
      </c>
      <c r="E48" s="2"/>
      <c r="F48" s="1" t="s">
        <v>10</v>
      </c>
      <c r="G48" s="2"/>
      <c r="H48" s="2" t="s">
        <v>2</v>
      </c>
      <c r="I48" s="8"/>
      <c r="J48" s="2"/>
      <c r="K48" s="1" t="s">
        <v>10</v>
      </c>
      <c r="L48" s="2"/>
      <c r="M48" s="2" t="s">
        <v>2</v>
      </c>
      <c r="N48" s="8">
        <f>[2]krnmei!$L$253</f>
        <v>0</v>
      </c>
      <c r="O48" s="3"/>
    </row>
    <row r="49" spans="1:15" ht="15" x14ac:dyDescent="0.35">
      <c r="A49" s="1" t="s">
        <v>11</v>
      </c>
      <c r="B49" s="2"/>
      <c r="C49" s="2" t="s">
        <v>2</v>
      </c>
      <c r="D49" s="8">
        <v>0</v>
      </c>
      <c r="E49" s="2"/>
      <c r="F49" s="1" t="s">
        <v>11</v>
      </c>
      <c r="G49" s="2"/>
      <c r="H49" s="2" t="s">
        <v>2</v>
      </c>
      <c r="I49" s="8">
        <f>[13]krnmei!$P$231</f>
        <v>0</v>
      </c>
      <c r="J49" s="2"/>
      <c r="K49" s="1" t="s">
        <v>11</v>
      </c>
      <c r="L49" s="2"/>
      <c r="M49" s="2" t="s">
        <v>2</v>
      </c>
      <c r="N49" s="8">
        <f>[14]krnmei!$P$242</f>
        <v>0</v>
      </c>
      <c r="O49" s="3"/>
    </row>
    <row r="50" spans="1:15" ht="15" x14ac:dyDescent="0.35">
      <c r="A50" s="1" t="s">
        <v>12</v>
      </c>
      <c r="B50" s="2"/>
      <c r="C50" s="2" t="s">
        <v>2</v>
      </c>
      <c r="D50" s="8">
        <v>25000</v>
      </c>
      <c r="E50" s="2"/>
      <c r="F50" s="1" t="s">
        <v>12</v>
      </c>
      <c r="G50" s="2"/>
      <c r="H50" s="2" t="s">
        <v>2</v>
      </c>
      <c r="I50" s="8">
        <f>[37]krnmei!$F$225</f>
        <v>500000</v>
      </c>
      <c r="J50" s="2"/>
      <c r="K50" s="1" t="s">
        <v>12</v>
      </c>
      <c r="L50" s="2"/>
      <c r="M50" s="2" t="s">
        <v>2</v>
      </c>
      <c r="N50" s="8">
        <f>'[3]KARNING 2021'!$F$242</f>
        <v>100000</v>
      </c>
      <c r="O50" s="3"/>
    </row>
    <row r="51" spans="1:15" ht="15" x14ac:dyDescent="0.35">
      <c r="A51" s="13" t="s">
        <v>13</v>
      </c>
      <c r="B51" s="5"/>
      <c r="C51" s="5" t="s">
        <v>2</v>
      </c>
      <c r="D51" s="24">
        <f>SUM(D43:D50)</f>
        <v>1470000</v>
      </c>
      <c r="E51" s="2"/>
      <c r="F51" s="13" t="s">
        <v>13</v>
      </c>
      <c r="G51" s="5"/>
      <c r="H51" s="5" t="s">
        <v>2</v>
      </c>
      <c r="I51" s="24">
        <f>SUM(I43:I50)</f>
        <v>1200000</v>
      </c>
      <c r="J51" s="2"/>
      <c r="K51" s="13" t="s">
        <v>13</v>
      </c>
      <c r="L51" s="5"/>
      <c r="M51" s="5" t="s">
        <v>2</v>
      </c>
      <c r="N51" s="24">
        <f>SUM(N43:N50)</f>
        <v>2095500</v>
      </c>
      <c r="O51" s="3"/>
    </row>
    <row r="52" spans="1:15" ht="15" x14ac:dyDescent="0.35">
      <c r="A52" s="1" t="s">
        <v>14</v>
      </c>
      <c r="B52" s="2"/>
      <c r="C52" s="2" t="s">
        <v>2</v>
      </c>
      <c r="D52" s="8">
        <f>[41]krnmei!$J$25</f>
        <v>17000000</v>
      </c>
      <c r="E52" s="2"/>
      <c r="F52" s="1" t="s">
        <v>14</v>
      </c>
      <c r="G52" s="2"/>
      <c r="H52" s="2" t="s">
        <v>2</v>
      </c>
      <c r="I52" s="27">
        <f>[13]krnmei!$O$230</f>
        <v>0</v>
      </c>
      <c r="J52" s="2"/>
      <c r="K52" s="1" t="s">
        <v>14</v>
      </c>
      <c r="L52" s="2"/>
      <c r="M52" s="2" t="s">
        <v>2</v>
      </c>
      <c r="N52" s="27">
        <f>[41]krnmei!$J$246</f>
        <v>33500000</v>
      </c>
      <c r="O52" s="3"/>
    </row>
    <row r="53" spans="1:15" ht="15" x14ac:dyDescent="0.35">
      <c r="A53" s="1"/>
      <c r="B53" s="2"/>
      <c r="C53" s="15"/>
      <c r="D53" s="15" t="str">
        <f>D34</f>
        <v>Grogol, 02 Mei   2026</v>
      </c>
      <c r="E53" s="2"/>
      <c r="F53" s="1"/>
      <c r="G53" s="2"/>
      <c r="H53" s="15"/>
      <c r="I53" s="15" t="str">
        <f>D53</f>
        <v>Grogol, 02 Mei   2026</v>
      </c>
      <c r="J53" s="15"/>
      <c r="K53" s="1"/>
      <c r="L53" s="2"/>
      <c r="M53" s="15"/>
      <c r="N53" s="15" t="str">
        <f>I53</f>
        <v>Grogol, 02 Mei   2026</v>
      </c>
      <c r="O53" s="16"/>
    </row>
    <row r="54" spans="1:15" ht="15" x14ac:dyDescent="0.35">
      <c r="A54" s="1"/>
      <c r="B54" s="2"/>
      <c r="C54" s="2"/>
      <c r="D54" s="15" t="s">
        <v>15</v>
      </c>
      <c r="E54" s="15"/>
      <c r="F54" s="1"/>
      <c r="G54" s="2"/>
      <c r="H54" s="2"/>
      <c r="I54" s="15" t="s">
        <v>15</v>
      </c>
      <c r="J54" s="2"/>
      <c r="K54" s="1"/>
      <c r="L54" s="2"/>
      <c r="M54" s="2"/>
      <c r="N54" s="15" t="s">
        <v>15</v>
      </c>
      <c r="O54" s="3"/>
    </row>
    <row r="55" spans="1:15" ht="15" x14ac:dyDescent="0.35">
      <c r="A55" s="1"/>
      <c r="B55" s="2"/>
      <c r="C55" s="2"/>
      <c r="D55" s="15"/>
      <c r="E55" s="15"/>
      <c r="F55" s="1"/>
      <c r="G55" s="2"/>
      <c r="H55" s="2"/>
      <c r="I55" s="15"/>
      <c r="J55" s="2"/>
      <c r="K55" s="1"/>
      <c r="L55" s="2"/>
      <c r="M55" s="2"/>
      <c r="N55" s="15"/>
      <c r="O55" s="3"/>
    </row>
    <row r="56" spans="1:15" ht="15" x14ac:dyDescent="0.35">
      <c r="A56" s="1"/>
      <c r="B56" s="2"/>
      <c r="C56" s="2"/>
      <c r="D56" s="15"/>
      <c r="E56" s="2"/>
      <c r="F56" s="1"/>
      <c r="G56" s="2"/>
      <c r="H56" s="2"/>
      <c r="I56" s="15"/>
      <c r="J56" s="2"/>
      <c r="K56" s="1"/>
      <c r="L56" s="2"/>
      <c r="M56" s="2"/>
      <c r="N56" s="15"/>
      <c r="O56" s="3"/>
    </row>
    <row r="57" spans="1:15" ht="15.6" thickBot="1" x14ac:dyDescent="0.4">
      <c r="A57" s="17"/>
      <c r="B57" s="18"/>
      <c r="C57" s="18"/>
      <c r="D57" s="19" t="s">
        <v>16</v>
      </c>
      <c r="E57" s="18"/>
      <c r="F57" s="17"/>
      <c r="G57" s="18"/>
      <c r="H57" s="18"/>
      <c r="I57" s="19" t="s">
        <v>16</v>
      </c>
      <c r="J57" s="18"/>
      <c r="K57" s="17"/>
      <c r="L57" s="18"/>
      <c r="M57" s="18"/>
      <c r="N57" s="19" t="s">
        <v>16</v>
      </c>
      <c r="O57" s="20"/>
    </row>
    <row r="58" spans="1:15" ht="15" x14ac:dyDescent="0.35">
      <c r="A58" s="46" t="s">
        <v>0</v>
      </c>
      <c r="B58" s="47"/>
      <c r="C58" s="47"/>
      <c r="D58" s="47"/>
      <c r="E58" s="47"/>
      <c r="F58" s="46" t="s">
        <v>0</v>
      </c>
      <c r="G58" s="47"/>
      <c r="H58" s="47"/>
      <c r="I58" s="47"/>
      <c r="J58" s="47"/>
      <c r="K58" s="46" t="s">
        <v>0</v>
      </c>
      <c r="L58" s="47"/>
      <c r="M58" s="47"/>
      <c r="N58" s="47"/>
      <c r="O58" s="48"/>
    </row>
    <row r="59" spans="1:15" ht="15" x14ac:dyDescent="0.35">
      <c r="A59" s="1"/>
      <c r="B59" s="2"/>
      <c r="C59" s="2"/>
      <c r="D59" s="2"/>
      <c r="E59" s="4"/>
      <c r="F59" s="1"/>
      <c r="G59" s="2"/>
      <c r="H59" s="2"/>
      <c r="I59" s="2"/>
      <c r="J59" s="2"/>
      <c r="K59" s="1"/>
      <c r="L59" s="2"/>
      <c r="M59" s="2"/>
      <c r="N59" s="2"/>
      <c r="O59" s="3"/>
    </row>
    <row r="60" spans="1:15" ht="15" x14ac:dyDescent="0.35">
      <c r="A60" s="1" t="s">
        <v>1</v>
      </c>
      <c r="B60" s="2" t="s">
        <v>2</v>
      </c>
      <c r="C60" s="51" t="s">
        <v>76</v>
      </c>
      <c r="D60" s="51"/>
      <c r="E60" s="4">
        <v>52</v>
      </c>
      <c r="F60" s="1" t="s">
        <v>1</v>
      </c>
      <c r="G60" s="2" t="s">
        <v>2</v>
      </c>
      <c r="H60" s="50" t="s">
        <v>19</v>
      </c>
      <c r="I60" s="50"/>
      <c r="J60" s="4">
        <v>3</v>
      </c>
      <c r="K60" s="1" t="s">
        <v>1</v>
      </c>
      <c r="L60" s="2" t="s">
        <v>2</v>
      </c>
      <c r="M60" s="50" t="s">
        <v>20</v>
      </c>
      <c r="N60" s="50"/>
      <c r="O60" s="6">
        <v>4</v>
      </c>
    </row>
    <row r="61" spans="1:15" ht="15" x14ac:dyDescent="0.35">
      <c r="A61" s="1" t="s">
        <v>4</v>
      </c>
      <c r="B61" s="2"/>
      <c r="C61" s="2" t="s">
        <v>2</v>
      </c>
      <c r="D61" s="2"/>
      <c r="F61" s="1" t="s">
        <v>4</v>
      </c>
      <c r="G61" s="2"/>
      <c r="H61" s="2" t="s">
        <v>2</v>
      </c>
      <c r="I61" s="2"/>
      <c r="J61" s="2"/>
      <c r="K61" s="1" t="s">
        <v>4</v>
      </c>
      <c r="L61" s="2"/>
      <c r="M61" s="2" t="s">
        <v>2</v>
      </c>
      <c r="N61" s="2"/>
      <c r="O61" s="3"/>
    </row>
    <row r="62" spans="1:15" ht="15" x14ac:dyDescent="0.35">
      <c r="A62" s="1" t="s">
        <v>5</v>
      </c>
      <c r="B62" s="2"/>
      <c r="C62" s="2" t="s">
        <v>2</v>
      </c>
      <c r="D62" s="8">
        <f>[16]krnmei!$C$1399</f>
        <v>15000</v>
      </c>
      <c r="E62" s="2"/>
      <c r="F62" s="1" t="s">
        <v>5</v>
      </c>
      <c r="G62" s="2"/>
      <c r="H62" s="2" t="s">
        <v>2</v>
      </c>
      <c r="I62" s="8">
        <f>'[3]KARNING 2021'!$C$276</f>
        <v>100000</v>
      </c>
      <c r="J62" s="2"/>
      <c r="K62" s="1" t="s">
        <v>5</v>
      </c>
      <c r="L62" s="2"/>
      <c r="M62" s="2" t="s">
        <v>2</v>
      </c>
      <c r="N62" s="8">
        <f>'[3]KARNING 2021'!$C$293</f>
        <v>100000</v>
      </c>
      <c r="O62" s="3"/>
    </row>
    <row r="63" spans="1:15" ht="15" x14ac:dyDescent="0.35">
      <c r="A63" s="1" t="s">
        <v>6</v>
      </c>
      <c r="B63" s="2"/>
      <c r="C63" s="2" t="s">
        <v>2</v>
      </c>
      <c r="D63" s="8">
        <f>[16]krnmei!$D$1399</f>
        <v>10000</v>
      </c>
      <c r="E63" s="2"/>
      <c r="F63" s="1" t="s">
        <v>6</v>
      </c>
      <c r="G63" s="2"/>
      <c r="H63" s="2" t="s">
        <v>2</v>
      </c>
      <c r="I63" s="8">
        <f>[17]krnmei!$D$278</f>
        <v>100000</v>
      </c>
      <c r="J63" s="2"/>
      <c r="K63" s="1" t="s">
        <v>6</v>
      </c>
      <c r="L63" s="2"/>
      <c r="M63" s="2" t="s">
        <v>2</v>
      </c>
      <c r="N63" s="8">
        <f>[17]krnmei!$D$295</f>
        <v>100000</v>
      </c>
      <c r="O63" s="3"/>
    </row>
    <row r="64" spans="1:15" ht="15" x14ac:dyDescent="0.35">
      <c r="A64" s="1" t="s">
        <v>7</v>
      </c>
      <c r="B64" s="2"/>
      <c r="C64" s="2" t="s">
        <v>2</v>
      </c>
      <c r="D64" s="8">
        <f>[16]krnmei!$E$1399</f>
        <v>100000</v>
      </c>
      <c r="E64" s="2"/>
      <c r="F64" s="1" t="s">
        <v>7</v>
      </c>
      <c r="G64" s="2"/>
      <c r="H64" s="2" t="s">
        <v>2</v>
      </c>
      <c r="I64" s="8">
        <f>[5]krnmei!$E$280</f>
        <v>500000</v>
      </c>
      <c r="J64" s="2"/>
      <c r="K64" s="1" t="s">
        <v>7</v>
      </c>
      <c r="L64" s="2"/>
      <c r="M64" s="2" t="s">
        <v>2</v>
      </c>
      <c r="N64" s="8">
        <f>[5]krnmei!$E$297</f>
        <v>600000</v>
      </c>
      <c r="O64" s="3"/>
    </row>
    <row r="65" spans="1:15" ht="15" x14ac:dyDescent="0.35">
      <c r="A65" s="1" t="s">
        <v>8</v>
      </c>
      <c r="B65" s="2">
        <v>8</v>
      </c>
      <c r="C65" s="2" t="s">
        <v>2</v>
      </c>
      <c r="D65" s="8">
        <f>[18]krnmei!$I$1407</f>
        <v>1000000</v>
      </c>
      <c r="E65" s="2"/>
      <c r="F65" s="1" t="s">
        <v>8</v>
      </c>
      <c r="G65" s="21">
        <v>46</v>
      </c>
      <c r="H65" s="2" t="s">
        <v>2</v>
      </c>
      <c r="I65" s="8">
        <f>[9]krnmei!$I$286</f>
        <v>500000</v>
      </c>
      <c r="J65" s="2"/>
      <c r="K65" s="1" t="s">
        <v>8</v>
      </c>
      <c r="L65" s="2"/>
      <c r="M65" s="2" t="s">
        <v>2</v>
      </c>
      <c r="N65" s="8">
        <v>0</v>
      </c>
      <c r="O65" s="3"/>
    </row>
    <row r="66" spans="1:15" ht="15" x14ac:dyDescent="0.35">
      <c r="A66" s="1" t="s">
        <v>9</v>
      </c>
      <c r="B66" s="2"/>
      <c r="C66" s="2" t="s">
        <v>2</v>
      </c>
      <c r="D66" s="30">
        <f>[41]krnmei!$K$1402</f>
        <v>45000</v>
      </c>
      <c r="E66" s="2"/>
      <c r="F66" s="1" t="s">
        <v>9</v>
      </c>
      <c r="G66" s="2"/>
      <c r="H66" s="2" t="s">
        <v>2</v>
      </c>
      <c r="I66" s="11">
        <f>[41]krnmei!$K$280</f>
        <v>7500</v>
      </c>
      <c r="J66" s="2"/>
      <c r="K66" s="1" t="s">
        <v>9</v>
      </c>
      <c r="L66" s="2"/>
      <c r="M66" s="2" t="s">
        <v>2</v>
      </c>
      <c r="N66" s="8">
        <f>[4]krnmei!$J$292</f>
        <v>0</v>
      </c>
      <c r="O66" s="3"/>
    </row>
    <row r="67" spans="1:15" ht="15" x14ac:dyDescent="0.35">
      <c r="A67" s="1" t="s">
        <v>10</v>
      </c>
      <c r="B67" s="2"/>
      <c r="C67" s="2" t="s">
        <v>2</v>
      </c>
      <c r="D67" s="8">
        <v>0</v>
      </c>
      <c r="E67" s="2"/>
      <c r="F67" s="1" t="s">
        <v>10</v>
      </c>
      <c r="G67" s="2"/>
      <c r="H67" s="2" t="s">
        <v>2</v>
      </c>
      <c r="I67" s="8">
        <v>0</v>
      </c>
      <c r="J67" s="2"/>
      <c r="K67" s="1" t="s">
        <v>10</v>
      </c>
      <c r="L67" s="2"/>
      <c r="M67" s="2" t="s">
        <v>2</v>
      </c>
      <c r="N67" s="8">
        <v>0</v>
      </c>
      <c r="O67" s="3"/>
    </row>
    <row r="68" spans="1:15" ht="15" x14ac:dyDescent="0.35">
      <c r="A68" s="1" t="s">
        <v>11</v>
      </c>
      <c r="B68" s="2"/>
      <c r="C68" s="2" t="s">
        <v>2</v>
      </c>
      <c r="D68" s="9">
        <v>0</v>
      </c>
      <c r="E68" s="2"/>
      <c r="F68" s="1" t="s">
        <v>11</v>
      </c>
      <c r="G68" s="2"/>
      <c r="H68" s="2" t="s">
        <v>2</v>
      </c>
      <c r="I68" s="9">
        <v>0</v>
      </c>
      <c r="J68" s="2"/>
      <c r="K68" s="1" t="s">
        <v>11</v>
      </c>
      <c r="L68" s="2"/>
      <c r="M68" s="2" t="s">
        <v>2</v>
      </c>
      <c r="N68" s="9">
        <v>0</v>
      </c>
      <c r="O68" s="3"/>
    </row>
    <row r="69" spans="1:15" ht="15" x14ac:dyDescent="0.35">
      <c r="A69" s="1" t="s">
        <v>12</v>
      </c>
      <c r="B69" s="2"/>
      <c r="C69" s="2" t="s">
        <v>2</v>
      </c>
      <c r="D69" s="8">
        <f>[16]krnmei!$F$1399</f>
        <v>50000</v>
      </c>
      <c r="E69" s="2"/>
      <c r="F69" s="1" t="s">
        <v>12</v>
      </c>
      <c r="G69" s="2"/>
      <c r="H69" s="2" t="s">
        <v>2</v>
      </c>
      <c r="I69" s="8">
        <f>'[3]KARNING 2021'!$F$276</f>
        <v>200000</v>
      </c>
      <c r="J69" s="2"/>
      <c r="K69" s="1" t="s">
        <v>12</v>
      </c>
      <c r="L69" s="2"/>
      <c r="M69" s="2" t="s">
        <v>2</v>
      </c>
      <c r="N69" s="8">
        <v>1000000</v>
      </c>
      <c r="O69" s="3"/>
    </row>
    <row r="70" spans="1:15" ht="15" x14ac:dyDescent="0.35">
      <c r="A70" s="13" t="s">
        <v>13</v>
      </c>
      <c r="B70" s="5"/>
      <c r="C70" s="5" t="s">
        <v>2</v>
      </c>
      <c r="D70" s="24">
        <f>SUM(D62:D69)</f>
        <v>1220000</v>
      </c>
      <c r="E70" s="2"/>
      <c r="F70" s="13" t="s">
        <v>13</v>
      </c>
      <c r="G70" s="5"/>
      <c r="H70" s="5" t="s">
        <v>2</v>
      </c>
      <c r="I70" s="8">
        <f>SUM(I62:I69)</f>
        <v>1407500</v>
      </c>
      <c r="J70" s="2"/>
      <c r="K70" s="13" t="s">
        <v>13</v>
      </c>
      <c r="L70" s="5"/>
      <c r="M70" s="5" t="s">
        <v>2</v>
      </c>
      <c r="N70" s="28">
        <f>SUM(N62:N69)</f>
        <v>1800000</v>
      </c>
      <c r="O70" s="3"/>
    </row>
    <row r="71" spans="1:15" ht="15" x14ac:dyDescent="0.35">
      <c r="A71" s="1" t="s">
        <v>14</v>
      </c>
      <c r="B71" s="2"/>
      <c r="C71" s="2" t="s">
        <v>2</v>
      </c>
      <c r="D71" s="8">
        <f>[41]krnmei!$J$1402</f>
        <v>2000000</v>
      </c>
      <c r="E71" s="2"/>
      <c r="F71" s="1" t="s">
        <v>14</v>
      </c>
      <c r="G71" s="2"/>
      <c r="H71" s="2" t="s">
        <v>2</v>
      </c>
      <c r="I71" s="27">
        <f>[41]krnmei!$J$280</f>
        <v>0</v>
      </c>
      <c r="J71" s="2"/>
      <c r="K71" s="1" t="s">
        <v>14</v>
      </c>
      <c r="L71" s="2"/>
      <c r="M71" s="2" t="s">
        <v>2</v>
      </c>
      <c r="N71" s="8">
        <v>0</v>
      </c>
      <c r="O71" s="3"/>
    </row>
    <row r="72" spans="1:15" ht="15" x14ac:dyDescent="0.35">
      <c r="A72" s="1"/>
      <c r="B72" s="2"/>
      <c r="C72" s="15"/>
      <c r="D72" s="15" t="str">
        <f>D53</f>
        <v>Grogol, 02 Mei   2026</v>
      </c>
      <c r="E72" s="2"/>
      <c r="F72" s="1"/>
      <c r="G72" s="2"/>
      <c r="H72" s="15"/>
      <c r="I72" s="15" t="str">
        <f>I53</f>
        <v>Grogol, 02 Mei   2026</v>
      </c>
      <c r="J72" s="15"/>
      <c r="K72" s="1"/>
      <c r="L72" s="2"/>
      <c r="M72" s="15"/>
      <c r="N72" s="15" t="str">
        <f>I72</f>
        <v>Grogol, 02 Mei   2026</v>
      </c>
      <c r="O72" s="16"/>
    </row>
    <row r="73" spans="1:15" ht="15" x14ac:dyDescent="0.35">
      <c r="A73" s="1"/>
      <c r="B73" s="2"/>
      <c r="C73" s="2"/>
      <c r="D73" s="15" t="s">
        <v>15</v>
      </c>
      <c r="E73" s="15"/>
      <c r="F73" s="1"/>
      <c r="G73" s="2"/>
      <c r="H73" s="2"/>
      <c r="I73" s="15" t="s">
        <v>15</v>
      </c>
      <c r="J73" s="2"/>
      <c r="K73" s="1"/>
      <c r="L73" s="2"/>
      <c r="M73" s="2"/>
      <c r="N73" s="15" t="s">
        <v>15</v>
      </c>
      <c r="O73" s="3"/>
    </row>
    <row r="74" spans="1:15" ht="15" x14ac:dyDescent="0.35">
      <c r="A74" s="1"/>
      <c r="B74" s="2"/>
      <c r="C74" s="2"/>
      <c r="D74" s="15"/>
      <c r="E74" s="2"/>
      <c r="F74" s="1"/>
      <c r="G74" s="2"/>
      <c r="H74" s="2"/>
      <c r="I74" s="2"/>
      <c r="J74" s="2"/>
      <c r="K74" s="1"/>
      <c r="L74" s="2"/>
      <c r="M74" s="2"/>
      <c r="N74" s="15"/>
      <c r="O74" s="3"/>
    </row>
    <row r="75" spans="1:15" ht="15" x14ac:dyDescent="0.35">
      <c r="A75" s="1"/>
      <c r="B75" s="2"/>
      <c r="C75" s="2"/>
      <c r="D75" s="15"/>
      <c r="E75" s="2"/>
      <c r="F75" s="1"/>
      <c r="G75" s="2"/>
      <c r="H75" s="2"/>
      <c r="I75" s="15"/>
      <c r="J75" s="2"/>
      <c r="K75" s="1"/>
      <c r="L75" s="2"/>
      <c r="M75" s="2"/>
      <c r="N75" s="15"/>
      <c r="O75" s="3"/>
    </row>
    <row r="76" spans="1:15" ht="15.6" thickBot="1" x14ac:dyDescent="0.4">
      <c r="A76" s="17"/>
      <c r="B76" s="18"/>
      <c r="C76" s="18"/>
      <c r="D76" s="19" t="s">
        <v>16</v>
      </c>
      <c r="E76" s="18"/>
      <c r="F76" s="17"/>
      <c r="G76" s="18"/>
      <c r="H76" s="18"/>
      <c r="I76" s="19" t="s">
        <v>16</v>
      </c>
      <c r="J76" s="18"/>
      <c r="K76" s="17"/>
      <c r="L76" s="18"/>
      <c r="M76" s="18"/>
      <c r="N76" s="19" t="s">
        <v>16</v>
      </c>
      <c r="O76" s="20"/>
    </row>
    <row r="77" spans="1:15" ht="15" x14ac:dyDescent="0.35">
      <c r="A77" s="46" t="s">
        <v>0</v>
      </c>
      <c r="B77" s="47"/>
      <c r="C77" s="47"/>
      <c r="D77" s="47"/>
      <c r="E77" s="47"/>
      <c r="F77" s="46" t="s">
        <v>0</v>
      </c>
      <c r="G77" s="47"/>
      <c r="H77" s="47"/>
      <c r="I77" s="47"/>
      <c r="J77" s="47"/>
      <c r="K77" s="46" t="s">
        <v>0</v>
      </c>
      <c r="L77" s="47"/>
      <c r="M77" s="47"/>
      <c r="N77" s="47"/>
      <c r="O77" s="48"/>
    </row>
    <row r="78" spans="1:15" ht="15" x14ac:dyDescent="0.35">
      <c r="A78" s="1"/>
      <c r="B78" s="2"/>
      <c r="C78" s="2"/>
      <c r="D78" s="2"/>
      <c r="E78" s="2"/>
      <c r="F78" s="1"/>
      <c r="G78" s="2"/>
      <c r="H78" s="2"/>
      <c r="I78" s="2"/>
      <c r="J78" s="2"/>
      <c r="K78" s="1"/>
      <c r="L78" s="2"/>
      <c r="M78" s="2"/>
      <c r="N78" s="2"/>
      <c r="O78" s="3"/>
    </row>
    <row r="79" spans="1:15" ht="15" x14ac:dyDescent="0.35">
      <c r="A79" s="1" t="s">
        <v>1</v>
      </c>
      <c r="B79" s="2" t="s">
        <v>2</v>
      </c>
      <c r="C79" s="51" t="s">
        <v>21</v>
      </c>
      <c r="D79" s="51"/>
      <c r="E79" s="4">
        <v>5</v>
      </c>
      <c r="F79" s="1" t="s">
        <v>1</v>
      </c>
      <c r="G79" s="2" t="s">
        <v>2</v>
      </c>
      <c r="H79" s="50" t="s">
        <v>22</v>
      </c>
      <c r="I79" s="50"/>
      <c r="J79" s="4">
        <v>6</v>
      </c>
      <c r="K79" s="1" t="s">
        <v>1</v>
      </c>
      <c r="L79" s="2" t="s">
        <v>2</v>
      </c>
      <c r="M79" s="50" t="s">
        <v>77</v>
      </c>
      <c r="N79" s="50"/>
      <c r="O79" s="6">
        <v>53</v>
      </c>
    </row>
    <row r="80" spans="1:15" ht="15" x14ac:dyDescent="0.35">
      <c r="A80" s="1" t="s">
        <v>4</v>
      </c>
      <c r="B80" s="2"/>
      <c r="C80" s="2" t="s">
        <v>2</v>
      </c>
      <c r="D80" s="2"/>
      <c r="F80" s="1" t="s">
        <v>4</v>
      </c>
      <c r="G80" s="2"/>
      <c r="H80" s="2" t="s">
        <v>2</v>
      </c>
      <c r="I80" s="2"/>
      <c r="J80" s="2"/>
      <c r="K80" s="1" t="s">
        <v>4</v>
      </c>
      <c r="L80" s="2"/>
      <c r="M80" s="2" t="s">
        <v>2</v>
      </c>
      <c r="N80" s="2"/>
      <c r="O80" s="3"/>
    </row>
    <row r="81" spans="1:15" ht="15" x14ac:dyDescent="0.35">
      <c r="A81" s="1" t="s">
        <v>5</v>
      </c>
      <c r="B81" s="2"/>
      <c r="C81" s="2" t="s">
        <v>2</v>
      </c>
      <c r="D81" s="8">
        <f>'[3]KARNING 2021'!$C$310</f>
        <v>100000</v>
      </c>
      <c r="E81" s="2"/>
      <c r="F81" s="1" t="s">
        <v>5</v>
      </c>
      <c r="G81" s="2"/>
      <c r="H81" s="2" t="s">
        <v>2</v>
      </c>
      <c r="I81" s="8">
        <f>'[3]KARNING 2021'!$C$327</f>
        <v>100000</v>
      </c>
      <c r="J81" s="2"/>
      <c r="K81" s="1" t="s">
        <v>5</v>
      </c>
      <c r="L81" s="2"/>
      <c r="M81" s="2" t="s">
        <v>2</v>
      </c>
      <c r="N81" s="8">
        <f>[16]krnmei!$C$1416</f>
        <v>15000</v>
      </c>
      <c r="O81" s="3"/>
    </row>
    <row r="82" spans="1:15" ht="15" x14ac:dyDescent="0.35">
      <c r="A82" s="1" t="s">
        <v>6</v>
      </c>
      <c r="B82" s="2"/>
      <c r="C82" s="2" t="s">
        <v>2</v>
      </c>
      <c r="D82" s="8">
        <f>'[3]KARNING 2021'!$D$310</f>
        <v>10000</v>
      </c>
      <c r="E82" s="2"/>
      <c r="F82" s="1" t="s">
        <v>6</v>
      </c>
      <c r="G82" s="2"/>
      <c r="H82" s="2" t="s">
        <v>2</v>
      </c>
      <c r="I82" s="8">
        <f>'[3]KARNING 2021'!$D$327</f>
        <v>25000</v>
      </c>
      <c r="J82" s="2"/>
      <c r="K82" s="1" t="s">
        <v>6</v>
      </c>
      <c r="L82" s="2"/>
      <c r="M82" s="2" t="s">
        <v>2</v>
      </c>
      <c r="N82" s="8">
        <f>[16]krnmei!$D$1416</f>
        <v>10000</v>
      </c>
      <c r="O82" s="3"/>
    </row>
    <row r="83" spans="1:15" ht="15" x14ac:dyDescent="0.35">
      <c r="A83" s="1" t="s">
        <v>7</v>
      </c>
      <c r="B83" s="2"/>
      <c r="C83" s="2" t="s">
        <v>2</v>
      </c>
      <c r="D83" s="8">
        <f>'[3]KARNING 2021'!$E$310</f>
        <v>150000</v>
      </c>
      <c r="E83" s="2"/>
      <c r="F83" s="1" t="s">
        <v>23</v>
      </c>
      <c r="G83" s="2"/>
      <c r="H83" s="2" t="s">
        <v>2</v>
      </c>
      <c r="I83" s="8">
        <f>'[3]KARNING 2021'!$E$327</f>
        <v>200000</v>
      </c>
      <c r="J83" s="2"/>
      <c r="K83" s="1" t="s">
        <v>7</v>
      </c>
      <c r="L83" s="2"/>
      <c r="M83" s="2" t="s">
        <v>2</v>
      </c>
      <c r="N83" s="8">
        <f>[16]krnmei!$E$1416</f>
        <v>15000</v>
      </c>
      <c r="O83" s="3"/>
    </row>
    <row r="84" spans="1:15" ht="15" x14ac:dyDescent="0.35">
      <c r="A84" s="1" t="s">
        <v>8</v>
      </c>
      <c r="B84" s="2"/>
      <c r="C84" s="2" t="s">
        <v>2</v>
      </c>
      <c r="D84" s="8">
        <v>0</v>
      </c>
      <c r="E84" s="2"/>
      <c r="F84" s="1" t="s">
        <v>8</v>
      </c>
      <c r="G84" s="21">
        <v>27</v>
      </c>
      <c r="H84" s="2" t="s">
        <v>2</v>
      </c>
      <c r="I84" s="8">
        <f>'[3]KARNING 2021'!$I$327</f>
        <v>250000</v>
      </c>
      <c r="J84" s="2"/>
      <c r="K84" s="1" t="s">
        <v>8</v>
      </c>
      <c r="L84" s="21"/>
      <c r="M84" s="2" t="s">
        <v>2</v>
      </c>
      <c r="N84" s="8">
        <v>0</v>
      </c>
      <c r="O84" s="3"/>
    </row>
    <row r="85" spans="1:15" ht="15" x14ac:dyDescent="0.35">
      <c r="A85" s="1" t="s">
        <v>9</v>
      </c>
      <c r="B85" s="2"/>
      <c r="C85" s="2" t="s">
        <v>2</v>
      </c>
      <c r="D85" s="8">
        <v>0</v>
      </c>
      <c r="E85" s="2"/>
      <c r="F85" s="1" t="s">
        <v>9</v>
      </c>
      <c r="G85" s="2"/>
      <c r="H85" s="2" t="s">
        <v>2</v>
      </c>
      <c r="I85" s="11">
        <f>[41]krnmei!$K$331</f>
        <v>262500</v>
      </c>
      <c r="J85" s="2"/>
      <c r="K85" s="1" t="s">
        <v>9</v>
      </c>
      <c r="L85" s="2"/>
      <c r="M85" s="2" t="s">
        <v>2</v>
      </c>
      <c r="N85" s="11">
        <v>0</v>
      </c>
      <c r="O85" s="3"/>
    </row>
    <row r="86" spans="1:15" ht="15" x14ac:dyDescent="0.35">
      <c r="A86" s="1" t="s">
        <v>10</v>
      </c>
      <c r="B86" s="2"/>
      <c r="C86" s="2" t="s">
        <v>2</v>
      </c>
      <c r="D86" s="8">
        <v>0</v>
      </c>
      <c r="E86" s="2"/>
      <c r="F86" s="1" t="s">
        <v>10</v>
      </c>
      <c r="G86" s="2"/>
      <c r="H86" s="2" t="s">
        <v>2</v>
      </c>
      <c r="I86" s="8">
        <v>0</v>
      </c>
      <c r="J86" s="2"/>
      <c r="K86" s="1" t="s">
        <v>10</v>
      </c>
      <c r="L86" s="2"/>
      <c r="M86" s="2"/>
      <c r="N86" s="8">
        <v>0</v>
      </c>
      <c r="O86" s="3"/>
    </row>
    <row r="87" spans="1:15" ht="15" x14ac:dyDescent="0.35">
      <c r="A87" s="1" t="s">
        <v>11</v>
      </c>
      <c r="B87" s="2"/>
      <c r="C87" s="2" t="s">
        <v>2</v>
      </c>
      <c r="D87" s="41">
        <f>[12]krnmei!$P$321</f>
        <v>240000</v>
      </c>
      <c r="E87" s="2"/>
      <c r="F87" s="1" t="s">
        <v>11</v>
      </c>
      <c r="G87" s="2"/>
      <c r="H87" s="2" t="s">
        <v>2</v>
      </c>
      <c r="I87" s="9">
        <v>0</v>
      </c>
      <c r="J87" s="2"/>
      <c r="K87" s="1" t="s">
        <v>11</v>
      </c>
      <c r="L87" s="2"/>
      <c r="M87" s="2" t="s">
        <v>2</v>
      </c>
      <c r="N87" s="8">
        <v>0</v>
      </c>
      <c r="O87" s="3"/>
    </row>
    <row r="88" spans="1:15" ht="15.6" thickBot="1" x14ac:dyDescent="0.4">
      <c r="A88" s="1" t="s">
        <v>12</v>
      </c>
      <c r="B88" s="2"/>
      <c r="C88" s="2" t="s">
        <v>2</v>
      </c>
      <c r="D88" s="29">
        <f>'[3]KARNING 2021'!$F$310</f>
        <v>100000</v>
      </c>
      <c r="E88" s="2"/>
      <c r="F88" s="1" t="s">
        <v>12</v>
      </c>
      <c r="G88" s="2"/>
      <c r="H88" s="2" t="s">
        <v>2</v>
      </c>
      <c r="I88" s="8">
        <v>0</v>
      </c>
      <c r="J88" s="2"/>
      <c r="K88" s="1" t="s">
        <v>12</v>
      </c>
      <c r="L88" s="2"/>
      <c r="M88" s="2" t="s">
        <v>2</v>
      </c>
      <c r="N88" s="8">
        <f>[16]krnmei!$F$1416</f>
        <v>10000</v>
      </c>
      <c r="O88" s="3"/>
    </row>
    <row r="89" spans="1:15" ht="15.6" thickTop="1" x14ac:dyDescent="0.35">
      <c r="A89" s="13" t="s">
        <v>13</v>
      </c>
      <c r="B89" s="5"/>
      <c r="C89" s="5" t="s">
        <v>2</v>
      </c>
      <c r="D89" s="8">
        <f>SUM(D81:D88)</f>
        <v>600000</v>
      </c>
      <c r="E89" s="2"/>
      <c r="F89" s="13" t="s">
        <v>13</v>
      </c>
      <c r="G89" s="5"/>
      <c r="H89" s="5" t="s">
        <v>2</v>
      </c>
      <c r="I89" s="8">
        <f>SUM(I81:I88)</f>
        <v>837500</v>
      </c>
      <c r="J89" s="2"/>
      <c r="K89" s="13" t="s">
        <v>13</v>
      </c>
      <c r="L89" s="5"/>
      <c r="M89" s="5" t="s">
        <v>2</v>
      </c>
      <c r="N89" s="24">
        <f>SUM(N81:N88)</f>
        <v>50000</v>
      </c>
      <c r="O89" s="3"/>
    </row>
    <row r="90" spans="1:15" ht="15" x14ac:dyDescent="0.35">
      <c r="A90" s="1" t="s">
        <v>14</v>
      </c>
      <c r="B90" s="2"/>
      <c r="C90" s="2" t="s">
        <v>2</v>
      </c>
      <c r="D90" s="30">
        <f>[12]krnmei!$O$321</f>
        <v>12000000</v>
      </c>
      <c r="E90" s="2"/>
      <c r="F90" s="1" t="s">
        <v>14</v>
      </c>
      <c r="G90" s="2"/>
      <c r="H90" s="2" t="s">
        <v>2</v>
      </c>
      <c r="I90" s="27">
        <f>[41]krnmei!$J$331</f>
        <v>17250000</v>
      </c>
      <c r="J90" s="2"/>
      <c r="K90" s="1" t="s">
        <v>14</v>
      </c>
      <c r="L90" s="2"/>
      <c r="M90" s="2" t="s">
        <v>2</v>
      </c>
      <c r="N90" s="27">
        <v>0</v>
      </c>
      <c r="O90" s="3"/>
    </row>
    <row r="91" spans="1:15" ht="15" x14ac:dyDescent="0.35">
      <c r="A91" s="1"/>
      <c r="B91" s="2"/>
      <c r="C91" s="15"/>
      <c r="D91" s="15" t="str">
        <f>D72</f>
        <v>Grogol, 02 Mei   2026</v>
      </c>
      <c r="E91" s="2"/>
      <c r="F91" s="1"/>
      <c r="G91" s="2"/>
      <c r="H91" s="49" t="str">
        <f>D91</f>
        <v>Grogol, 02 Mei   2026</v>
      </c>
      <c r="I91" s="49"/>
      <c r="J91" s="49"/>
      <c r="K91" s="1"/>
      <c r="L91" s="2"/>
      <c r="M91" s="15"/>
      <c r="N91" s="15" t="str">
        <f>H91</f>
        <v>Grogol, 02 Mei   2026</v>
      </c>
      <c r="O91" s="16"/>
    </row>
    <row r="92" spans="1:15" ht="15" x14ac:dyDescent="0.35">
      <c r="A92" s="1"/>
      <c r="B92" s="2"/>
      <c r="C92" s="2"/>
      <c r="D92" s="15" t="s">
        <v>15</v>
      </c>
      <c r="E92" s="15"/>
      <c r="F92" s="1"/>
      <c r="G92" s="2"/>
      <c r="H92" s="2"/>
      <c r="I92" s="15" t="s">
        <v>15</v>
      </c>
      <c r="J92" s="2"/>
      <c r="K92" s="1"/>
      <c r="L92" s="2"/>
      <c r="M92" s="2"/>
      <c r="N92" s="15" t="s">
        <v>15</v>
      </c>
      <c r="O92" s="3"/>
    </row>
    <row r="93" spans="1:15" ht="15" x14ac:dyDescent="0.35">
      <c r="A93" s="1"/>
      <c r="B93" s="2"/>
      <c r="C93" s="2"/>
      <c r="D93" s="15"/>
      <c r="E93" s="2"/>
      <c r="F93" s="1"/>
      <c r="G93" s="2"/>
      <c r="H93" s="2"/>
      <c r="I93" s="2"/>
      <c r="J93" s="2"/>
      <c r="K93" s="1"/>
      <c r="L93" s="2"/>
      <c r="M93" s="2"/>
      <c r="N93" s="15"/>
      <c r="O93" s="3"/>
    </row>
    <row r="94" spans="1:15" ht="15" x14ac:dyDescent="0.35">
      <c r="A94" s="1"/>
      <c r="B94" s="2"/>
      <c r="C94" s="2"/>
      <c r="D94" s="15"/>
      <c r="E94" s="2"/>
      <c r="F94" s="1"/>
      <c r="G94" s="2"/>
      <c r="H94" s="2"/>
      <c r="I94" s="2"/>
      <c r="J94" s="2"/>
      <c r="K94" s="1"/>
      <c r="L94" s="2"/>
      <c r="M94" s="2"/>
      <c r="N94" s="15"/>
      <c r="O94" s="3"/>
    </row>
    <row r="95" spans="1:15" ht="15.6" thickBot="1" x14ac:dyDescent="0.4">
      <c r="A95" s="17"/>
      <c r="B95" s="18"/>
      <c r="C95" s="18"/>
      <c r="D95" s="19" t="s">
        <v>16</v>
      </c>
      <c r="E95" s="18"/>
      <c r="F95" s="17"/>
      <c r="G95" s="18"/>
      <c r="H95" s="18"/>
      <c r="I95" s="19" t="s">
        <v>16</v>
      </c>
      <c r="J95" s="18"/>
      <c r="K95" s="17"/>
      <c r="L95" s="18"/>
      <c r="M95" s="18"/>
      <c r="N95" s="19" t="s">
        <v>16</v>
      </c>
      <c r="O95" s="20"/>
    </row>
    <row r="96" spans="1:15" ht="15" x14ac:dyDescent="0.35">
      <c r="A96" s="46" t="s">
        <v>0</v>
      </c>
      <c r="B96" s="47"/>
      <c r="C96" s="47"/>
      <c r="D96" s="47"/>
      <c r="E96" s="47"/>
      <c r="F96" s="46" t="s">
        <v>0</v>
      </c>
      <c r="G96" s="47"/>
      <c r="H96" s="47"/>
      <c r="I96" s="47"/>
      <c r="J96" s="47"/>
      <c r="K96" s="46" t="s">
        <v>0</v>
      </c>
      <c r="L96" s="47"/>
      <c r="M96" s="47"/>
      <c r="N96" s="47"/>
      <c r="O96" s="48"/>
    </row>
    <row r="97" spans="1:15" ht="15" x14ac:dyDescent="0.35">
      <c r="A97" s="1"/>
      <c r="B97" s="2"/>
      <c r="C97" s="2"/>
      <c r="D97" s="2"/>
      <c r="E97" s="2"/>
      <c r="F97" s="1"/>
      <c r="G97" s="2"/>
      <c r="H97" s="2"/>
      <c r="I97" s="2"/>
      <c r="J97" s="2"/>
      <c r="K97" s="1"/>
      <c r="L97" s="2"/>
      <c r="M97" s="2"/>
      <c r="N97" s="2"/>
      <c r="O97" s="3"/>
    </row>
    <row r="98" spans="1:15" ht="15" x14ac:dyDescent="0.35">
      <c r="A98" s="1" t="s">
        <v>1</v>
      </c>
      <c r="B98" s="2" t="s">
        <v>2</v>
      </c>
      <c r="C98" s="51" t="s">
        <v>24</v>
      </c>
      <c r="D98" s="51"/>
      <c r="E98" s="4">
        <v>7</v>
      </c>
      <c r="F98" s="1" t="s">
        <v>1</v>
      </c>
      <c r="G98" s="2" t="s">
        <v>2</v>
      </c>
      <c r="H98" s="50" t="s">
        <v>25</v>
      </c>
      <c r="I98" s="50"/>
      <c r="J98" s="4">
        <v>8</v>
      </c>
      <c r="K98" s="1" t="s">
        <v>1</v>
      </c>
      <c r="L98" s="2" t="s">
        <v>2</v>
      </c>
      <c r="M98" s="50" t="s">
        <v>26</v>
      </c>
      <c r="N98" s="50"/>
      <c r="O98" s="6">
        <v>9</v>
      </c>
    </row>
    <row r="99" spans="1:15" ht="15" x14ac:dyDescent="0.35">
      <c r="A99" s="1" t="s">
        <v>4</v>
      </c>
      <c r="B99" s="2"/>
      <c r="C99" s="2" t="s">
        <v>2</v>
      </c>
      <c r="D99" s="2"/>
      <c r="F99" s="1" t="s">
        <v>4</v>
      </c>
      <c r="G99" s="2"/>
      <c r="H99" s="2" t="s">
        <v>2</v>
      </c>
      <c r="I99" s="2"/>
      <c r="J99" s="2"/>
      <c r="K99" s="1" t="s">
        <v>4</v>
      </c>
      <c r="L99" s="2"/>
      <c r="M99" s="2" t="s">
        <v>2</v>
      </c>
      <c r="N99" s="2"/>
      <c r="O99" s="3"/>
    </row>
    <row r="100" spans="1:15" ht="15" x14ac:dyDescent="0.35">
      <c r="A100" s="1" t="s">
        <v>5</v>
      </c>
      <c r="B100" s="2"/>
      <c r="C100" s="2" t="s">
        <v>2</v>
      </c>
      <c r="D100" s="8">
        <f>'[3]KARNING 2021'!$C$361</f>
        <v>100000</v>
      </c>
      <c r="E100" s="2"/>
      <c r="F100" s="1" t="s">
        <v>5</v>
      </c>
      <c r="G100" s="2"/>
      <c r="H100" s="2" t="s">
        <v>2</v>
      </c>
      <c r="I100" s="8">
        <f>'[3]KARNING 2021'!$C$378</f>
        <v>100000</v>
      </c>
      <c r="J100" s="2"/>
      <c r="K100" s="1" t="s">
        <v>5</v>
      </c>
      <c r="L100" s="2"/>
      <c r="M100" s="2" t="s">
        <v>2</v>
      </c>
      <c r="N100" s="8">
        <f>'[3]KARNING 2021'!$C$395</f>
        <v>100000</v>
      </c>
      <c r="O100" s="3"/>
    </row>
    <row r="101" spans="1:15" ht="15" x14ac:dyDescent="0.35">
      <c r="A101" s="1" t="s">
        <v>6</v>
      </c>
      <c r="B101" s="2"/>
      <c r="C101" s="2" t="s">
        <v>2</v>
      </c>
      <c r="D101" s="8">
        <v>400000</v>
      </c>
      <c r="E101" s="2"/>
      <c r="F101" s="1" t="s">
        <v>6</v>
      </c>
      <c r="G101" s="2"/>
      <c r="H101" s="2" t="s">
        <v>2</v>
      </c>
      <c r="I101" s="8">
        <f>'[3]KARNING 2021'!$D$378</f>
        <v>5000</v>
      </c>
      <c r="J101" s="2"/>
      <c r="K101" s="1" t="s">
        <v>6</v>
      </c>
      <c r="L101" s="2"/>
      <c r="M101" s="2" t="s">
        <v>2</v>
      </c>
      <c r="N101" s="8">
        <f>'[3]KARNING 2021'!$D$395</f>
        <v>5000</v>
      </c>
      <c r="O101" s="3"/>
    </row>
    <row r="102" spans="1:15" ht="15" x14ac:dyDescent="0.35">
      <c r="A102" s="1" t="s">
        <v>7</v>
      </c>
      <c r="B102" s="2"/>
      <c r="C102" s="2" t="s">
        <v>2</v>
      </c>
      <c r="D102" s="8">
        <f>[19]krnmei!$E$362</f>
        <v>200000</v>
      </c>
      <c r="E102" s="2"/>
      <c r="F102" s="1" t="s">
        <v>7</v>
      </c>
      <c r="G102" s="2"/>
      <c r="H102" s="2" t="s">
        <v>2</v>
      </c>
      <c r="I102" s="8">
        <v>150000</v>
      </c>
      <c r="J102" s="2"/>
      <c r="K102" s="1" t="s">
        <v>7</v>
      </c>
      <c r="L102" s="2"/>
      <c r="M102" s="2" t="s">
        <v>2</v>
      </c>
      <c r="N102" s="8">
        <f>[5]krnmei!$E$399</f>
        <v>200000</v>
      </c>
      <c r="O102" s="3"/>
    </row>
    <row r="103" spans="1:15" ht="15" x14ac:dyDescent="0.35">
      <c r="A103" s="1" t="s">
        <v>8</v>
      </c>
      <c r="B103" s="21">
        <v>22</v>
      </c>
      <c r="C103" s="2" t="s">
        <v>2</v>
      </c>
      <c r="D103" s="25">
        <f>[20]krnmei!$I$368</f>
        <v>500000</v>
      </c>
      <c r="E103" s="2"/>
      <c r="F103" s="1" t="s">
        <v>8</v>
      </c>
      <c r="G103" s="21">
        <v>72</v>
      </c>
      <c r="H103" s="2" t="s">
        <v>2</v>
      </c>
      <c r="I103" s="8">
        <f>[21]krnmei!$I$383</f>
        <v>500000</v>
      </c>
      <c r="J103" s="2"/>
      <c r="K103" s="1" t="s">
        <v>8</v>
      </c>
      <c r="L103" s="21">
        <v>0</v>
      </c>
      <c r="M103" s="2" t="s">
        <v>2</v>
      </c>
      <c r="N103" s="8">
        <f>[41]krnmei!$I$399</f>
        <v>2000000</v>
      </c>
      <c r="O103" s="3"/>
    </row>
    <row r="104" spans="1:15" ht="15" x14ac:dyDescent="0.35">
      <c r="A104" s="1" t="s">
        <v>9</v>
      </c>
      <c r="B104" s="2"/>
      <c r="C104" s="2" t="s">
        <v>2</v>
      </c>
      <c r="D104" s="30">
        <f>[41]krnmei!$K$365</f>
        <v>142500</v>
      </c>
      <c r="E104" s="2"/>
      <c r="F104" s="1" t="s">
        <v>9</v>
      </c>
      <c r="G104" s="2"/>
      <c r="H104" s="2" t="s">
        <v>2</v>
      </c>
      <c r="I104" s="11">
        <f>[41]krnmei!$K$382</f>
        <v>306300</v>
      </c>
      <c r="J104" s="2"/>
      <c r="K104" s="1" t="s">
        <v>9</v>
      </c>
      <c r="L104" s="2"/>
      <c r="M104" s="2" t="s">
        <v>2</v>
      </c>
      <c r="N104" s="11">
        <f>[41]krnmei!$K$399</f>
        <v>30000</v>
      </c>
      <c r="O104" s="3"/>
    </row>
    <row r="105" spans="1:15" ht="15" x14ac:dyDescent="0.35">
      <c r="A105" s="1" t="s">
        <v>10</v>
      </c>
      <c r="B105" s="2"/>
      <c r="C105" s="2" t="s">
        <v>2</v>
      </c>
      <c r="D105" s="8">
        <v>0</v>
      </c>
      <c r="E105" s="2"/>
      <c r="F105" s="1" t="s">
        <v>10</v>
      </c>
      <c r="G105" s="2"/>
      <c r="H105" s="2" t="s">
        <v>2</v>
      </c>
      <c r="I105" s="8"/>
      <c r="J105" s="2"/>
      <c r="K105" s="1" t="s">
        <v>10</v>
      </c>
      <c r="L105" s="2"/>
      <c r="M105" s="2" t="s">
        <v>2</v>
      </c>
      <c r="N105" s="8">
        <v>0</v>
      </c>
      <c r="O105" s="3"/>
    </row>
    <row r="106" spans="1:15" ht="15" x14ac:dyDescent="0.35">
      <c r="A106" s="1" t="s">
        <v>11</v>
      </c>
      <c r="B106" s="2"/>
      <c r="C106" s="2" t="s">
        <v>2</v>
      </c>
      <c r="D106" s="8">
        <f>[41]krnmei!$P$365</f>
        <v>600000</v>
      </c>
      <c r="E106" s="2"/>
      <c r="F106" s="1" t="s">
        <v>11</v>
      </c>
      <c r="G106" s="2"/>
      <c r="H106" s="2" t="s">
        <v>2</v>
      </c>
      <c r="I106" s="8">
        <v>0</v>
      </c>
      <c r="J106" s="2"/>
      <c r="K106" s="1" t="s">
        <v>11</v>
      </c>
      <c r="L106" s="2"/>
      <c r="M106" s="2" t="s">
        <v>2</v>
      </c>
      <c r="N106" s="8">
        <f>[14]krnmei!$P$395</f>
        <v>0</v>
      </c>
      <c r="O106" s="3"/>
    </row>
    <row r="107" spans="1:15" ht="15" x14ac:dyDescent="0.35">
      <c r="A107" s="1" t="s">
        <v>12</v>
      </c>
      <c r="B107" s="2"/>
      <c r="C107" s="2" t="s">
        <v>2</v>
      </c>
      <c r="D107" s="8">
        <v>500000</v>
      </c>
      <c r="E107" s="2"/>
      <c r="F107" s="1" t="s">
        <v>12</v>
      </c>
      <c r="G107" s="2"/>
      <c r="H107" s="2" t="s">
        <v>2</v>
      </c>
      <c r="I107" s="8">
        <f>'[3]KARNING 2021'!$F$378</f>
        <v>100000</v>
      </c>
      <c r="J107" s="2"/>
      <c r="K107" s="1" t="s">
        <v>12</v>
      </c>
      <c r="L107" s="2"/>
      <c r="M107" s="2" t="s">
        <v>2</v>
      </c>
      <c r="N107" s="8">
        <f>[14]krnmei!$F$395</f>
        <v>200000</v>
      </c>
      <c r="O107" s="3"/>
    </row>
    <row r="108" spans="1:15" ht="15" x14ac:dyDescent="0.35">
      <c r="A108" s="13" t="s">
        <v>13</v>
      </c>
      <c r="B108" s="5"/>
      <c r="C108" s="5" t="s">
        <v>2</v>
      </c>
      <c r="D108" s="8">
        <f>SUM(D100:D107)</f>
        <v>2442500</v>
      </c>
      <c r="E108" s="2"/>
      <c r="F108" s="13" t="s">
        <v>13</v>
      </c>
      <c r="G108" s="5"/>
      <c r="H108" s="5" t="s">
        <v>2</v>
      </c>
      <c r="I108" s="24">
        <f>SUM(I100:I107)</f>
        <v>1161300</v>
      </c>
      <c r="J108" s="2"/>
      <c r="K108" s="13" t="s">
        <v>13</v>
      </c>
      <c r="L108" s="5"/>
      <c r="M108" s="5" t="s">
        <v>2</v>
      </c>
      <c r="N108" s="8">
        <f>SUM(N100:N107)</f>
        <v>2535000</v>
      </c>
      <c r="O108" s="3"/>
    </row>
    <row r="109" spans="1:15" ht="15" x14ac:dyDescent="0.35">
      <c r="A109" s="1" t="s">
        <v>14</v>
      </c>
      <c r="B109" s="2"/>
      <c r="C109" s="2" t="s">
        <v>2</v>
      </c>
      <c r="D109" s="30">
        <f>[41]krnmei!$J$365+30000000</f>
        <v>39000000</v>
      </c>
      <c r="E109" s="2"/>
      <c r="F109" s="1" t="s">
        <v>14</v>
      </c>
      <c r="G109" s="2"/>
      <c r="H109" s="2" t="s">
        <v>2</v>
      </c>
      <c r="I109" s="27">
        <f>[41]krnmei!$J$382</f>
        <v>19920000</v>
      </c>
      <c r="J109" s="2"/>
      <c r="K109" s="1" t="s">
        <v>14</v>
      </c>
      <c r="L109" s="2"/>
      <c r="M109" s="2" t="s">
        <v>2</v>
      </c>
      <c r="N109" s="27">
        <f>[41]krnmei!$J$399</f>
        <v>0</v>
      </c>
      <c r="O109" s="3"/>
    </row>
    <row r="110" spans="1:15" ht="15" x14ac:dyDescent="0.35">
      <c r="A110" s="1"/>
      <c r="B110" s="2"/>
      <c r="C110" s="15"/>
      <c r="D110" s="15" t="str">
        <f>D91</f>
        <v>Grogol, 02 Mei   2026</v>
      </c>
      <c r="E110" s="2"/>
      <c r="F110" s="1"/>
      <c r="G110" s="2"/>
      <c r="H110" s="15"/>
      <c r="I110" s="15" t="str">
        <f>D110</f>
        <v>Grogol, 02 Mei   2026</v>
      </c>
      <c r="J110" s="15"/>
      <c r="K110" s="1"/>
      <c r="L110" s="2"/>
      <c r="M110" s="15"/>
      <c r="N110" s="15" t="str">
        <f>I110</f>
        <v>Grogol, 02 Mei   2026</v>
      </c>
      <c r="O110" s="16"/>
    </row>
    <row r="111" spans="1:15" ht="15" x14ac:dyDescent="0.35">
      <c r="A111" s="1"/>
      <c r="B111" s="2"/>
      <c r="C111" s="2"/>
      <c r="D111" s="15" t="s">
        <v>15</v>
      </c>
      <c r="E111" s="15"/>
      <c r="F111" s="1"/>
      <c r="G111" s="2"/>
      <c r="H111" s="2"/>
      <c r="I111" s="15" t="s">
        <v>15</v>
      </c>
      <c r="J111" s="2"/>
      <c r="K111" s="1"/>
      <c r="L111" s="2"/>
      <c r="M111" s="2"/>
      <c r="N111" s="15" t="s">
        <v>15</v>
      </c>
      <c r="O111" s="3"/>
    </row>
    <row r="112" spans="1:15" ht="15" x14ac:dyDescent="0.35">
      <c r="A112" s="1"/>
      <c r="B112" s="2"/>
      <c r="C112" s="2"/>
      <c r="D112" s="15"/>
      <c r="E112" s="2"/>
      <c r="F112" s="1"/>
      <c r="G112" s="2"/>
      <c r="H112" s="2"/>
      <c r="I112" s="15"/>
      <c r="J112" s="2"/>
      <c r="K112" s="1"/>
      <c r="L112" s="2"/>
      <c r="M112" s="2"/>
      <c r="N112" s="15"/>
      <c r="O112" s="3"/>
    </row>
    <row r="113" spans="1:15" ht="15" x14ac:dyDescent="0.35">
      <c r="A113" s="1"/>
      <c r="B113" s="2"/>
      <c r="C113" s="2"/>
      <c r="D113" s="15"/>
      <c r="E113" s="2"/>
      <c r="F113" s="1"/>
      <c r="G113" s="2"/>
      <c r="H113" s="2"/>
      <c r="I113" s="15"/>
      <c r="J113" s="2"/>
      <c r="K113" s="1"/>
      <c r="L113" s="2"/>
      <c r="M113" s="2"/>
      <c r="N113" s="15"/>
      <c r="O113" s="3"/>
    </row>
    <row r="114" spans="1:15" ht="15.6" thickBot="1" x14ac:dyDescent="0.4">
      <c r="A114" s="17"/>
      <c r="B114" s="18"/>
      <c r="C114" s="18"/>
      <c r="D114" s="19" t="s">
        <v>16</v>
      </c>
      <c r="E114" s="18"/>
      <c r="F114" s="17"/>
      <c r="G114" s="18"/>
      <c r="H114" s="18"/>
      <c r="I114" s="19" t="s">
        <v>16</v>
      </c>
      <c r="J114" s="18"/>
      <c r="K114" s="17"/>
      <c r="L114" s="18"/>
      <c r="M114" s="18"/>
      <c r="N114" s="19" t="s">
        <v>16</v>
      </c>
      <c r="O114" s="20"/>
    </row>
    <row r="115" spans="1:15" ht="15" x14ac:dyDescent="0.35">
      <c r="A115" s="46" t="s">
        <v>0</v>
      </c>
      <c r="B115" s="47"/>
      <c r="C115" s="47"/>
      <c r="D115" s="47"/>
      <c r="E115" s="47"/>
      <c r="F115" s="46" t="s">
        <v>0</v>
      </c>
      <c r="G115" s="47"/>
      <c r="H115" s="47"/>
      <c r="I115" s="47"/>
      <c r="J115" s="47"/>
      <c r="K115" s="46" t="s">
        <v>0</v>
      </c>
      <c r="L115" s="47"/>
      <c r="M115" s="47"/>
      <c r="N115" s="47"/>
      <c r="O115" s="48"/>
    </row>
    <row r="116" spans="1:15" ht="15" x14ac:dyDescent="0.35">
      <c r="A116" s="1"/>
      <c r="B116" s="2"/>
      <c r="C116" s="2"/>
      <c r="D116" s="2"/>
      <c r="E116" s="2"/>
      <c r="F116" s="1"/>
      <c r="G116" s="2"/>
      <c r="H116" s="2"/>
      <c r="I116" s="2"/>
      <c r="J116" s="2"/>
      <c r="K116" s="1"/>
      <c r="L116" s="2"/>
      <c r="M116" s="2"/>
      <c r="N116" s="2"/>
      <c r="O116" s="3"/>
    </row>
    <row r="117" spans="1:15" ht="15" x14ac:dyDescent="0.35">
      <c r="A117" s="1" t="s">
        <v>1</v>
      </c>
      <c r="B117" s="2" t="s">
        <v>2</v>
      </c>
      <c r="C117" s="50" t="s">
        <v>81</v>
      </c>
      <c r="D117" s="50"/>
      <c r="E117" s="4">
        <v>54</v>
      </c>
      <c r="F117" s="1" t="s">
        <v>1</v>
      </c>
      <c r="G117" s="2" t="s">
        <v>2</v>
      </c>
      <c r="H117" s="50" t="s">
        <v>79</v>
      </c>
      <c r="I117" s="50"/>
      <c r="J117" s="6">
        <v>41</v>
      </c>
      <c r="K117" s="1" t="s">
        <v>1</v>
      </c>
      <c r="L117" s="2" t="s">
        <v>2</v>
      </c>
      <c r="M117" s="50" t="s">
        <v>27</v>
      </c>
      <c r="N117" s="50"/>
      <c r="O117" s="6">
        <v>10</v>
      </c>
    </row>
    <row r="118" spans="1:15" ht="15" x14ac:dyDescent="0.35">
      <c r="A118" s="1" t="s">
        <v>4</v>
      </c>
      <c r="B118" s="2"/>
      <c r="C118" s="2" t="s">
        <v>2</v>
      </c>
      <c r="D118" s="2"/>
      <c r="F118" s="1" t="s">
        <v>4</v>
      </c>
      <c r="G118" s="2"/>
      <c r="H118" s="2" t="s">
        <v>2</v>
      </c>
      <c r="I118" s="2"/>
      <c r="J118" s="2"/>
      <c r="K118" s="1" t="s">
        <v>4</v>
      </c>
      <c r="L118" s="2"/>
      <c r="M118" s="2" t="s">
        <v>2</v>
      </c>
      <c r="N118" s="2"/>
      <c r="O118" s="3"/>
    </row>
    <row r="119" spans="1:15" ht="15" x14ac:dyDescent="0.35">
      <c r="A119" s="1" t="s">
        <v>5</v>
      </c>
      <c r="B119" s="2"/>
      <c r="C119" s="2" t="s">
        <v>2</v>
      </c>
      <c r="D119" s="8">
        <v>15000</v>
      </c>
      <c r="E119" s="2"/>
      <c r="F119" s="1" t="s">
        <v>5</v>
      </c>
      <c r="G119" s="2"/>
      <c r="H119" s="2" t="s">
        <v>2</v>
      </c>
      <c r="I119" s="8">
        <v>100000</v>
      </c>
      <c r="J119" s="2"/>
      <c r="K119" s="1" t="s">
        <v>5</v>
      </c>
      <c r="L119" s="2"/>
      <c r="M119" s="2" t="s">
        <v>2</v>
      </c>
      <c r="N119" s="8">
        <f>'[3]KARNING 2021'!$C$446</f>
        <v>100000</v>
      </c>
      <c r="O119" s="3"/>
    </row>
    <row r="120" spans="1:15" ht="15" x14ac:dyDescent="0.35">
      <c r="A120" s="1" t="s">
        <v>6</v>
      </c>
      <c r="B120" s="2"/>
      <c r="C120" s="2" t="s">
        <v>2</v>
      </c>
      <c r="D120" s="8">
        <v>10000</v>
      </c>
      <c r="E120" s="2"/>
      <c r="F120" s="1" t="s">
        <v>6</v>
      </c>
      <c r="G120" s="2"/>
      <c r="H120" s="2" t="s">
        <v>2</v>
      </c>
      <c r="I120" s="8">
        <v>10000</v>
      </c>
      <c r="J120" s="2"/>
      <c r="K120" s="1" t="s">
        <v>6</v>
      </c>
      <c r="L120" s="2"/>
      <c r="M120" s="2" t="s">
        <v>2</v>
      </c>
      <c r="N120" s="8">
        <f>'[3]KARNING 2021'!$D$446</f>
        <v>50000</v>
      </c>
      <c r="O120" s="3"/>
    </row>
    <row r="121" spans="1:15" ht="15" x14ac:dyDescent="0.35">
      <c r="A121" s="1" t="s">
        <v>7</v>
      </c>
      <c r="B121" s="2"/>
      <c r="C121" s="2" t="s">
        <v>2</v>
      </c>
      <c r="D121" s="8">
        <v>25000</v>
      </c>
      <c r="E121" s="2"/>
      <c r="F121" s="1" t="s">
        <v>7</v>
      </c>
      <c r="G121" s="2"/>
      <c r="H121" s="2" t="s">
        <v>2</v>
      </c>
      <c r="I121" s="8">
        <v>50000</v>
      </c>
      <c r="J121" s="2"/>
      <c r="K121" s="1" t="s">
        <v>7</v>
      </c>
      <c r="L121" s="2"/>
      <c r="M121" s="2" t="s">
        <v>2</v>
      </c>
      <c r="N121" s="8">
        <f>'[3]KARNING 2021'!$E$446</f>
        <v>200000</v>
      </c>
      <c r="O121" s="3"/>
    </row>
    <row r="122" spans="1:15" ht="15" x14ac:dyDescent="0.35">
      <c r="A122" s="1" t="s">
        <v>8</v>
      </c>
      <c r="B122" s="2"/>
      <c r="C122" s="2" t="s">
        <v>2</v>
      </c>
      <c r="D122" s="8"/>
      <c r="E122" s="2"/>
      <c r="F122" s="1" t="s">
        <v>8</v>
      </c>
      <c r="G122" s="2">
        <v>29</v>
      </c>
      <c r="H122" s="2" t="s">
        <v>2</v>
      </c>
      <c r="I122" s="8">
        <v>150000</v>
      </c>
      <c r="J122" s="2"/>
      <c r="K122" s="1" t="s">
        <v>8</v>
      </c>
      <c r="L122" s="21">
        <v>37</v>
      </c>
      <c r="M122" s="2" t="s">
        <v>2</v>
      </c>
      <c r="N122" s="8">
        <f>'[3]KARNING 2021'!$I$446</f>
        <v>500000</v>
      </c>
      <c r="O122" s="3"/>
    </row>
    <row r="123" spans="1:15" ht="15" x14ac:dyDescent="0.35">
      <c r="A123" s="1" t="s">
        <v>9</v>
      </c>
      <c r="B123" s="2"/>
      <c r="C123" s="2" t="s">
        <v>2</v>
      </c>
      <c r="D123" s="30"/>
      <c r="E123" s="2"/>
      <c r="F123" s="1" t="s">
        <v>9</v>
      </c>
      <c r="G123" s="2"/>
      <c r="H123" s="2" t="s">
        <v>2</v>
      </c>
      <c r="I123" s="30">
        <f>[41]krnmei!$K$501</f>
        <v>518565</v>
      </c>
      <c r="J123" s="2"/>
      <c r="K123" s="1" t="s">
        <v>9</v>
      </c>
      <c r="L123" s="2"/>
      <c r="M123" s="2" t="s">
        <v>2</v>
      </c>
      <c r="N123" s="11">
        <f>[41]krnmei!$K$450</f>
        <v>405000</v>
      </c>
      <c r="O123" s="3"/>
    </row>
    <row r="124" spans="1:15" ht="15" x14ac:dyDescent="0.35">
      <c r="A124" s="1" t="s">
        <v>10</v>
      </c>
      <c r="B124" s="2"/>
      <c r="C124" s="2" t="s">
        <v>2</v>
      </c>
      <c r="D124" s="8"/>
      <c r="E124" s="2"/>
      <c r="F124" s="1" t="s">
        <v>10</v>
      </c>
      <c r="G124" s="2"/>
      <c r="H124" s="2" t="s">
        <v>2</v>
      </c>
      <c r="I124" s="8">
        <v>0</v>
      </c>
      <c r="J124" s="2"/>
      <c r="K124" s="1" t="s">
        <v>10</v>
      </c>
      <c r="L124" s="2"/>
      <c r="M124" s="2" t="s">
        <v>2</v>
      </c>
      <c r="N124" s="8"/>
      <c r="O124" s="3"/>
    </row>
    <row r="125" spans="1:15" ht="15" x14ac:dyDescent="0.35">
      <c r="A125" s="1" t="s">
        <v>11</v>
      </c>
      <c r="B125" s="2"/>
      <c r="C125" s="2" t="s">
        <v>2</v>
      </c>
      <c r="D125" s="8"/>
      <c r="E125" s="2"/>
      <c r="F125" s="1" t="s">
        <v>11</v>
      </c>
      <c r="G125" s="2"/>
      <c r="H125" s="2" t="s">
        <v>2</v>
      </c>
      <c r="I125" s="9"/>
      <c r="J125" s="2"/>
      <c r="K125" s="1" t="s">
        <v>11</v>
      </c>
      <c r="L125" s="2"/>
      <c r="M125" s="2" t="s">
        <v>2</v>
      </c>
      <c r="N125" s="9">
        <v>0</v>
      </c>
      <c r="O125" s="3"/>
    </row>
    <row r="126" spans="1:15" ht="15" x14ac:dyDescent="0.35">
      <c r="A126" s="1" t="s">
        <v>12</v>
      </c>
      <c r="B126" s="2"/>
      <c r="C126" s="2" t="s">
        <v>2</v>
      </c>
      <c r="D126" s="8">
        <v>50000</v>
      </c>
      <c r="E126" s="2"/>
      <c r="F126" s="1" t="s">
        <v>12</v>
      </c>
      <c r="G126" s="2"/>
      <c r="H126" s="2" t="s">
        <v>2</v>
      </c>
      <c r="I126" s="8">
        <v>0</v>
      </c>
      <c r="J126" s="2"/>
      <c r="K126" s="1" t="s">
        <v>12</v>
      </c>
      <c r="L126" s="2"/>
      <c r="M126" s="2" t="s">
        <v>2</v>
      </c>
      <c r="N126" s="8">
        <f>'[3]KARNING 2021'!$F$446</f>
        <v>100000</v>
      </c>
      <c r="O126" s="3"/>
    </row>
    <row r="127" spans="1:15" ht="15" x14ac:dyDescent="0.35">
      <c r="A127" s="13" t="s">
        <v>13</v>
      </c>
      <c r="B127" s="5"/>
      <c r="C127" s="5" t="s">
        <v>2</v>
      </c>
      <c r="D127" s="24">
        <f>SUM(D119:D126)</f>
        <v>100000</v>
      </c>
      <c r="E127" s="2"/>
      <c r="F127" s="13" t="s">
        <v>13</v>
      </c>
      <c r="G127" s="5"/>
      <c r="H127" s="5" t="s">
        <v>2</v>
      </c>
      <c r="I127" s="8">
        <f>SUM(I119:I126)</f>
        <v>828565</v>
      </c>
      <c r="J127" s="2"/>
      <c r="K127" s="13" t="s">
        <v>13</v>
      </c>
      <c r="L127" s="5"/>
      <c r="M127" s="5" t="s">
        <v>2</v>
      </c>
      <c r="N127" s="24">
        <f>SUM(N119:N126)</f>
        <v>1355000</v>
      </c>
      <c r="O127" s="3"/>
    </row>
    <row r="128" spans="1:15" ht="15" x14ac:dyDescent="0.35">
      <c r="A128" s="1" t="s">
        <v>14</v>
      </c>
      <c r="B128" s="2"/>
      <c r="C128" s="2" t="s">
        <v>2</v>
      </c>
      <c r="D128" s="31"/>
      <c r="E128" s="2"/>
      <c r="F128" s="1" t="s">
        <v>14</v>
      </c>
      <c r="G128" s="2"/>
      <c r="H128" s="2" t="s">
        <v>2</v>
      </c>
      <c r="I128" s="25">
        <f>[41]krnmei!$J$501</f>
        <v>34421000</v>
      </c>
      <c r="J128" s="2"/>
      <c r="K128" s="1" t="s">
        <v>14</v>
      </c>
      <c r="L128" s="2"/>
      <c r="M128" s="2" t="s">
        <v>2</v>
      </c>
      <c r="N128" s="27">
        <f>[41]krnmei!$J$450</f>
        <v>26500000</v>
      </c>
      <c r="O128" s="3"/>
    </row>
    <row r="129" spans="1:15" ht="15" x14ac:dyDescent="0.35">
      <c r="A129" s="1"/>
      <c r="B129" s="2"/>
      <c r="C129" s="15"/>
      <c r="D129" s="15" t="str">
        <f>D110</f>
        <v>Grogol, 02 Mei   2026</v>
      </c>
      <c r="E129" s="2"/>
      <c r="F129" s="1"/>
      <c r="G129" s="2"/>
      <c r="H129" s="15"/>
      <c r="I129" s="15" t="str">
        <f>D110</f>
        <v>Grogol, 02 Mei   2026</v>
      </c>
      <c r="J129" s="15"/>
      <c r="K129" s="1"/>
      <c r="L129" s="2"/>
      <c r="M129" s="15"/>
      <c r="N129" s="15" t="str">
        <f>D110</f>
        <v>Grogol, 02 Mei   2026</v>
      </c>
      <c r="O129" s="16"/>
    </row>
    <row r="130" spans="1:15" ht="15" x14ac:dyDescent="0.35">
      <c r="A130" s="1"/>
      <c r="B130" s="2"/>
      <c r="C130" s="2"/>
      <c r="D130" s="15" t="s">
        <v>15</v>
      </c>
      <c r="E130" s="15"/>
      <c r="F130" s="1"/>
      <c r="G130" s="2"/>
      <c r="H130" s="2"/>
      <c r="I130" s="15" t="s">
        <v>15</v>
      </c>
      <c r="J130" s="2"/>
      <c r="K130" s="1"/>
      <c r="L130" s="2"/>
      <c r="M130" s="2"/>
      <c r="N130" s="15" t="s">
        <v>15</v>
      </c>
      <c r="O130" s="3"/>
    </row>
    <row r="131" spans="1:15" ht="15" x14ac:dyDescent="0.35">
      <c r="A131" s="1"/>
      <c r="B131" s="2"/>
      <c r="C131" s="2"/>
      <c r="D131" s="15"/>
      <c r="E131" s="2"/>
      <c r="F131" s="1"/>
      <c r="G131" s="2"/>
      <c r="H131" s="2"/>
      <c r="I131" s="15"/>
      <c r="J131" s="2"/>
      <c r="K131" s="1"/>
      <c r="L131" s="2"/>
      <c r="M131" s="2"/>
      <c r="N131" s="15"/>
      <c r="O131" s="3"/>
    </row>
    <row r="132" spans="1:15" ht="15" x14ac:dyDescent="0.35">
      <c r="A132" s="1"/>
      <c r="B132" s="2"/>
      <c r="C132" s="2"/>
      <c r="D132" s="15"/>
      <c r="E132" s="2"/>
      <c r="F132" s="1"/>
      <c r="G132" s="2"/>
      <c r="H132" s="2"/>
      <c r="I132" s="15"/>
      <c r="J132" s="2"/>
      <c r="K132" s="1"/>
      <c r="L132" s="2"/>
      <c r="M132" s="2"/>
      <c r="N132" s="15"/>
      <c r="O132" s="3"/>
    </row>
    <row r="133" spans="1:15" ht="15.6" thickBot="1" x14ac:dyDescent="0.4">
      <c r="A133" s="17"/>
      <c r="B133" s="18"/>
      <c r="C133" s="18"/>
      <c r="D133" s="19" t="s">
        <v>16</v>
      </c>
      <c r="E133" s="18"/>
      <c r="F133" s="17"/>
      <c r="G133" s="18"/>
      <c r="H133" s="18"/>
      <c r="I133" s="19" t="s">
        <v>16</v>
      </c>
      <c r="J133" s="18"/>
      <c r="K133" s="17"/>
      <c r="L133" s="18"/>
      <c r="M133" s="18"/>
      <c r="N133" s="19" t="s">
        <v>16</v>
      </c>
      <c r="O133" s="20"/>
    </row>
    <row r="134" spans="1:15" ht="15" x14ac:dyDescent="0.35">
      <c r="A134" s="46" t="s">
        <v>0</v>
      </c>
      <c r="B134" s="47"/>
      <c r="C134" s="47"/>
      <c r="D134" s="47"/>
      <c r="E134" s="47"/>
      <c r="F134" s="46" t="s">
        <v>0</v>
      </c>
      <c r="G134" s="47"/>
      <c r="H134" s="47"/>
      <c r="I134" s="47"/>
      <c r="J134" s="47"/>
      <c r="K134" s="46" t="s">
        <v>0</v>
      </c>
      <c r="L134" s="47"/>
      <c r="M134" s="47"/>
      <c r="N134" s="47"/>
      <c r="O134" s="48"/>
    </row>
    <row r="135" spans="1:15" ht="15" x14ac:dyDescent="0.35">
      <c r="A135" s="1"/>
      <c r="B135" s="2"/>
      <c r="C135" s="2"/>
      <c r="D135" s="2"/>
      <c r="E135" s="2"/>
      <c r="F135" s="1"/>
      <c r="G135" s="2"/>
      <c r="H135" s="2"/>
      <c r="I135" s="2"/>
      <c r="J135" s="2"/>
      <c r="K135" s="1"/>
      <c r="L135" s="2"/>
      <c r="M135" s="2"/>
      <c r="N135" s="2"/>
      <c r="O135" s="3"/>
    </row>
    <row r="136" spans="1:15" ht="15" x14ac:dyDescent="0.35">
      <c r="A136" s="1" t="s">
        <v>1</v>
      </c>
      <c r="B136" s="2" t="s">
        <v>2</v>
      </c>
      <c r="C136" s="2"/>
      <c r="D136" s="5"/>
      <c r="E136" s="4"/>
      <c r="F136" s="1" t="s">
        <v>1</v>
      </c>
      <c r="G136" s="2" t="s">
        <v>2</v>
      </c>
      <c r="H136" s="51"/>
      <c r="I136" s="51"/>
      <c r="J136" s="4"/>
      <c r="K136" s="1"/>
      <c r="L136" s="2"/>
      <c r="M136" s="50"/>
      <c r="N136" s="50"/>
      <c r="O136" s="6"/>
    </row>
    <row r="137" spans="1:15" ht="15" x14ac:dyDescent="0.35">
      <c r="A137" s="1" t="s">
        <v>4</v>
      </c>
      <c r="B137" s="2"/>
      <c r="C137" s="2" t="s">
        <v>2</v>
      </c>
      <c r="D137" s="9"/>
      <c r="E137" s="2"/>
      <c r="F137" s="1" t="s">
        <v>4</v>
      </c>
      <c r="G137" s="2"/>
      <c r="H137" s="2"/>
      <c r="I137" s="2"/>
      <c r="J137" s="2"/>
      <c r="K137" s="1"/>
      <c r="L137" s="2"/>
      <c r="M137" s="2"/>
      <c r="N137" s="2"/>
      <c r="O137" s="3"/>
    </row>
    <row r="138" spans="1:15" ht="15" x14ac:dyDescent="0.35">
      <c r="A138" s="1" t="s">
        <v>5</v>
      </c>
      <c r="B138" s="2"/>
      <c r="C138" s="2" t="s">
        <v>2</v>
      </c>
      <c r="D138" s="8">
        <v>0</v>
      </c>
      <c r="E138" s="2"/>
      <c r="F138" s="1" t="s">
        <v>5</v>
      </c>
      <c r="G138" s="2"/>
      <c r="H138" s="2"/>
      <c r="I138" s="8"/>
      <c r="J138" s="2"/>
      <c r="K138" s="1"/>
      <c r="L138" s="2"/>
      <c r="M138" s="2"/>
      <c r="N138" s="25"/>
      <c r="O138" s="3"/>
    </row>
    <row r="139" spans="1:15" ht="15" x14ac:dyDescent="0.35">
      <c r="A139" s="1" t="s">
        <v>6</v>
      </c>
      <c r="B139" s="2"/>
      <c r="C139" s="2" t="s">
        <v>2</v>
      </c>
      <c r="D139" s="8">
        <v>0</v>
      </c>
      <c r="E139" s="2"/>
      <c r="F139" s="1" t="s">
        <v>6</v>
      </c>
      <c r="G139" s="2"/>
      <c r="H139" s="2"/>
      <c r="I139" s="8"/>
      <c r="J139" s="2"/>
      <c r="K139" s="1"/>
      <c r="L139" s="2"/>
      <c r="M139" s="2"/>
      <c r="N139" s="25"/>
      <c r="O139" s="3"/>
    </row>
    <row r="140" spans="1:15" ht="15" x14ac:dyDescent="0.35">
      <c r="A140" s="1" t="s">
        <v>7</v>
      </c>
      <c r="B140" s="2"/>
      <c r="C140" s="2" t="s">
        <v>2</v>
      </c>
      <c r="D140" s="8">
        <v>0</v>
      </c>
      <c r="E140" s="2"/>
      <c r="F140" s="1" t="s">
        <v>7</v>
      </c>
      <c r="G140" s="2"/>
      <c r="H140" s="2"/>
      <c r="I140" s="8"/>
      <c r="J140" s="2"/>
      <c r="K140" s="1"/>
      <c r="L140" s="2"/>
      <c r="M140" s="2"/>
      <c r="N140" s="25"/>
      <c r="O140" s="3"/>
    </row>
    <row r="141" spans="1:15" ht="15" x14ac:dyDescent="0.35">
      <c r="A141" s="1" t="s">
        <v>8</v>
      </c>
      <c r="B141" s="21">
        <v>0</v>
      </c>
      <c r="C141" s="2" t="s">
        <v>2</v>
      </c>
      <c r="D141" s="22">
        <v>0</v>
      </c>
      <c r="E141" s="2"/>
      <c r="F141" s="1" t="s">
        <v>8</v>
      </c>
      <c r="G141" s="2">
        <v>0</v>
      </c>
      <c r="H141" s="2"/>
      <c r="I141" s="8"/>
      <c r="J141" s="2"/>
      <c r="K141" s="1"/>
      <c r="L141" s="21"/>
      <c r="M141" s="2"/>
      <c r="N141" s="40"/>
      <c r="O141" s="3"/>
    </row>
    <row r="142" spans="1:15" ht="15" x14ac:dyDescent="0.35">
      <c r="A142" s="1" t="s">
        <v>9</v>
      </c>
      <c r="B142" s="2"/>
      <c r="C142" s="2" t="s">
        <v>2</v>
      </c>
      <c r="D142" s="11">
        <v>0</v>
      </c>
      <c r="E142" s="2"/>
      <c r="F142" s="1" t="s">
        <v>9</v>
      </c>
      <c r="G142" s="2"/>
      <c r="H142" s="2"/>
      <c r="I142" s="8"/>
      <c r="J142" s="2"/>
      <c r="K142" s="1"/>
      <c r="L142" s="2"/>
      <c r="M142" s="2"/>
      <c r="N142" s="11"/>
      <c r="O142" s="3"/>
    </row>
    <row r="143" spans="1:15" ht="15" x14ac:dyDescent="0.35">
      <c r="A143" s="1" t="s">
        <v>10</v>
      </c>
      <c r="B143" s="2">
        <v>0</v>
      </c>
      <c r="C143" s="2" t="s">
        <v>2</v>
      </c>
      <c r="D143" s="9">
        <v>0</v>
      </c>
      <c r="E143" s="2"/>
      <c r="F143" s="1" t="s">
        <v>10</v>
      </c>
      <c r="G143" s="2">
        <v>0</v>
      </c>
      <c r="H143" s="2"/>
      <c r="I143" s="8"/>
      <c r="J143" s="2"/>
      <c r="K143" s="1"/>
      <c r="L143" s="2"/>
      <c r="M143" s="2"/>
      <c r="N143" s="8"/>
      <c r="O143" s="3"/>
    </row>
    <row r="144" spans="1:15" ht="15" x14ac:dyDescent="0.35">
      <c r="A144" s="1" t="s">
        <v>11</v>
      </c>
      <c r="B144" s="2"/>
      <c r="C144" s="2" t="s">
        <v>2</v>
      </c>
      <c r="D144" s="22">
        <v>0</v>
      </c>
      <c r="E144" s="2"/>
      <c r="F144" s="1" t="s">
        <v>11</v>
      </c>
      <c r="G144" s="2"/>
      <c r="H144" s="2"/>
      <c r="I144" s="8"/>
      <c r="J144" s="2"/>
      <c r="K144" s="1"/>
      <c r="L144" s="2"/>
      <c r="M144" s="2"/>
      <c r="N144" s="22"/>
      <c r="O144" s="3"/>
    </row>
    <row r="145" spans="1:15" ht="15" x14ac:dyDescent="0.35">
      <c r="A145" s="1" t="s">
        <v>12</v>
      </c>
      <c r="B145" s="2"/>
      <c r="C145" s="2" t="s">
        <v>2</v>
      </c>
      <c r="D145" s="9">
        <v>0</v>
      </c>
      <c r="E145" s="2"/>
      <c r="F145" s="1" t="s">
        <v>12</v>
      </c>
      <c r="G145" s="2"/>
      <c r="H145" s="2"/>
      <c r="I145" s="8"/>
      <c r="J145" s="2"/>
      <c r="K145" s="1"/>
      <c r="L145" s="2"/>
      <c r="M145" s="2"/>
      <c r="N145" s="25"/>
      <c r="O145" s="3"/>
    </row>
    <row r="146" spans="1:15" ht="15" x14ac:dyDescent="0.35">
      <c r="A146" s="13" t="s">
        <v>13</v>
      </c>
      <c r="B146" s="5"/>
      <c r="C146" s="5" t="s">
        <v>2</v>
      </c>
      <c r="D146" s="14">
        <f>SUM(D138:D145)</f>
        <v>0</v>
      </c>
      <c r="E146" s="2"/>
      <c r="F146" s="13" t="s">
        <v>13</v>
      </c>
      <c r="G146" s="5"/>
      <c r="H146" s="5"/>
      <c r="I146" s="8"/>
      <c r="J146" s="2"/>
      <c r="K146" s="13"/>
      <c r="L146" s="5"/>
      <c r="M146" s="5"/>
      <c r="N146" s="24"/>
      <c r="O146" s="3"/>
    </row>
    <row r="147" spans="1:15" ht="15" x14ac:dyDescent="0.35">
      <c r="A147" s="1" t="s">
        <v>14</v>
      </c>
      <c r="B147" s="2"/>
      <c r="C147" s="2" t="s">
        <v>2</v>
      </c>
      <c r="D147" s="27">
        <v>0</v>
      </c>
      <c r="E147" s="2"/>
      <c r="F147" s="1" t="s">
        <v>14</v>
      </c>
      <c r="G147" s="2"/>
      <c r="H147" s="2"/>
      <c r="I147" s="8"/>
      <c r="J147" s="2"/>
      <c r="K147" s="1"/>
      <c r="L147" s="2"/>
      <c r="M147" s="2"/>
      <c r="N147" s="27"/>
      <c r="O147" s="3"/>
    </row>
    <row r="148" spans="1:15" ht="15" x14ac:dyDescent="0.35">
      <c r="A148" s="1"/>
      <c r="B148" s="2"/>
      <c r="C148" s="15"/>
      <c r="D148" s="15" t="str">
        <f>D129</f>
        <v>Grogol, 02 Mei   2026</v>
      </c>
      <c r="E148" s="2"/>
      <c r="F148" s="1"/>
      <c r="G148" s="15"/>
      <c r="H148" s="15"/>
      <c r="I148" s="15" t="str">
        <f>I129</f>
        <v>Grogol, 02 Mei   2026</v>
      </c>
      <c r="J148" s="2"/>
      <c r="K148" s="1"/>
      <c r="L148" s="15"/>
      <c r="M148" s="15"/>
      <c r="N148" s="15" t="str">
        <f>N129</f>
        <v>Grogol, 02 Mei   2026</v>
      </c>
      <c r="O148" s="3"/>
    </row>
    <row r="149" spans="1:15" ht="15" x14ac:dyDescent="0.35">
      <c r="A149" s="1"/>
      <c r="B149" s="2"/>
      <c r="C149" s="2"/>
      <c r="D149" s="15" t="s">
        <v>15</v>
      </c>
      <c r="E149" s="15"/>
      <c r="F149" s="1"/>
      <c r="G149" s="2"/>
      <c r="H149" s="2"/>
      <c r="I149" s="15" t="s">
        <v>15</v>
      </c>
      <c r="J149" s="15"/>
      <c r="K149" s="1"/>
      <c r="L149" s="2"/>
      <c r="M149" s="2"/>
      <c r="N149" s="15" t="s">
        <v>15</v>
      </c>
      <c r="O149" s="16"/>
    </row>
    <row r="150" spans="1:15" ht="15" x14ac:dyDescent="0.35">
      <c r="A150" s="1"/>
      <c r="B150" s="2"/>
      <c r="C150" s="2"/>
      <c r="D150" s="15"/>
      <c r="E150" s="2"/>
      <c r="F150" s="1"/>
      <c r="G150" s="2"/>
      <c r="H150" s="2"/>
      <c r="I150" s="15"/>
      <c r="J150" s="2"/>
      <c r="K150" s="1"/>
      <c r="L150" s="2"/>
      <c r="M150" s="2"/>
      <c r="N150" s="15"/>
      <c r="O150" s="3"/>
    </row>
    <row r="151" spans="1:15" ht="15" x14ac:dyDescent="0.35">
      <c r="A151" s="1"/>
      <c r="B151" s="2"/>
      <c r="C151" s="2"/>
      <c r="D151" s="15"/>
      <c r="E151" s="2"/>
      <c r="F151" s="1"/>
      <c r="G151" s="2"/>
      <c r="H151" s="2"/>
      <c r="I151" s="15"/>
      <c r="J151" s="2"/>
      <c r="K151" s="1"/>
      <c r="L151" s="2"/>
      <c r="M151" s="2"/>
      <c r="N151" s="15"/>
      <c r="O151" s="3"/>
    </row>
    <row r="152" spans="1:15" ht="15.6" thickBot="1" x14ac:dyDescent="0.4">
      <c r="A152" s="17"/>
      <c r="B152" s="18"/>
      <c r="C152" s="18"/>
      <c r="D152" s="19" t="s">
        <v>16</v>
      </c>
      <c r="E152" s="18"/>
      <c r="F152" s="17"/>
      <c r="G152" s="18"/>
      <c r="H152" s="18"/>
      <c r="I152" s="19" t="s">
        <v>16</v>
      </c>
      <c r="J152" s="18"/>
      <c r="K152" s="17"/>
      <c r="L152" s="18"/>
      <c r="M152" s="18"/>
      <c r="N152" s="19" t="s">
        <v>16</v>
      </c>
      <c r="O152" s="20"/>
    </row>
    <row r="153" spans="1:15" ht="15" x14ac:dyDescent="0.35">
      <c r="A153" s="46" t="s">
        <v>0</v>
      </c>
      <c r="B153" s="47"/>
      <c r="C153" s="47"/>
      <c r="D153" s="47"/>
      <c r="E153" s="47"/>
      <c r="F153" s="46" t="s">
        <v>0</v>
      </c>
      <c r="G153" s="47"/>
      <c r="H153" s="47"/>
      <c r="I153" s="47"/>
      <c r="J153" s="47"/>
      <c r="K153" s="46" t="s">
        <v>0</v>
      </c>
      <c r="L153" s="47"/>
      <c r="M153" s="47"/>
      <c r="N153" s="47"/>
      <c r="O153" s="48"/>
    </row>
    <row r="154" spans="1:15" ht="15" x14ac:dyDescent="0.35">
      <c r="F154" s="1"/>
      <c r="G154" s="2"/>
      <c r="H154" s="2"/>
      <c r="I154" s="2"/>
      <c r="J154" s="2"/>
      <c r="K154" s="1"/>
      <c r="L154" s="2"/>
      <c r="M154" s="2"/>
      <c r="N154" s="2"/>
      <c r="O154" s="3"/>
    </row>
    <row r="155" spans="1:15" ht="15" x14ac:dyDescent="0.35">
      <c r="A155" s="1" t="s">
        <v>1</v>
      </c>
      <c r="B155" s="2" t="s">
        <v>2</v>
      </c>
      <c r="C155" s="51" t="s">
        <v>29</v>
      </c>
      <c r="D155" s="51"/>
      <c r="E155" s="4">
        <v>11</v>
      </c>
      <c r="F155" s="1" t="s">
        <v>1</v>
      </c>
      <c r="G155" s="2" t="s">
        <v>2</v>
      </c>
      <c r="H155" s="51"/>
      <c r="I155" s="51"/>
      <c r="J155" s="4"/>
      <c r="K155" s="1" t="s">
        <v>1</v>
      </c>
      <c r="L155" s="2" t="s">
        <v>2</v>
      </c>
      <c r="M155" s="51" t="s">
        <v>30</v>
      </c>
      <c r="N155" s="51"/>
      <c r="O155" s="6">
        <v>12</v>
      </c>
    </row>
    <row r="156" spans="1:15" ht="15" x14ac:dyDescent="0.35">
      <c r="A156" s="1" t="s">
        <v>4</v>
      </c>
      <c r="B156" s="2"/>
      <c r="C156" s="2" t="s">
        <v>2</v>
      </c>
      <c r="D156" s="2"/>
      <c r="F156" s="1" t="s">
        <v>4</v>
      </c>
      <c r="G156" s="2"/>
      <c r="H156" s="2" t="s">
        <v>2</v>
      </c>
      <c r="I156" s="2"/>
      <c r="J156" s="2"/>
      <c r="K156" s="1" t="s">
        <v>4</v>
      </c>
      <c r="L156" s="2"/>
      <c r="M156" s="2" t="s">
        <v>2</v>
      </c>
      <c r="N156" s="2"/>
      <c r="O156" s="3"/>
    </row>
    <row r="157" spans="1:15" ht="15" x14ac:dyDescent="0.35">
      <c r="A157" s="1" t="s">
        <v>5</v>
      </c>
      <c r="B157" s="2"/>
      <c r="C157" s="2" t="s">
        <v>2</v>
      </c>
      <c r="D157" s="25">
        <f>[22]krnmei!$C$516</f>
        <v>100000</v>
      </c>
      <c r="E157" s="2"/>
      <c r="F157" s="1" t="s">
        <v>66</v>
      </c>
      <c r="G157" s="2"/>
      <c r="H157" s="2" t="s">
        <v>2</v>
      </c>
      <c r="I157" s="25"/>
      <c r="J157" s="2"/>
      <c r="K157" s="1" t="s">
        <v>5</v>
      </c>
      <c r="L157" s="2"/>
      <c r="M157" s="2" t="s">
        <v>2</v>
      </c>
      <c r="N157" s="8">
        <f>'[3]KARNING 2021'!$C$548</f>
        <v>100000</v>
      </c>
      <c r="O157" s="3"/>
    </row>
    <row r="158" spans="1:15" ht="15" x14ac:dyDescent="0.35">
      <c r="A158" s="1" t="s">
        <v>6</v>
      </c>
      <c r="B158" s="2"/>
      <c r="C158" s="2" t="s">
        <v>2</v>
      </c>
      <c r="D158" s="25">
        <f>[22]krnmei!$D$516</f>
        <v>5000</v>
      </c>
      <c r="E158" s="2"/>
      <c r="F158" s="1" t="s">
        <v>6</v>
      </c>
      <c r="G158" s="2"/>
      <c r="H158" s="2" t="s">
        <v>2</v>
      </c>
      <c r="I158" s="25"/>
      <c r="J158" s="2"/>
      <c r="K158" s="1" t="s">
        <v>6</v>
      </c>
      <c r="L158" s="2"/>
      <c r="M158" s="2" t="s">
        <v>2</v>
      </c>
      <c r="N158" s="8">
        <f>'[3]KARNING 2021'!$D$548</f>
        <v>25000</v>
      </c>
      <c r="O158" s="3"/>
    </row>
    <row r="159" spans="1:15" ht="15" x14ac:dyDescent="0.35">
      <c r="A159" s="1" t="s">
        <v>7</v>
      </c>
      <c r="B159" s="2"/>
      <c r="C159" s="2" t="s">
        <v>2</v>
      </c>
      <c r="D159" s="8">
        <f>[22]krnmei!$E$516</f>
        <v>100000</v>
      </c>
      <c r="E159" s="2"/>
      <c r="F159" s="1" t="s">
        <v>7</v>
      </c>
      <c r="G159" s="2"/>
      <c r="H159" s="2" t="s">
        <v>2</v>
      </c>
      <c r="I159" s="25">
        <v>0</v>
      </c>
      <c r="J159" s="2"/>
      <c r="K159" s="1" t="s">
        <v>7</v>
      </c>
      <c r="L159" s="2"/>
      <c r="M159" s="2" t="s">
        <v>2</v>
      </c>
      <c r="N159" s="8">
        <f>[23]krnmei!$E$552</f>
        <v>300000</v>
      </c>
      <c r="O159" s="3"/>
    </row>
    <row r="160" spans="1:15" ht="15" x14ac:dyDescent="0.35">
      <c r="A160" s="1" t="s">
        <v>8</v>
      </c>
      <c r="B160" s="21">
        <v>30</v>
      </c>
      <c r="C160" s="2" t="s">
        <v>2</v>
      </c>
      <c r="D160" s="25">
        <v>400000</v>
      </c>
      <c r="E160" s="2"/>
      <c r="F160" s="1" t="s">
        <v>8</v>
      </c>
      <c r="G160" s="2">
        <v>0</v>
      </c>
      <c r="H160" s="2" t="s">
        <v>2</v>
      </c>
      <c r="I160" s="8">
        <v>0</v>
      </c>
      <c r="J160" s="2"/>
      <c r="K160" s="1" t="s">
        <v>8</v>
      </c>
      <c r="L160" s="2">
        <v>50</v>
      </c>
      <c r="M160" s="2" t="s">
        <v>2</v>
      </c>
      <c r="N160" s="8">
        <v>500000</v>
      </c>
      <c r="O160" s="3"/>
    </row>
    <row r="161" spans="1:15" ht="15" x14ac:dyDescent="0.35">
      <c r="A161" s="1" t="s">
        <v>9</v>
      </c>
      <c r="B161" s="2"/>
      <c r="C161" s="2" t="s">
        <v>2</v>
      </c>
      <c r="D161" s="11">
        <f>[41]krnmei!$K$518</f>
        <v>303000</v>
      </c>
      <c r="E161" s="2"/>
      <c r="F161" s="1" t="s">
        <v>9</v>
      </c>
      <c r="G161" s="2"/>
      <c r="H161" s="2" t="s">
        <v>2</v>
      </c>
      <c r="I161" s="11">
        <v>0</v>
      </c>
      <c r="J161" s="2"/>
      <c r="K161" s="1" t="s">
        <v>9</v>
      </c>
      <c r="L161" s="2"/>
      <c r="M161" s="2" t="s">
        <v>2</v>
      </c>
      <c r="N161" s="11">
        <f>[41]krnmei!$K$552</f>
        <v>255000</v>
      </c>
      <c r="O161" s="3"/>
    </row>
    <row r="162" spans="1:15" ht="15" x14ac:dyDescent="0.35">
      <c r="A162" s="1" t="s">
        <v>10</v>
      </c>
      <c r="B162" s="2"/>
      <c r="C162" s="2" t="s">
        <v>2</v>
      </c>
      <c r="D162" s="9">
        <v>0</v>
      </c>
      <c r="E162" s="2"/>
      <c r="F162" s="1" t="s">
        <v>10</v>
      </c>
      <c r="G162" s="2">
        <v>0</v>
      </c>
      <c r="H162" s="2" t="s">
        <v>2</v>
      </c>
      <c r="I162" s="8">
        <v>0</v>
      </c>
      <c r="J162" s="2"/>
      <c r="K162" s="1" t="s">
        <v>10</v>
      </c>
      <c r="L162" s="21"/>
      <c r="M162" s="2" t="s">
        <v>2</v>
      </c>
      <c r="N162" s="8"/>
      <c r="O162" s="3"/>
    </row>
    <row r="163" spans="1:15" ht="15" x14ac:dyDescent="0.35">
      <c r="A163" s="1" t="s">
        <v>11</v>
      </c>
      <c r="B163" s="2"/>
      <c r="C163" s="2" t="s">
        <v>2</v>
      </c>
      <c r="D163" s="8">
        <v>0</v>
      </c>
      <c r="E163" s="2"/>
      <c r="F163" s="1" t="s">
        <v>11</v>
      </c>
      <c r="G163" s="2"/>
      <c r="H163" s="2" t="s">
        <v>2</v>
      </c>
      <c r="I163" s="9">
        <v>0</v>
      </c>
      <c r="J163" s="2"/>
      <c r="K163" s="1" t="s">
        <v>11</v>
      </c>
      <c r="L163" s="2"/>
      <c r="M163" s="2" t="s">
        <v>2</v>
      </c>
      <c r="N163" s="27">
        <v>0</v>
      </c>
      <c r="O163" s="3"/>
    </row>
    <row r="164" spans="1:15" ht="15" x14ac:dyDescent="0.35">
      <c r="A164" s="1" t="s">
        <v>12</v>
      </c>
      <c r="B164" s="2"/>
      <c r="C164" s="2" t="s">
        <v>2</v>
      </c>
      <c r="D164" s="7">
        <v>0</v>
      </c>
      <c r="E164" s="2"/>
      <c r="F164" s="1" t="s">
        <v>12</v>
      </c>
      <c r="G164" s="2"/>
      <c r="H164" s="2" t="s">
        <v>2</v>
      </c>
      <c r="I164" s="7">
        <v>0</v>
      </c>
      <c r="J164" s="2"/>
      <c r="K164" s="1" t="s">
        <v>12</v>
      </c>
      <c r="L164" s="2"/>
      <c r="M164" s="2" t="s">
        <v>2</v>
      </c>
      <c r="N164" s="8">
        <f>'[3]KARNING 2021'!$F$548</f>
        <v>50000</v>
      </c>
      <c r="O164" s="3"/>
    </row>
    <row r="165" spans="1:15" ht="15" x14ac:dyDescent="0.35">
      <c r="A165" s="13" t="s">
        <v>13</v>
      </c>
      <c r="B165" s="5"/>
      <c r="C165" s="5" t="s">
        <v>2</v>
      </c>
      <c r="D165" s="24">
        <f>SUM(D157:D164)</f>
        <v>908000</v>
      </c>
      <c r="E165" s="2"/>
      <c r="F165" s="13" t="s">
        <v>13</v>
      </c>
      <c r="G165" s="5"/>
      <c r="H165" s="5" t="s">
        <v>2</v>
      </c>
      <c r="I165" s="24">
        <v>0</v>
      </c>
      <c r="J165" s="2"/>
      <c r="K165" s="13" t="s">
        <v>13</v>
      </c>
      <c r="L165" s="5"/>
      <c r="M165" s="5" t="s">
        <v>2</v>
      </c>
      <c r="N165" s="24">
        <f>SUM(N157:N164)</f>
        <v>1230000</v>
      </c>
      <c r="O165" s="3"/>
    </row>
    <row r="166" spans="1:15" ht="15" x14ac:dyDescent="0.35">
      <c r="A166" s="1" t="s">
        <v>14</v>
      </c>
      <c r="B166" s="2"/>
      <c r="C166" s="2" t="s">
        <v>2</v>
      </c>
      <c r="D166" s="25">
        <f>[41]krnmei!$J$518</f>
        <v>19800000</v>
      </c>
      <c r="E166" s="2"/>
      <c r="F166" s="1" t="s">
        <v>14</v>
      </c>
      <c r="G166" s="2"/>
      <c r="H166" s="2" t="s">
        <v>2</v>
      </c>
      <c r="I166" s="27">
        <v>0</v>
      </c>
      <c r="J166" s="2"/>
      <c r="K166" s="1" t="s">
        <v>14</v>
      </c>
      <c r="L166" s="2"/>
      <c r="M166" s="2" t="s">
        <v>2</v>
      </c>
      <c r="N166" s="25">
        <f>[41]krnmei!$J$552+4500000</f>
        <v>21000000</v>
      </c>
      <c r="O166" s="3"/>
    </row>
    <row r="167" spans="1:15" ht="15" x14ac:dyDescent="0.35">
      <c r="A167" s="1"/>
      <c r="B167" s="2"/>
      <c r="C167" s="15"/>
      <c r="D167" s="15" t="str">
        <f>D148</f>
        <v>Grogol, 02 Mei   2026</v>
      </c>
      <c r="E167" s="2"/>
      <c r="F167" s="1"/>
      <c r="G167" s="2"/>
      <c r="H167" s="15"/>
      <c r="I167" s="15" t="str">
        <f>D167</f>
        <v>Grogol, 02 Mei   2026</v>
      </c>
      <c r="J167" s="15"/>
      <c r="K167" s="1"/>
      <c r="L167" s="2"/>
      <c r="M167" s="15"/>
      <c r="N167" s="15" t="str">
        <f>I167</f>
        <v>Grogol, 02 Mei   2026</v>
      </c>
      <c r="O167" s="16"/>
    </row>
    <row r="168" spans="1:15" ht="15" x14ac:dyDescent="0.35">
      <c r="A168" s="1"/>
      <c r="B168" s="2"/>
      <c r="C168" s="2"/>
      <c r="D168" s="15" t="s">
        <v>15</v>
      </c>
      <c r="E168" s="15"/>
      <c r="F168" s="1"/>
      <c r="G168" s="2"/>
      <c r="H168" s="2"/>
      <c r="I168" s="15" t="s">
        <v>15</v>
      </c>
      <c r="J168" s="2"/>
      <c r="K168" s="1"/>
      <c r="L168" s="2"/>
      <c r="M168" s="2"/>
      <c r="N168" s="15" t="s">
        <v>15</v>
      </c>
      <c r="O168" s="3"/>
    </row>
    <row r="169" spans="1:15" ht="15" x14ac:dyDescent="0.35">
      <c r="A169" s="1"/>
      <c r="B169" s="2"/>
      <c r="C169" s="2"/>
      <c r="D169" s="15"/>
      <c r="E169" s="2"/>
      <c r="F169" s="1"/>
      <c r="G169" s="2"/>
      <c r="H169" s="2"/>
      <c r="I169" s="15"/>
      <c r="J169" s="2"/>
      <c r="K169" s="1"/>
      <c r="L169" s="2"/>
      <c r="M169" s="2"/>
      <c r="N169" s="15"/>
      <c r="O169" s="3"/>
    </row>
    <row r="170" spans="1:15" ht="15" x14ac:dyDescent="0.35">
      <c r="A170" s="1"/>
      <c r="B170" s="2"/>
      <c r="C170" s="2"/>
      <c r="D170" s="15"/>
      <c r="E170" s="2"/>
      <c r="F170" s="1"/>
      <c r="G170" s="2"/>
      <c r="H170" s="2"/>
      <c r="I170" s="15"/>
      <c r="J170" s="2"/>
      <c r="K170" s="1"/>
      <c r="L170" s="2"/>
      <c r="M170" s="2"/>
      <c r="N170" s="15"/>
      <c r="O170" s="3"/>
    </row>
    <row r="171" spans="1:15" ht="15.6" thickBot="1" x14ac:dyDescent="0.4">
      <c r="A171" s="17"/>
      <c r="B171" s="18"/>
      <c r="C171" s="18"/>
      <c r="D171" s="19" t="s">
        <v>16</v>
      </c>
      <c r="E171" s="18"/>
      <c r="F171" s="17"/>
      <c r="G171" s="18"/>
      <c r="H171" s="18"/>
      <c r="I171" s="19" t="s">
        <v>16</v>
      </c>
      <c r="J171" s="18"/>
      <c r="K171" s="17"/>
      <c r="L171" s="18"/>
      <c r="M171" s="18"/>
      <c r="N171" s="19" t="s">
        <v>16</v>
      </c>
      <c r="O171" s="20"/>
    </row>
    <row r="172" spans="1:15" ht="15" x14ac:dyDescent="0.35">
      <c r="A172" s="46" t="s">
        <v>0</v>
      </c>
      <c r="B172" s="47"/>
      <c r="C172" s="47"/>
      <c r="D172" s="47"/>
      <c r="E172" s="47"/>
      <c r="F172" s="46" t="s">
        <v>0</v>
      </c>
      <c r="G172" s="47"/>
      <c r="H172" s="47"/>
      <c r="I172" s="47"/>
      <c r="J172" s="47"/>
      <c r="K172" s="46" t="s">
        <v>0</v>
      </c>
      <c r="L172" s="47"/>
      <c r="M172" s="47"/>
      <c r="N172" s="47"/>
      <c r="O172" s="48"/>
    </row>
    <row r="173" spans="1:15" ht="15" x14ac:dyDescent="0.35">
      <c r="A173" s="1"/>
      <c r="B173" s="2"/>
      <c r="C173" s="2"/>
      <c r="D173" s="2"/>
      <c r="E173" s="2"/>
      <c r="F173" s="1"/>
      <c r="G173" s="2"/>
      <c r="H173" s="2"/>
      <c r="I173" s="2"/>
      <c r="J173" s="2"/>
      <c r="K173" s="1"/>
      <c r="L173" s="2"/>
      <c r="M173" s="2"/>
      <c r="N173" s="2"/>
      <c r="O173" s="3"/>
    </row>
    <row r="174" spans="1:15" ht="15" x14ac:dyDescent="0.35">
      <c r="A174" s="1" t="s">
        <v>1</v>
      </c>
      <c r="B174" s="2" t="s">
        <v>2</v>
      </c>
      <c r="C174" s="50" t="s">
        <v>31</v>
      </c>
      <c r="D174" s="50"/>
      <c r="E174" s="4">
        <v>13</v>
      </c>
      <c r="F174" s="1" t="s">
        <v>1</v>
      </c>
      <c r="G174" s="2" t="s">
        <v>2</v>
      </c>
      <c r="H174" s="50" t="s">
        <v>32</v>
      </c>
      <c r="I174" s="50"/>
      <c r="J174" s="4">
        <v>14</v>
      </c>
      <c r="K174" s="1" t="s">
        <v>1</v>
      </c>
      <c r="L174" s="2" t="s">
        <v>2</v>
      </c>
      <c r="M174" s="50" t="s">
        <v>33</v>
      </c>
      <c r="N174" s="50"/>
      <c r="O174" s="6">
        <v>15</v>
      </c>
    </row>
    <row r="175" spans="1:15" ht="15" x14ac:dyDescent="0.35">
      <c r="A175" s="1" t="s">
        <v>4</v>
      </c>
      <c r="B175" s="2"/>
      <c r="C175" s="2" t="s">
        <v>2</v>
      </c>
      <c r="D175" s="2"/>
      <c r="F175" s="1" t="s">
        <v>4</v>
      </c>
      <c r="G175" s="2"/>
      <c r="H175" s="2" t="s">
        <v>2</v>
      </c>
      <c r="I175" s="2"/>
      <c r="J175" s="2"/>
      <c r="K175" s="1" t="s">
        <v>4</v>
      </c>
      <c r="L175" s="2"/>
      <c r="M175" s="2" t="s">
        <v>2</v>
      </c>
      <c r="N175" s="2"/>
      <c r="O175" s="3"/>
    </row>
    <row r="176" spans="1:15" ht="15" x14ac:dyDescent="0.35">
      <c r="A176" s="1" t="s">
        <v>5</v>
      </c>
      <c r="B176" s="2"/>
      <c r="C176" s="2" t="s">
        <v>2</v>
      </c>
      <c r="D176" s="8"/>
      <c r="E176" s="2"/>
      <c r="F176" s="1" t="s">
        <v>5</v>
      </c>
      <c r="G176" s="2"/>
      <c r="H176" s="2" t="s">
        <v>2</v>
      </c>
      <c r="I176" s="8">
        <f>'[3]KARNING 2021'!$C$582</f>
        <v>100000</v>
      </c>
      <c r="J176" s="2"/>
      <c r="K176" s="1" t="s">
        <v>5</v>
      </c>
      <c r="L176" s="2"/>
      <c r="M176" s="2" t="s">
        <v>2</v>
      </c>
      <c r="N176" s="8">
        <v>100000</v>
      </c>
      <c r="O176" s="3"/>
    </row>
    <row r="177" spans="1:15" ht="15" x14ac:dyDescent="0.35">
      <c r="A177" s="1" t="s">
        <v>6</v>
      </c>
      <c r="B177" s="2"/>
      <c r="C177" s="2" t="s">
        <v>2</v>
      </c>
      <c r="D177" s="8"/>
      <c r="E177" s="2"/>
      <c r="F177" s="1" t="s">
        <v>6</v>
      </c>
      <c r="G177" s="2"/>
      <c r="H177" s="2" t="s">
        <v>2</v>
      </c>
      <c r="I177" s="8">
        <f>'[3]KARNING 2021'!$D$582</f>
        <v>25000</v>
      </c>
      <c r="J177" s="2"/>
      <c r="K177" s="1" t="s">
        <v>6</v>
      </c>
      <c r="L177" s="2"/>
      <c r="M177" s="2" t="s">
        <v>2</v>
      </c>
      <c r="N177" s="8">
        <v>25000</v>
      </c>
      <c r="O177" s="3"/>
    </row>
    <row r="178" spans="1:15" ht="15" x14ac:dyDescent="0.35">
      <c r="A178" s="1" t="s">
        <v>7</v>
      </c>
      <c r="B178" s="2"/>
      <c r="C178" s="2" t="s">
        <v>2</v>
      </c>
      <c r="D178" s="8"/>
      <c r="E178" s="2"/>
      <c r="F178" s="1" t="s">
        <v>7</v>
      </c>
      <c r="G178" s="2"/>
      <c r="H178" s="2" t="s">
        <v>2</v>
      </c>
      <c r="I178" s="8">
        <f>[4]krnmei!$F$581</f>
        <v>0</v>
      </c>
      <c r="J178" s="2"/>
      <c r="K178" s="1" t="s">
        <v>7</v>
      </c>
      <c r="L178" s="2"/>
      <c r="M178" s="2" t="s">
        <v>2</v>
      </c>
      <c r="N178" s="8">
        <v>100000</v>
      </c>
      <c r="O178" s="3"/>
    </row>
    <row r="179" spans="1:15" ht="15" x14ac:dyDescent="0.35">
      <c r="A179" s="1" t="s">
        <v>8</v>
      </c>
      <c r="B179" s="21"/>
      <c r="C179" s="2" t="s">
        <v>2</v>
      </c>
      <c r="D179" s="8"/>
      <c r="E179" s="2"/>
      <c r="F179" s="1" t="s">
        <v>8</v>
      </c>
      <c r="G179" s="21">
        <v>0</v>
      </c>
      <c r="H179" s="2" t="s">
        <v>2</v>
      </c>
      <c r="I179" s="8">
        <v>0</v>
      </c>
      <c r="J179" s="2"/>
      <c r="K179" s="1" t="s">
        <v>8</v>
      </c>
      <c r="L179" s="2">
        <v>11</v>
      </c>
      <c r="M179" s="2" t="s">
        <v>2</v>
      </c>
      <c r="N179" s="8">
        <f>[39]krnmei!$I$1059</f>
        <v>500000</v>
      </c>
      <c r="O179" s="3"/>
    </row>
    <row r="180" spans="1:15" ht="15" x14ac:dyDescent="0.35">
      <c r="A180" s="1" t="s">
        <v>9</v>
      </c>
      <c r="B180" s="2"/>
      <c r="C180" s="2" t="s">
        <v>2</v>
      </c>
      <c r="D180" s="11"/>
      <c r="E180" s="2"/>
      <c r="F180" s="1" t="s">
        <v>9</v>
      </c>
      <c r="G180" s="2"/>
      <c r="H180" s="2" t="s">
        <v>2</v>
      </c>
      <c r="I180" s="11">
        <v>0</v>
      </c>
      <c r="J180" s="2"/>
      <c r="K180" s="1" t="s">
        <v>9</v>
      </c>
      <c r="L180" s="2"/>
      <c r="M180" s="2" t="s">
        <v>2</v>
      </c>
      <c r="N180" s="30">
        <f>[41]krnmei!$K$1062</f>
        <v>226500</v>
      </c>
      <c r="O180" s="3"/>
    </row>
    <row r="181" spans="1:15" ht="15" x14ac:dyDescent="0.35">
      <c r="A181" s="1" t="s">
        <v>10</v>
      </c>
      <c r="B181" s="2">
        <v>0</v>
      </c>
      <c r="C181" s="2" t="s">
        <v>2</v>
      </c>
      <c r="D181" s="8"/>
      <c r="E181" s="2"/>
      <c r="F181" s="1" t="s">
        <v>10</v>
      </c>
      <c r="G181" s="2">
        <v>0</v>
      </c>
      <c r="H181" s="2" t="s">
        <v>2</v>
      </c>
      <c r="I181" s="8">
        <v>0</v>
      </c>
      <c r="J181" s="2"/>
      <c r="K181" s="1" t="s">
        <v>10</v>
      </c>
      <c r="L181" s="2"/>
      <c r="M181" s="2" t="s">
        <v>2</v>
      </c>
      <c r="N181" s="8"/>
      <c r="O181" s="3"/>
    </row>
    <row r="182" spans="1:15" ht="15" x14ac:dyDescent="0.35">
      <c r="A182" s="1" t="s">
        <v>11</v>
      </c>
      <c r="B182" s="2"/>
      <c r="C182" s="2" t="s">
        <v>2</v>
      </c>
      <c r="D182" s="9"/>
      <c r="E182" s="2"/>
      <c r="F182" s="1" t="s">
        <v>11</v>
      </c>
      <c r="G182" s="2"/>
      <c r="H182" s="2" t="s">
        <v>2</v>
      </c>
      <c r="I182" s="9">
        <f>[26]krnmei!$P$587</f>
        <v>0</v>
      </c>
      <c r="J182" s="2"/>
      <c r="K182" s="1" t="s">
        <v>11</v>
      </c>
      <c r="L182" s="2"/>
      <c r="M182" s="2" t="s">
        <v>2</v>
      </c>
      <c r="N182" s="8">
        <v>0</v>
      </c>
      <c r="O182" s="3"/>
    </row>
    <row r="183" spans="1:15" ht="15" x14ac:dyDescent="0.35">
      <c r="A183" s="1" t="s">
        <v>12</v>
      </c>
      <c r="B183" s="2"/>
      <c r="C183" s="2" t="s">
        <v>2</v>
      </c>
      <c r="D183" s="8"/>
      <c r="E183" s="2"/>
      <c r="F183" s="1" t="s">
        <v>12</v>
      </c>
      <c r="G183" s="2"/>
      <c r="H183" s="2" t="s">
        <v>2</v>
      </c>
      <c r="I183" s="8">
        <f>[4]krnmei!$F$581</f>
        <v>0</v>
      </c>
      <c r="J183" s="2"/>
      <c r="K183" s="1" t="s">
        <v>12</v>
      </c>
      <c r="L183" s="2"/>
      <c r="M183" s="2" t="s">
        <v>2</v>
      </c>
      <c r="N183" s="8">
        <v>0</v>
      </c>
      <c r="O183" s="3"/>
    </row>
    <row r="184" spans="1:15" ht="15" x14ac:dyDescent="0.35">
      <c r="A184" s="13" t="s">
        <v>13</v>
      </c>
      <c r="B184" s="5"/>
      <c r="C184" s="5" t="s">
        <v>2</v>
      </c>
      <c r="D184" s="24"/>
      <c r="E184" s="2"/>
      <c r="F184" s="13" t="s">
        <v>13</v>
      </c>
      <c r="G184" s="5"/>
      <c r="H184" s="5" t="s">
        <v>2</v>
      </c>
      <c r="I184" s="8">
        <f>SUM(I176:I183)</f>
        <v>125000</v>
      </c>
      <c r="J184" s="2"/>
      <c r="K184" s="13" t="s">
        <v>13</v>
      </c>
      <c r="L184" s="5"/>
      <c r="M184" s="5" t="s">
        <v>2</v>
      </c>
      <c r="N184" s="8">
        <f>SUM(N176:N183)</f>
        <v>951500</v>
      </c>
      <c r="O184" s="3"/>
    </row>
    <row r="185" spans="1:15" ht="15" x14ac:dyDescent="0.35">
      <c r="A185" s="1" t="s">
        <v>14</v>
      </c>
      <c r="B185" s="2"/>
      <c r="C185" s="2" t="s">
        <v>2</v>
      </c>
      <c r="D185" s="25"/>
      <c r="E185" s="2"/>
      <c r="F185" s="1" t="s">
        <v>14</v>
      </c>
      <c r="G185" s="2"/>
      <c r="H185" s="2" t="s">
        <v>2</v>
      </c>
      <c r="I185" s="8">
        <f>[7]krnmei!$J$592</f>
        <v>0</v>
      </c>
      <c r="J185" s="2"/>
      <c r="K185" s="1" t="s">
        <v>14</v>
      </c>
      <c r="L185" s="2"/>
      <c r="M185" s="2" t="s">
        <v>2</v>
      </c>
      <c r="N185" s="8">
        <f>[41]krnmei!$J$1062</f>
        <v>14600000</v>
      </c>
      <c r="O185" s="3"/>
    </row>
    <row r="186" spans="1:15" ht="15" x14ac:dyDescent="0.35">
      <c r="A186" s="1"/>
      <c r="B186" s="2"/>
      <c r="C186" s="15"/>
      <c r="D186" s="15" t="str">
        <f>D167</f>
        <v>Grogol, 02 Mei   2026</v>
      </c>
      <c r="E186" s="2"/>
      <c r="F186" s="1"/>
      <c r="G186" s="2"/>
      <c r="H186" s="15"/>
      <c r="I186" s="15" t="str">
        <f>D167</f>
        <v>Grogol, 02 Mei   2026</v>
      </c>
      <c r="J186" s="15"/>
      <c r="K186" s="1"/>
      <c r="L186" s="2"/>
      <c r="M186" s="15"/>
      <c r="N186" s="15" t="str">
        <f>D167</f>
        <v>Grogol, 02 Mei   2026</v>
      </c>
      <c r="O186" s="16"/>
    </row>
    <row r="187" spans="1:15" ht="15" x14ac:dyDescent="0.35">
      <c r="A187" s="1"/>
      <c r="B187" s="2"/>
      <c r="C187" s="2"/>
      <c r="D187" s="15" t="s">
        <v>15</v>
      </c>
      <c r="E187" s="15"/>
      <c r="F187" s="1"/>
      <c r="G187" s="2"/>
      <c r="H187" s="2"/>
      <c r="I187" s="15" t="s">
        <v>15</v>
      </c>
      <c r="J187" s="2"/>
      <c r="K187" s="1"/>
      <c r="L187" s="2"/>
      <c r="M187" s="2"/>
      <c r="N187" s="15" t="s">
        <v>15</v>
      </c>
      <c r="O187" s="3"/>
    </row>
    <row r="188" spans="1:15" ht="15" x14ac:dyDescent="0.35">
      <c r="A188" s="1"/>
      <c r="B188" s="2"/>
      <c r="C188" s="2"/>
      <c r="D188" s="15"/>
      <c r="E188" s="2"/>
      <c r="F188" s="1"/>
      <c r="G188" s="2"/>
      <c r="H188" s="2"/>
      <c r="I188" s="15"/>
      <c r="J188" s="2"/>
      <c r="K188" s="1"/>
      <c r="L188" s="2"/>
      <c r="M188" s="2"/>
      <c r="N188" s="15"/>
      <c r="O188" s="3"/>
    </row>
    <row r="189" spans="1:15" ht="15" x14ac:dyDescent="0.35">
      <c r="A189" s="1"/>
      <c r="B189" s="2"/>
      <c r="C189" s="2"/>
      <c r="D189" s="15"/>
      <c r="E189" s="2"/>
      <c r="F189" s="1"/>
      <c r="G189" s="2"/>
      <c r="H189" s="2"/>
      <c r="I189" s="15"/>
      <c r="J189" s="2"/>
      <c r="K189" s="1"/>
      <c r="L189" s="2"/>
      <c r="M189" s="2"/>
      <c r="N189" s="15"/>
      <c r="O189" s="3"/>
    </row>
    <row r="190" spans="1:15" ht="15.6" thickBot="1" x14ac:dyDescent="0.4">
      <c r="A190" s="17"/>
      <c r="B190" s="18"/>
      <c r="C190" s="18"/>
      <c r="D190" s="19" t="s">
        <v>16</v>
      </c>
      <c r="E190" s="20"/>
      <c r="F190" s="17"/>
      <c r="G190" s="18"/>
      <c r="H190" s="18"/>
      <c r="I190" s="19" t="s">
        <v>16</v>
      </c>
      <c r="J190" s="18"/>
      <c r="K190" s="17"/>
      <c r="L190" s="18"/>
      <c r="M190" s="18"/>
      <c r="N190" s="19" t="s">
        <v>16</v>
      </c>
      <c r="O190" s="20"/>
    </row>
    <row r="191" spans="1:15" ht="15" x14ac:dyDescent="0.35">
      <c r="A191" s="46" t="s">
        <v>0</v>
      </c>
      <c r="B191" s="47"/>
      <c r="C191" s="47"/>
      <c r="D191" s="47"/>
      <c r="E191" s="47"/>
      <c r="F191" s="46" t="s">
        <v>0</v>
      </c>
      <c r="G191" s="47"/>
      <c r="H191" s="47"/>
      <c r="I191" s="47"/>
      <c r="J191" s="47"/>
      <c r="K191" s="46" t="s">
        <v>0</v>
      </c>
      <c r="L191" s="47"/>
      <c r="M191" s="47"/>
      <c r="N191" s="47"/>
      <c r="O191" s="48"/>
    </row>
    <row r="192" spans="1:15" ht="15" x14ac:dyDescent="0.35">
      <c r="A192" s="1"/>
      <c r="B192" s="2"/>
      <c r="C192" s="2"/>
      <c r="D192" s="2"/>
      <c r="E192" s="2"/>
      <c r="F192" s="1"/>
      <c r="G192" s="2"/>
      <c r="H192" s="2"/>
      <c r="I192" s="2"/>
      <c r="J192" s="2"/>
      <c r="K192" s="1"/>
      <c r="L192" s="2"/>
      <c r="M192" s="2"/>
      <c r="N192" s="2"/>
      <c r="O192" s="3"/>
    </row>
    <row r="193" spans="1:15" ht="15" x14ac:dyDescent="0.35">
      <c r="A193" s="1" t="s">
        <v>1</v>
      </c>
      <c r="B193" s="2" t="s">
        <v>2</v>
      </c>
      <c r="C193" s="5" t="str">
        <f>[27]krnmei!$B$1123</f>
        <v>DEWI RATRI KALINGGA</v>
      </c>
      <c r="D193" s="5"/>
      <c r="E193" s="4">
        <v>40</v>
      </c>
      <c r="F193" s="1" t="s">
        <v>1</v>
      </c>
      <c r="G193" s="2" t="s">
        <v>2</v>
      </c>
      <c r="H193" s="50" t="s">
        <v>75</v>
      </c>
      <c r="I193" s="50"/>
      <c r="J193" s="4">
        <v>51</v>
      </c>
      <c r="K193" s="1" t="s">
        <v>1</v>
      </c>
      <c r="L193" s="2" t="s">
        <v>2</v>
      </c>
      <c r="M193" s="5" t="s">
        <v>34</v>
      </c>
      <c r="N193" s="5"/>
      <c r="O193" s="6">
        <v>20</v>
      </c>
    </row>
    <row r="194" spans="1:15" ht="15" x14ac:dyDescent="0.35">
      <c r="A194" s="1" t="s">
        <v>4</v>
      </c>
      <c r="B194" s="2"/>
      <c r="C194" s="2" t="s">
        <v>2</v>
      </c>
      <c r="D194" s="2"/>
      <c r="F194" s="1" t="s">
        <v>4</v>
      </c>
      <c r="G194" s="2"/>
      <c r="H194" s="2" t="s">
        <v>2</v>
      </c>
      <c r="I194" s="2"/>
      <c r="J194" s="2"/>
      <c r="K194" s="1" t="s">
        <v>4</v>
      </c>
      <c r="L194" s="2"/>
      <c r="M194" s="2" t="s">
        <v>2</v>
      </c>
      <c r="N194" s="2"/>
      <c r="O194" s="3"/>
    </row>
    <row r="195" spans="1:15" ht="15" x14ac:dyDescent="0.35">
      <c r="A195" s="1" t="s">
        <v>5</v>
      </c>
      <c r="B195" s="2"/>
      <c r="C195" s="2" t="s">
        <v>2</v>
      </c>
      <c r="D195" s="8">
        <f>[27]krnmei!$C$1129</f>
        <v>15000</v>
      </c>
      <c r="E195" s="2"/>
      <c r="F195" s="1" t="s">
        <v>5</v>
      </c>
      <c r="G195" s="2"/>
      <c r="H195" s="2" t="s">
        <v>2</v>
      </c>
      <c r="I195" s="8">
        <f>[1]krnmei!$C$1381</f>
        <v>10000</v>
      </c>
      <c r="J195" s="2"/>
      <c r="K195" s="1" t="s">
        <v>5</v>
      </c>
      <c r="L195" s="2"/>
      <c r="M195" s="2" t="s">
        <v>2</v>
      </c>
      <c r="N195" s="7">
        <f>[28]krnmei!$C$656</f>
        <v>100000</v>
      </c>
      <c r="O195" s="3"/>
    </row>
    <row r="196" spans="1:15" ht="15" x14ac:dyDescent="0.35">
      <c r="A196" s="1" t="s">
        <v>6</v>
      </c>
      <c r="B196" s="2"/>
      <c r="C196" s="2" t="s">
        <v>2</v>
      </c>
      <c r="D196" s="8">
        <f>[29]krnmei!$D$1126</f>
        <v>10000</v>
      </c>
      <c r="E196" s="2"/>
      <c r="F196" s="1" t="s">
        <v>6</v>
      </c>
      <c r="G196" s="2"/>
      <c r="H196" s="2" t="s">
        <v>2</v>
      </c>
      <c r="I196" s="8">
        <f>[1]krnmei!$D$1381</f>
        <v>30000</v>
      </c>
      <c r="J196" s="2"/>
      <c r="K196" s="1" t="s">
        <v>6</v>
      </c>
      <c r="L196" s="2"/>
      <c r="M196" s="2" t="s">
        <v>2</v>
      </c>
      <c r="N196" s="7">
        <f>[5]krnmei!$D$654</f>
        <v>100000</v>
      </c>
      <c r="O196" s="3"/>
    </row>
    <row r="197" spans="1:15" ht="15" x14ac:dyDescent="0.35">
      <c r="A197" s="1" t="s">
        <v>7</v>
      </c>
      <c r="B197" s="2"/>
      <c r="C197" s="2" t="s">
        <v>2</v>
      </c>
      <c r="D197" s="8">
        <f>[5]krnmei!$E$1130</f>
        <v>100000</v>
      </c>
      <c r="E197" s="2"/>
      <c r="F197" s="1" t="s">
        <v>7</v>
      </c>
      <c r="G197" s="2"/>
      <c r="H197" s="2" t="s">
        <v>2</v>
      </c>
      <c r="I197" s="8">
        <f>[1]krnmei!$E$1382</f>
        <v>50000</v>
      </c>
      <c r="J197" s="2"/>
      <c r="K197" s="1" t="s">
        <v>7</v>
      </c>
      <c r="L197" s="2"/>
      <c r="M197" s="2" t="s">
        <v>2</v>
      </c>
      <c r="N197" s="7">
        <f>[5]krnmei!$E$654</f>
        <v>200000</v>
      </c>
      <c r="O197" s="3"/>
    </row>
    <row r="198" spans="1:15" ht="15" x14ac:dyDescent="0.35">
      <c r="A198" s="1" t="s">
        <v>8</v>
      </c>
      <c r="B198" s="2">
        <v>28</v>
      </c>
      <c r="C198" s="2" t="s">
        <v>2</v>
      </c>
      <c r="D198" s="8">
        <v>500000</v>
      </c>
      <c r="E198" s="2"/>
      <c r="F198" s="1" t="s">
        <v>8</v>
      </c>
      <c r="G198" s="2"/>
      <c r="H198" s="2" t="s">
        <v>2</v>
      </c>
      <c r="I198" s="8"/>
      <c r="J198" s="2"/>
      <c r="K198" s="1" t="s">
        <v>8</v>
      </c>
      <c r="L198" s="2"/>
      <c r="M198" s="2" t="s">
        <v>2</v>
      </c>
      <c r="N198" s="2">
        <v>0</v>
      </c>
      <c r="O198" s="3"/>
    </row>
    <row r="199" spans="1:15" ht="15" x14ac:dyDescent="0.35">
      <c r="A199" s="1" t="s">
        <v>9</v>
      </c>
      <c r="B199" s="2"/>
      <c r="C199" s="2" t="s">
        <v>2</v>
      </c>
      <c r="D199" s="30">
        <f>[41]krnmei!$K$1130</f>
        <v>78375</v>
      </c>
      <c r="E199" s="2"/>
      <c r="F199" s="1" t="s">
        <v>9</v>
      </c>
      <c r="G199" s="2"/>
      <c r="H199" s="2" t="s">
        <v>2</v>
      </c>
      <c r="I199" s="30">
        <f>[18]krnmei!$K$1390</f>
        <v>0</v>
      </c>
      <c r="J199" s="2"/>
      <c r="K199" s="1" t="s">
        <v>9</v>
      </c>
      <c r="L199" s="2"/>
      <c r="M199" s="2" t="s">
        <v>2</v>
      </c>
      <c r="N199" s="2">
        <v>0</v>
      </c>
      <c r="O199" s="3"/>
    </row>
    <row r="200" spans="1:15" ht="15" x14ac:dyDescent="0.35">
      <c r="A200" s="1" t="s">
        <v>10</v>
      </c>
      <c r="B200" s="2"/>
      <c r="C200" s="2" t="s">
        <v>2</v>
      </c>
      <c r="D200" s="8"/>
      <c r="E200" s="2"/>
      <c r="F200" s="1" t="s">
        <v>10</v>
      </c>
      <c r="G200" s="2"/>
      <c r="H200" s="2" t="s">
        <v>2</v>
      </c>
      <c r="I200" s="8"/>
      <c r="J200" s="2"/>
      <c r="K200" s="1" t="s">
        <v>10</v>
      </c>
      <c r="L200" s="2"/>
      <c r="M200" s="2" t="s">
        <v>2</v>
      </c>
      <c r="N200" s="2">
        <v>0</v>
      </c>
      <c r="O200" s="3"/>
    </row>
    <row r="201" spans="1:15" ht="15" x14ac:dyDescent="0.35">
      <c r="A201" s="1" t="s">
        <v>11</v>
      </c>
      <c r="B201" s="2"/>
      <c r="C201" s="2" t="s">
        <v>2</v>
      </c>
      <c r="D201" s="8">
        <v>0</v>
      </c>
      <c r="E201" s="2"/>
      <c r="F201" s="1" t="s">
        <v>11</v>
      </c>
      <c r="G201" s="2"/>
      <c r="H201" s="2" t="s">
        <v>2</v>
      </c>
      <c r="I201" s="9">
        <f>[7]krnmei!$P$1391</f>
        <v>120000</v>
      </c>
      <c r="J201" s="2"/>
      <c r="K201" s="1" t="s">
        <v>11</v>
      </c>
      <c r="L201" s="2"/>
      <c r="M201" s="2" t="s">
        <v>2</v>
      </c>
      <c r="N201" s="2">
        <v>0</v>
      </c>
      <c r="O201" s="3"/>
    </row>
    <row r="202" spans="1:15" ht="15" x14ac:dyDescent="0.35">
      <c r="A202" s="1" t="s">
        <v>12</v>
      </c>
      <c r="B202" s="2"/>
      <c r="C202" s="2" t="s">
        <v>2</v>
      </c>
      <c r="D202" s="8">
        <v>225000</v>
      </c>
      <c r="E202" s="2"/>
      <c r="F202" s="1" t="s">
        <v>12</v>
      </c>
      <c r="G202" s="2"/>
      <c r="H202" s="2" t="s">
        <v>2</v>
      </c>
      <c r="I202" s="8">
        <f>[1]krnmei!$F$1382</f>
        <v>10000</v>
      </c>
      <c r="J202" s="2"/>
      <c r="K202" s="1" t="s">
        <v>12</v>
      </c>
      <c r="L202" s="2"/>
      <c r="M202" s="2" t="s">
        <v>2</v>
      </c>
      <c r="N202" s="7">
        <f>[41]krnmei!$F$654</f>
        <v>500000</v>
      </c>
      <c r="O202" s="3"/>
    </row>
    <row r="203" spans="1:15" ht="15" x14ac:dyDescent="0.35">
      <c r="A203" s="13" t="s">
        <v>13</v>
      </c>
      <c r="B203" s="5"/>
      <c r="C203" s="5" t="s">
        <v>2</v>
      </c>
      <c r="D203" s="8">
        <f>SUM(D195:D202)</f>
        <v>928375</v>
      </c>
      <c r="E203" s="2"/>
      <c r="F203" s="13" t="s">
        <v>13</v>
      </c>
      <c r="G203" s="5"/>
      <c r="H203" s="5" t="s">
        <v>2</v>
      </c>
      <c r="I203" s="14">
        <f>SUM(I195:I202)</f>
        <v>220000</v>
      </c>
      <c r="J203" s="2"/>
      <c r="K203" s="13" t="s">
        <v>13</v>
      </c>
      <c r="L203" s="5"/>
      <c r="M203" s="5" t="s">
        <v>2</v>
      </c>
      <c r="N203" s="14">
        <f>SUM(N195:N202)</f>
        <v>900000</v>
      </c>
      <c r="O203" s="3"/>
    </row>
    <row r="204" spans="1:15" ht="15" x14ac:dyDescent="0.35">
      <c r="A204" s="1" t="s">
        <v>14</v>
      </c>
      <c r="B204" s="2"/>
      <c r="C204" s="2" t="s">
        <v>2</v>
      </c>
      <c r="D204" s="8">
        <f>[41]krnmei!$J$1130</f>
        <v>4725000</v>
      </c>
      <c r="E204" s="2"/>
      <c r="F204" s="1" t="s">
        <v>14</v>
      </c>
      <c r="G204" s="2"/>
      <c r="H204" s="2" t="s">
        <v>2</v>
      </c>
      <c r="I204" s="7">
        <f>[7]krnmei!$O$1391</f>
        <v>6000000</v>
      </c>
      <c r="J204" s="2"/>
      <c r="K204" s="1" t="s">
        <v>14</v>
      </c>
      <c r="L204" s="2"/>
      <c r="M204" s="2" t="s">
        <v>2</v>
      </c>
      <c r="N204" s="7">
        <v>0</v>
      </c>
      <c r="O204" s="3"/>
    </row>
    <row r="205" spans="1:15" ht="15" x14ac:dyDescent="0.35">
      <c r="A205" s="1"/>
      <c r="B205" s="2"/>
      <c r="C205" s="15"/>
      <c r="D205" s="15" t="str">
        <f>D186</f>
        <v>Grogol, 02 Mei   2026</v>
      </c>
      <c r="E205" s="2"/>
      <c r="F205" s="1"/>
      <c r="G205" s="2"/>
      <c r="H205" s="15"/>
      <c r="I205" s="15" t="str">
        <f>D205</f>
        <v>Grogol, 02 Mei   2026</v>
      </c>
      <c r="J205" s="15"/>
      <c r="K205" s="1"/>
      <c r="L205" s="2"/>
      <c r="M205" s="15"/>
      <c r="N205" s="15" t="str">
        <f>I205</f>
        <v>Grogol, 02 Mei   2026</v>
      </c>
      <c r="O205" s="16"/>
    </row>
    <row r="206" spans="1:15" ht="15" x14ac:dyDescent="0.35">
      <c r="A206" s="1"/>
      <c r="B206" s="2"/>
      <c r="C206" s="2"/>
      <c r="D206" s="15" t="s">
        <v>15</v>
      </c>
      <c r="E206" s="15"/>
      <c r="F206" s="1"/>
      <c r="G206" s="2"/>
      <c r="H206" s="2"/>
      <c r="I206" s="15" t="s">
        <v>15</v>
      </c>
      <c r="J206" s="2"/>
      <c r="K206" s="1"/>
      <c r="L206" s="2"/>
      <c r="M206" s="2"/>
      <c r="N206" s="15" t="s">
        <v>15</v>
      </c>
      <c r="O206" s="3"/>
    </row>
    <row r="207" spans="1:15" ht="15" x14ac:dyDescent="0.35">
      <c r="A207" s="1"/>
      <c r="B207" s="2"/>
      <c r="C207" s="2"/>
      <c r="D207" s="15"/>
      <c r="E207" s="2"/>
      <c r="F207" s="1"/>
      <c r="G207" s="2"/>
      <c r="H207" s="2"/>
      <c r="I207" s="15"/>
      <c r="J207" s="2"/>
      <c r="K207" s="1"/>
      <c r="L207" s="2"/>
      <c r="M207" s="2"/>
      <c r="N207" s="15"/>
      <c r="O207" s="3"/>
    </row>
    <row r="208" spans="1:15" ht="15" x14ac:dyDescent="0.35">
      <c r="A208" s="1"/>
      <c r="B208" s="2"/>
      <c r="C208" s="2"/>
      <c r="D208" s="15"/>
      <c r="E208" s="2"/>
      <c r="F208" s="1"/>
      <c r="G208" s="2"/>
      <c r="H208" s="2"/>
      <c r="I208" s="15"/>
      <c r="J208" s="2"/>
      <c r="K208" s="1"/>
      <c r="L208" s="2"/>
      <c r="M208" s="2"/>
      <c r="N208" s="15"/>
      <c r="O208" s="3"/>
    </row>
    <row r="209" spans="1:15" ht="15.6" thickBot="1" x14ac:dyDescent="0.4">
      <c r="A209" s="17"/>
      <c r="B209" s="18"/>
      <c r="C209" s="18"/>
      <c r="D209" s="19" t="s">
        <v>16</v>
      </c>
      <c r="E209" s="18"/>
      <c r="F209" s="17"/>
      <c r="G209" s="18"/>
      <c r="H209" s="18"/>
      <c r="I209" s="19" t="s">
        <v>16</v>
      </c>
      <c r="J209" s="18"/>
      <c r="K209" s="17"/>
      <c r="L209" s="18"/>
      <c r="M209" s="18"/>
      <c r="N209" s="19" t="s">
        <v>16</v>
      </c>
      <c r="O209" s="20"/>
    </row>
    <row r="210" spans="1:15" ht="15" x14ac:dyDescent="0.35">
      <c r="A210" s="46" t="s">
        <v>0</v>
      </c>
      <c r="B210" s="47"/>
      <c r="C210" s="47"/>
      <c r="D210" s="47"/>
      <c r="E210" s="47"/>
      <c r="F210" s="46" t="s">
        <v>0</v>
      </c>
      <c r="G210" s="47"/>
      <c r="H210" s="47"/>
      <c r="I210" s="47"/>
      <c r="J210" s="47"/>
      <c r="K210" s="46" t="s">
        <v>0</v>
      </c>
      <c r="L210" s="47"/>
      <c r="M210" s="47"/>
      <c r="N210" s="47"/>
      <c r="O210" s="48"/>
    </row>
    <row r="211" spans="1:15" ht="15" x14ac:dyDescent="0.35">
      <c r="A211" s="1"/>
      <c r="B211" s="2"/>
      <c r="C211" s="2"/>
      <c r="D211" s="2"/>
      <c r="E211" s="2"/>
      <c r="F211" s="1"/>
      <c r="G211" s="2"/>
      <c r="H211" s="2"/>
      <c r="I211" s="2"/>
      <c r="J211" s="2"/>
      <c r="K211" s="1"/>
      <c r="L211" s="2"/>
      <c r="M211" s="2"/>
      <c r="N211" s="2"/>
      <c r="O211" s="3"/>
    </row>
    <row r="212" spans="1:15" ht="15" x14ac:dyDescent="0.35">
      <c r="A212" s="1" t="s">
        <v>1</v>
      </c>
      <c r="B212" s="2" t="s">
        <v>2</v>
      </c>
      <c r="C212" s="50" t="str">
        <f>[17]krnmei!$B$1174</f>
        <v>SRI WAHYUNINGSIH</v>
      </c>
      <c r="D212" s="50"/>
      <c r="E212" s="4">
        <v>43</v>
      </c>
      <c r="F212" s="1" t="s">
        <v>1</v>
      </c>
      <c r="G212" s="2" t="s">
        <v>2</v>
      </c>
      <c r="H212" s="50" t="s">
        <v>35</v>
      </c>
      <c r="I212" s="50"/>
      <c r="J212" s="4">
        <v>28</v>
      </c>
      <c r="K212" s="1" t="s">
        <v>1</v>
      </c>
      <c r="L212" s="2" t="s">
        <v>2</v>
      </c>
      <c r="M212" s="52" t="s">
        <v>70</v>
      </c>
      <c r="N212" s="52"/>
      <c r="O212" s="6">
        <v>27</v>
      </c>
    </row>
    <row r="213" spans="1:15" ht="15" x14ac:dyDescent="0.35">
      <c r="A213" s="1" t="s">
        <v>4</v>
      </c>
      <c r="B213" s="2"/>
      <c r="C213" s="2" t="s">
        <v>2</v>
      </c>
      <c r="D213" s="2"/>
      <c r="F213" s="1" t="s">
        <v>4</v>
      </c>
      <c r="G213" s="2"/>
      <c r="H213" s="2" t="s">
        <v>2</v>
      </c>
      <c r="I213" s="2"/>
      <c r="J213" s="2"/>
      <c r="K213" s="1" t="s">
        <v>4</v>
      </c>
      <c r="L213" s="2"/>
      <c r="M213" s="2" t="s">
        <v>2</v>
      </c>
      <c r="N213" s="2"/>
      <c r="O213" s="3"/>
    </row>
    <row r="214" spans="1:15" ht="15" x14ac:dyDescent="0.35">
      <c r="A214" s="1" t="s">
        <v>5</v>
      </c>
      <c r="B214" s="2"/>
      <c r="C214" s="2" t="s">
        <v>2</v>
      </c>
      <c r="D214" s="8">
        <f>'[3]KARNING 2021'!$C$667</f>
        <v>100000</v>
      </c>
      <c r="E214" s="2"/>
      <c r="F214" s="1" t="s">
        <v>82</v>
      </c>
      <c r="G214" s="2"/>
      <c r="H214" s="2" t="s">
        <v>2</v>
      </c>
      <c r="I214" s="8">
        <f>[18]krnmei!$C$693</f>
        <v>15000</v>
      </c>
      <c r="J214" s="2"/>
      <c r="K214" s="1" t="s">
        <v>82</v>
      </c>
      <c r="L214" s="2"/>
      <c r="M214" s="2" t="s">
        <v>2</v>
      </c>
      <c r="N214" s="8">
        <v>100000</v>
      </c>
      <c r="O214" s="3"/>
    </row>
    <row r="215" spans="1:15" ht="15" x14ac:dyDescent="0.35">
      <c r="A215" s="1" t="s">
        <v>6</v>
      </c>
      <c r="B215" s="2"/>
      <c r="C215" s="2" t="s">
        <v>2</v>
      </c>
      <c r="D215" s="8">
        <f>'[3]KARNING 2021'!$D$667</f>
        <v>25000</v>
      </c>
      <c r="E215" s="2"/>
      <c r="F215" s="1" t="s">
        <v>6</v>
      </c>
      <c r="G215" s="2"/>
      <c r="H215" s="2" t="s">
        <v>2</v>
      </c>
      <c r="I215" s="8">
        <f>'[3]KARNING 2021'!$D$684</f>
        <v>10000</v>
      </c>
      <c r="J215" s="2"/>
      <c r="K215" s="1" t="s">
        <v>6</v>
      </c>
      <c r="L215" s="2"/>
      <c r="M215" s="2" t="s">
        <v>2</v>
      </c>
      <c r="N215" s="8">
        <v>50000</v>
      </c>
      <c r="O215" s="3"/>
    </row>
    <row r="216" spans="1:15" ht="15" x14ac:dyDescent="0.35">
      <c r="A216" s="1" t="s">
        <v>7</v>
      </c>
      <c r="B216" s="2"/>
      <c r="C216" s="2" t="s">
        <v>2</v>
      </c>
      <c r="D216" s="8">
        <f>[30]krnmei!$E$1183+50000</f>
        <v>100000</v>
      </c>
      <c r="E216" s="2"/>
      <c r="F216" s="1" t="s">
        <v>7</v>
      </c>
      <c r="G216" s="2"/>
      <c r="H216" s="2" t="s">
        <v>2</v>
      </c>
      <c r="I216" s="8">
        <f>[10]krnmei!$E$689</f>
        <v>200000</v>
      </c>
      <c r="J216" s="2"/>
      <c r="K216" s="1" t="s">
        <v>7</v>
      </c>
      <c r="L216" s="2"/>
      <c r="M216" s="2" t="s">
        <v>2</v>
      </c>
      <c r="N216" s="8">
        <v>100000</v>
      </c>
      <c r="O216" s="3"/>
    </row>
    <row r="217" spans="1:15" ht="15" x14ac:dyDescent="0.35">
      <c r="A217" s="1" t="s">
        <v>8</v>
      </c>
      <c r="B217" s="21"/>
      <c r="C217" s="2" t="s">
        <v>2</v>
      </c>
      <c r="D217" s="25"/>
      <c r="E217" s="2"/>
      <c r="F217" s="1" t="s">
        <v>8</v>
      </c>
      <c r="G217" s="21">
        <v>10</v>
      </c>
      <c r="H217" s="2" t="s">
        <v>2</v>
      </c>
      <c r="I217" s="8">
        <f>[31]krnmei!$I$691</f>
        <v>1500000</v>
      </c>
      <c r="J217" s="2"/>
      <c r="K217" s="1" t="s">
        <v>8</v>
      </c>
      <c r="L217" s="21">
        <v>0</v>
      </c>
      <c r="M217" s="2"/>
      <c r="N217" s="25">
        <v>0</v>
      </c>
      <c r="O217" s="3"/>
    </row>
    <row r="218" spans="1:15" ht="15" x14ac:dyDescent="0.35">
      <c r="A218" s="1" t="s">
        <v>9</v>
      </c>
      <c r="B218" s="2"/>
      <c r="C218" s="2" t="s">
        <v>2</v>
      </c>
      <c r="D218" s="25">
        <v>0</v>
      </c>
      <c r="E218" s="2"/>
      <c r="F218" s="1" t="s">
        <v>9</v>
      </c>
      <c r="G218" s="2"/>
      <c r="H218" s="2" t="s">
        <v>2</v>
      </c>
      <c r="I218" s="11">
        <f>[41]krnmei!$K$688</f>
        <v>97500</v>
      </c>
      <c r="J218" s="2"/>
      <c r="K218" s="1" t="s">
        <v>9</v>
      </c>
      <c r="L218" s="2"/>
      <c r="M218" s="2" t="s">
        <v>2</v>
      </c>
      <c r="N218" s="11">
        <v>0</v>
      </c>
      <c r="O218" s="3"/>
    </row>
    <row r="219" spans="1:15" ht="15" x14ac:dyDescent="0.35">
      <c r="A219" s="1" t="s">
        <v>10</v>
      </c>
      <c r="B219" s="2"/>
      <c r="C219" s="2" t="s">
        <v>2</v>
      </c>
      <c r="D219" s="8">
        <v>0</v>
      </c>
      <c r="E219" s="2"/>
      <c r="F219" s="1" t="s">
        <v>10</v>
      </c>
      <c r="G219" s="2"/>
      <c r="H219" s="2" t="s">
        <v>2</v>
      </c>
      <c r="I219" s="8">
        <v>0</v>
      </c>
      <c r="J219" s="2"/>
      <c r="K219" s="1" t="s">
        <v>10</v>
      </c>
      <c r="L219" s="2">
        <v>0</v>
      </c>
      <c r="M219" s="2" t="s">
        <v>2</v>
      </c>
      <c r="N219" s="8">
        <v>0</v>
      </c>
      <c r="O219" s="3"/>
    </row>
    <row r="220" spans="1:15" ht="15" x14ac:dyDescent="0.35">
      <c r="A220" s="1" t="s">
        <v>11</v>
      </c>
      <c r="B220" s="2"/>
      <c r="C220" s="2" t="s">
        <v>2</v>
      </c>
      <c r="D220" s="25">
        <v>0</v>
      </c>
      <c r="E220" s="2"/>
      <c r="F220" s="1" t="s">
        <v>11</v>
      </c>
      <c r="G220" s="2"/>
      <c r="H220" s="2" t="s">
        <v>2</v>
      </c>
      <c r="I220" s="9">
        <f>-I2190</f>
        <v>0</v>
      </c>
      <c r="J220" s="2"/>
      <c r="K220" s="1" t="s">
        <v>11</v>
      </c>
      <c r="L220" s="2"/>
      <c r="M220" s="2" t="s">
        <v>2</v>
      </c>
      <c r="N220" s="8">
        <v>0</v>
      </c>
      <c r="O220" s="3"/>
    </row>
    <row r="221" spans="1:15" ht="15" x14ac:dyDescent="0.35">
      <c r="A221" s="1" t="s">
        <v>12</v>
      </c>
      <c r="B221" s="2"/>
      <c r="C221" s="2" t="s">
        <v>2</v>
      </c>
      <c r="D221" s="7">
        <f>[17]krnmei!$F$1179</f>
        <v>25000</v>
      </c>
      <c r="E221" s="2"/>
      <c r="F221" s="1" t="s">
        <v>12</v>
      </c>
      <c r="G221" s="2"/>
      <c r="H221" s="2" t="s">
        <v>2</v>
      </c>
      <c r="I221" s="8">
        <f>[4]krnmei!$F$684</f>
        <v>0</v>
      </c>
      <c r="J221" s="2"/>
      <c r="K221" s="1" t="s">
        <v>12</v>
      </c>
      <c r="L221" s="2"/>
      <c r="M221" s="2" t="s">
        <v>2</v>
      </c>
      <c r="N221" s="8">
        <v>50000</v>
      </c>
      <c r="O221" s="3"/>
    </row>
    <row r="222" spans="1:15" ht="15" x14ac:dyDescent="0.35">
      <c r="A222" s="13" t="s">
        <v>13</v>
      </c>
      <c r="B222" s="5"/>
      <c r="C222" s="5" t="s">
        <v>2</v>
      </c>
      <c r="D222" s="24">
        <f>SUM(D214:D221)</f>
        <v>250000</v>
      </c>
      <c r="E222" s="2"/>
      <c r="F222" s="13" t="s">
        <v>13</v>
      </c>
      <c r="G222" s="5"/>
      <c r="H222" s="5" t="s">
        <v>2</v>
      </c>
      <c r="I222" s="24">
        <f>SUM(I214:I221)</f>
        <v>1822500</v>
      </c>
      <c r="J222" s="2"/>
      <c r="K222" s="13" t="s">
        <v>13</v>
      </c>
      <c r="L222" s="5"/>
      <c r="M222" s="5" t="s">
        <v>2</v>
      </c>
      <c r="N222" s="24">
        <f>SUM(N214:N221)</f>
        <v>300000</v>
      </c>
      <c r="O222" s="3"/>
    </row>
    <row r="223" spans="1:15" ht="15" x14ac:dyDescent="0.35">
      <c r="A223" s="1" t="s">
        <v>14</v>
      </c>
      <c r="B223" s="2"/>
      <c r="C223" s="2" t="s">
        <v>2</v>
      </c>
      <c r="D223" s="25">
        <v>0</v>
      </c>
      <c r="E223" s="2"/>
      <c r="F223" s="1" t="s">
        <v>14</v>
      </c>
      <c r="G223" s="2"/>
      <c r="H223" s="2" t="s">
        <v>2</v>
      </c>
      <c r="I223" s="25">
        <f>[41]krnmei!$J$688</f>
        <v>5000000</v>
      </c>
      <c r="J223" s="2"/>
      <c r="K223" s="1" t="s">
        <v>14</v>
      </c>
      <c r="L223" s="2"/>
      <c r="M223" s="2" t="s">
        <v>2</v>
      </c>
      <c r="N223" s="25">
        <v>0</v>
      </c>
      <c r="O223" s="3"/>
    </row>
    <row r="224" spans="1:15" ht="15" x14ac:dyDescent="0.35">
      <c r="A224" s="1"/>
      <c r="B224" s="2"/>
      <c r="C224" s="15"/>
      <c r="D224" s="15" t="str">
        <f>D205</f>
        <v>Grogol, 02 Mei   2026</v>
      </c>
      <c r="E224" s="2"/>
      <c r="F224" s="1"/>
      <c r="G224" s="2"/>
      <c r="H224" s="15"/>
      <c r="I224" s="15" t="str">
        <f>D224</f>
        <v>Grogol, 02 Mei   2026</v>
      </c>
      <c r="J224" s="15"/>
      <c r="K224" s="1"/>
      <c r="L224" s="2"/>
      <c r="M224" s="15"/>
      <c r="N224" s="15" t="str">
        <f>I224</f>
        <v>Grogol, 02 Mei   2026</v>
      </c>
      <c r="O224" s="16"/>
    </row>
    <row r="225" spans="1:15" ht="15" x14ac:dyDescent="0.35">
      <c r="A225" s="1"/>
      <c r="B225" s="2"/>
      <c r="C225" s="2"/>
      <c r="D225" s="15" t="s">
        <v>15</v>
      </c>
      <c r="E225" s="15"/>
      <c r="F225" s="1"/>
      <c r="G225" s="2"/>
      <c r="H225" s="2"/>
      <c r="I225" s="15" t="s">
        <v>15</v>
      </c>
      <c r="J225" s="2"/>
      <c r="K225" s="1"/>
      <c r="L225" s="2"/>
      <c r="M225" s="2"/>
      <c r="N225" s="15" t="s">
        <v>15</v>
      </c>
      <c r="O225" s="3"/>
    </row>
    <row r="226" spans="1:15" ht="15" x14ac:dyDescent="0.35">
      <c r="A226" s="1"/>
      <c r="B226" s="2"/>
      <c r="C226" s="2"/>
      <c r="D226" s="15"/>
      <c r="E226" s="2"/>
      <c r="F226" s="1"/>
      <c r="G226" s="2"/>
      <c r="H226" s="2"/>
      <c r="I226" s="15"/>
      <c r="J226" s="2"/>
      <c r="K226" s="1"/>
      <c r="L226" s="2"/>
      <c r="M226" s="2"/>
      <c r="N226" s="15"/>
      <c r="O226" s="3"/>
    </row>
    <row r="227" spans="1:15" ht="15" x14ac:dyDescent="0.35">
      <c r="A227" s="1"/>
      <c r="B227" s="2"/>
      <c r="C227" s="2"/>
      <c r="D227" s="15"/>
      <c r="E227" s="2"/>
      <c r="F227" s="1"/>
      <c r="G227" s="2"/>
      <c r="H227" s="2"/>
      <c r="I227" s="15"/>
      <c r="J227" s="2"/>
      <c r="K227" s="1"/>
      <c r="L227" s="2"/>
      <c r="M227" s="2"/>
      <c r="N227" s="15"/>
      <c r="O227" s="3"/>
    </row>
    <row r="228" spans="1:15" ht="15.6" thickBot="1" x14ac:dyDescent="0.4">
      <c r="A228" s="17"/>
      <c r="B228" s="18"/>
      <c r="C228" s="18"/>
      <c r="D228" s="19" t="s">
        <v>16</v>
      </c>
      <c r="E228" s="18"/>
      <c r="F228" s="17"/>
      <c r="G228" s="18"/>
      <c r="H228" s="18"/>
      <c r="I228" s="19" t="s">
        <v>16</v>
      </c>
      <c r="J228" s="18"/>
      <c r="K228" s="17"/>
      <c r="L228" s="18"/>
      <c r="M228" s="18"/>
      <c r="N228" s="19" t="s">
        <v>16</v>
      </c>
      <c r="O228" s="20"/>
    </row>
    <row r="229" spans="1:15" ht="15" x14ac:dyDescent="0.35">
      <c r="A229" s="46" t="s">
        <v>0</v>
      </c>
      <c r="B229" s="47"/>
      <c r="C229" s="47"/>
      <c r="D229" s="47"/>
      <c r="E229" s="47"/>
      <c r="F229" s="46" t="s">
        <v>0</v>
      </c>
      <c r="G229" s="47"/>
      <c r="H229" s="47"/>
      <c r="I229" s="47"/>
      <c r="J229" s="47"/>
      <c r="K229" s="46" t="s">
        <v>0</v>
      </c>
      <c r="L229" s="47"/>
      <c r="M229" s="47"/>
      <c r="N229" s="47"/>
      <c r="O229" s="48"/>
    </row>
    <row r="230" spans="1:15" ht="15" x14ac:dyDescent="0.35">
      <c r="A230" s="1"/>
      <c r="B230" s="2"/>
      <c r="C230" s="2"/>
      <c r="D230" s="2"/>
      <c r="E230" s="2"/>
      <c r="F230" s="1"/>
      <c r="G230" s="2"/>
      <c r="H230" s="2"/>
      <c r="I230" s="2"/>
      <c r="J230" s="2"/>
      <c r="K230" s="1"/>
      <c r="L230" s="2"/>
      <c r="M230" s="2"/>
      <c r="N230" s="2"/>
      <c r="O230" s="3"/>
    </row>
    <row r="231" spans="1:15" ht="15" x14ac:dyDescent="0.35">
      <c r="A231" s="1" t="s">
        <v>1</v>
      </c>
      <c r="B231" s="2" t="s">
        <v>2</v>
      </c>
      <c r="C231" s="5"/>
      <c r="D231" s="5" t="str">
        <f>[17]krnmei!$B$1157</f>
        <v>FAHIMAH D</v>
      </c>
      <c r="E231" s="4">
        <v>19</v>
      </c>
      <c r="F231" s="1" t="s">
        <v>1</v>
      </c>
      <c r="G231" s="2" t="s">
        <v>2</v>
      </c>
      <c r="H231" s="51" t="s">
        <v>36</v>
      </c>
      <c r="I231" s="51"/>
      <c r="J231" s="4">
        <v>29</v>
      </c>
      <c r="K231" s="1" t="s">
        <v>1</v>
      </c>
      <c r="L231" s="2" t="s">
        <v>2</v>
      </c>
      <c r="M231" s="51" t="s">
        <v>37</v>
      </c>
      <c r="N231" s="51"/>
      <c r="O231" s="6">
        <v>30</v>
      </c>
    </row>
    <row r="232" spans="1:15" ht="15" x14ac:dyDescent="0.35">
      <c r="A232" s="1" t="s">
        <v>4</v>
      </c>
      <c r="B232" s="2"/>
      <c r="C232" s="2" t="s">
        <v>2</v>
      </c>
      <c r="D232" s="2"/>
      <c r="F232" s="1" t="s">
        <v>4</v>
      </c>
      <c r="G232" s="2"/>
      <c r="H232" s="2" t="s">
        <v>2</v>
      </c>
      <c r="I232" s="2"/>
      <c r="J232" s="2"/>
      <c r="K232" s="1" t="s">
        <v>4</v>
      </c>
      <c r="L232" s="2"/>
      <c r="M232" s="2" t="s">
        <v>2</v>
      </c>
      <c r="N232" s="2"/>
      <c r="O232" s="3"/>
    </row>
    <row r="233" spans="1:15" ht="15" x14ac:dyDescent="0.35">
      <c r="A233" s="1" t="s">
        <v>5</v>
      </c>
      <c r="B233" s="2"/>
      <c r="C233" s="2" t="s">
        <v>2</v>
      </c>
      <c r="D233" s="8">
        <f>[17]krnmei!$C$1162</f>
        <v>100000</v>
      </c>
      <c r="E233" s="2"/>
      <c r="F233" s="1" t="s">
        <v>5</v>
      </c>
      <c r="G233" s="2"/>
      <c r="H233" s="2" t="s">
        <v>2</v>
      </c>
      <c r="I233" s="8">
        <f>[18]krnmei!$C$744</f>
        <v>15000</v>
      </c>
      <c r="J233" s="2"/>
      <c r="K233" s="1" t="s">
        <v>5</v>
      </c>
      <c r="L233" s="2"/>
      <c r="M233" s="2" t="s">
        <v>2</v>
      </c>
      <c r="N233" s="8">
        <f>'[3]KARNING 2021'!$C$752</f>
        <v>10000</v>
      </c>
      <c r="O233" s="3"/>
    </row>
    <row r="234" spans="1:15" ht="15" x14ac:dyDescent="0.35">
      <c r="A234" s="1" t="s">
        <v>6</v>
      </c>
      <c r="B234" s="2"/>
      <c r="C234" s="2" t="s">
        <v>2</v>
      </c>
      <c r="D234" s="8">
        <v>100000</v>
      </c>
      <c r="E234" s="2"/>
      <c r="F234" s="1" t="s">
        <v>6</v>
      </c>
      <c r="G234" s="2"/>
      <c r="H234" s="2" t="s">
        <v>2</v>
      </c>
      <c r="I234" s="8">
        <f>'[3]KARNING 2021'!$D$735</f>
        <v>5000</v>
      </c>
      <c r="J234" s="2"/>
      <c r="K234" s="1" t="s">
        <v>6</v>
      </c>
      <c r="L234" s="2"/>
      <c r="M234" s="2" t="s">
        <v>2</v>
      </c>
      <c r="N234" s="8">
        <f>'[3]KARNING 2021'!$D$752</f>
        <v>15000</v>
      </c>
      <c r="O234" s="3"/>
    </row>
    <row r="235" spans="1:15" ht="15" x14ac:dyDescent="0.35">
      <c r="A235" s="1" t="s">
        <v>7</v>
      </c>
      <c r="B235" s="2"/>
      <c r="C235" s="2" t="s">
        <v>2</v>
      </c>
      <c r="D235" s="8">
        <f>[17]krnmei!$E$1162</f>
        <v>50000</v>
      </c>
      <c r="E235" s="2"/>
      <c r="F235" s="1" t="s">
        <v>7</v>
      </c>
      <c r="G235" s="2"/>
      <c r="H235" s="2" t="s">
        <v>2</v>
      </c>
      <c r="I235" s="8">
        <f>'[3]KARNING 2021'!$E$735</f>
        <v>150000</v>
      </c>
      <c r="J235" s="2"/>
      <c r="K235" s="1" t="s">
        <v>7</v>
      </c>
      <c r="L235" s="2"/>
      <c r="M235" s="2" t="s">
        <v>2</v>
      </c>
      <c r="N235" s="8">
        <v>0</v>
      </c>
      <c r="O235" s="3"/>
    </row>
    <row r="236" spans="1:15" ht="15" x14ac:dyDescent="0.35">
      <c r="A236" s="1" t="s">
        <v>8</v>
      </c>
      <c r="B236" s="21">
        <v>4</v>
      </c>
      <c r="C236" s="2" t="s">
        <v>2</v>
      </c>
      <c r="D236" s="8">
        <f>[39]krnmei!$I$1161</f>
        <v>300000</v>
      </c>
      <c r="E236" s="2"/>
      <c r="F236" s="1" t="s">
        <v>8</v>
      </c>
      <c r="G236" s="2">
        <v>40</v>
      </c>
      <c r="H236" s="2" t="s">
        <v>2</v>
      </c>
      <c r="I236" s="8">
        <f>[32]krnmei!$I$736</f>
        <v>250000</v>
      </c>
      <c r="J236" s="2"/>
      <c r="K236" s="1" t="s">
        <v>8</v>
      </c>
      <c r="L236" s="2">
        <v>66</v>
      </c>
      <c r="M236" s="2" t="s">
        <v>2</v>
      </c>
      <c r="N236" s="8">
        <f>[4]krnmei!$I$752</f>
        <v>200000</v>
      </c>
      <c r="O236" s="3"/>
    </row>
    <row r="237" spans="1:15" ht="15" x14ac:dyDescent="0.35">
      <c r="A237" s="1" t="s">
        <v>9</v>
      </c>
      <c r="B237" s="2"/>
      <c r="C237" s="2" t="s">
        <v>2</v>
      </c>
      <c r="D237" s="30">
        <f>[41]krnmei!$K$1164</f>
        <v>31500</v>
      </c>
      <c r="E237" s="2"/>
      <c r="F237" s="1" t="s">
        <v>9</v>
      </c>
      <c r="G237" s="2"/>
      <c r="H237" s="2" t="s">
        <v>2</v>
      </c>
      <c r="I237" s="30">
        <f>[41]krnmei!$K$739</f>
        <v>78750</v>
      </c>
      <c r="J237" s="2"/>
      <c r="K237" s="1" t="s">
        <v>9</v>
      </c>
      <c r="L237" s="2"/>
      <c r="M237" s="2" t="s">
        <v>2</v>
      </c>
      <c r="N237" s="11">
        <f>[41]krnmei!$K$756</f>
        <v>92250</v>
      </c>
      <c r="O237" s="3"/>
    </row>
    <row r="238" spans="1:15" ht="15" x14ac:dyDescent="0.35">
      <c r="A238" s="1" t="s">
        <v>10</v>
      </c>
      <c r="B238" s="2"/>
      <c r="C238" s="2" t="s">
        <v>2</v>
      </c>
      <c r="D238" s="8">
        <v>0</v>
      </c>
      <c r="E238" s="2"/>
      <c r="F238" s="1" t="s">
        <v>10</v>
      </c>
      <c r="G238" s="2">
        <v>0</v>
      </c>
      <c r="H238" s="2" t="s">
        <v>2</v>
      </c>
      <c r="I238" s="8">
        <v>0</v>
      </c>
      <c r="J238" s="2"/>
      <c r="K238" s="1" t="s">
        <v>10</v>
      </c>
      <c r="L238" s="21">
        <v>0</v>
      </c>
      <c r="M238" s="2" t="s">
        <v>2</v>
      </c>
      <c r="N238" s="8"/>
      <c r="O238" s="3"/>
    </row>
    <row r="239" spans="1:15" ht="15" x14ac:dyDescent="0.35">
      <c r="A239" s="1" t="s">
        <v>11</v>
      </c>
      <c r="B239" s="2"/>
      <c r="C239" s="2" t="s">
        <v>2</v>
      </c>
      <c r="D239" s="9">
        <f>[39]krnmei!$P$1161</f>
        <v>100000</v>
      </c>
      <c r="E239" s="2"/>
      <c r="F239" s="1" t="s">
        <v>11</v>
      </c>
      <c r="G239" s="2"/>
      <c r="H239" s="2" t="s">
        <v>2</v>
      </c>
      <c r="I239" s="9">
        <v>0</v>
      </c>
      <c r="J239" s="2"/>
      <c r="K239" s="1" t="s">
        <v>11</v>
      </c>
      <c r="L239" s="2"/>
      <c r="M239" s="2" t="s">
        <v>2</v>
      </c>
      <c r="N239" s="22">
        <v>0</v>
      </c>
      <c r="O239" s="3"/>
    </row>
    <row r="240" spans="1:15" ht="15" x14ac:dyDescent="0.35">
      <c r="A240" s="1" t="s">
        <v>12</v>
      </c>
      <c r="B240" s="2"/>
      <c r="C240" s="2" t="s">
        <v>2</v>
      </c>
      <c r="D240" s="8">
        <f>[17]krnmei!$F$1162</f>
        <v>50000</v>
      </c>
      <c r="E240" s="2"/>
      <c r="F240" s="1" t="s">
        <v>12</v>
      </c>
      <c r="G240" s="2"/>
      <c r="H240" s="2" t="s">
        <v>2</v>
      </c>
      <c r="I240" s="8">
        <f>'[3]KARNING 2021'!$F$735</f>
        <v>30000</v>
      </c>
      <c r="J240" s="2"/>
      <c r="K240" s="1" t="s">
        <v>12</v>
      </c>
      <c r="L240" s="2"/>
      <c r="M240" s="2" t="s">
        <v>2</v>
      </c>
      <c r="N240" s="8">
        <v>0</v>
      </c>
      <c r="O240" s="3"/>
    </row>
    <row r="241" spans="1:15" ht="15" x14ac:dyDescent="0.35">
      <c r="A241" s="13" t="s">
        <v>13</v>
      </c>
      <c r="B241" s="5"/>
      <c r="C241" s="5" t="s">
        <v>2</v>
      </c>
      <c r="D241" s="24">
        <f>SUM(D233:D240)</f>
        <v>731500</v>
      </c>
      <c r="E241" s="2"/>
      <c r="F241" s="13" t="s">
        <v>13</v>
      </c>
      <c r="G241" s="5"/>
      <c r="H241" s="5" t="s">
        <v>2</v>
      </c>
      <c r="I241" s="24">
        <f>SUM(I233:I240)</f>
        <v>528750</v>
      </c>
      <c r="J241" s="2"/>
      <c r="K241" s="13" t="s">
        <v>13</v>
      </c>
      <c r="L241" s="5"/>
      <c r="M241" s="5" t="s">
        <v>2</v>
      </c>
      <c r="N241" s="24">
        <f>SUM(N233:N240)</f>
        <v>317250</v>
      </c>
      <c r="O241" s="3"/>
    </row>
    <row r="242" spans="1:15" ht="15" x14ac:dyDescent="0.35">
      <c r="A242" s="1" t="s">
        <v>14</v>
      </c>
      <c r="B242" s="2"/>
      <c r="C242" s="2" t="s">
        <v>2</v>
      </c>
      <c r="D242" s="25">
        <f>[41]krnmei!$J$1164+5000000</f>
        <v>6800000</v>
      </c>
      <c r="E242" s="2"/>
      <c r="F242" s="1" t="s">
        <v>14</v>
      </c>
      <c r="G242" s="2"/>
      <c r="H242" s="2" t="s">
        <v>2</v>
      </c>
      <c r="I242" s="25">
        <f>[41]krnmei!$J$739</f>
        <v>5000000</v>
      </c>
      <c r="J242" s="2"/>
      <c r="K242" s="1" t="s">
        <v>14</v>
      </c>
      <c r="L242" s="2"/>
      <c r="M242" s="2" t="s">
        <v>2</v>
      </c>
      <c r="N242" s="27">
        <f>[41]krnmei!$J$756</f>
        <v>5950000</v>
      </c>
      <c r="O242" s="3"/>
    </row>
    <row r="243" spans="1:15" ht="15" x14ac:dyDescent="0.35">
      <c r="A243" s="1"/>
      <c r="B243" s="2"/>
      <c r="C243" s="15"/>
      <c r="D243" s="15" t="str">
        <f>D224</f>
        <v>Grogol, 02 Mei   2026</v>
      </c>
      <c r="E243" s="2"/>
      <c r="F243" s="1"/>
      <c r="G243" s="2"/>
      <c r="H243" s="15"/>
      <c r="I243" s="15" t="str">
        <f>D243</f>
        <v>Grogol, 02 Mei   2026</v>
      </c>
      <c r="J243" s="15"/>
      <c r="K243" s="1"/>
      <c r="L243" s="2"/>
      <c r="M243" s="15"/>
      <c r="N243" s="15" t="str">
        <f>I243</f>
        <v>Grogol, 02 Mei   2026</v>
      </c>
      <c r="O243" s="16"/>
    </row>
    <row r="244" spans="1:15" ht="15" x14ac:dyDescent="0.35">
      <c r="A244" s="1"/>
      <c r="B244" s="2"/>
      <c r="C244" s="2"/>
      <c r="D244" s="15" t="s">
        <v>15</v>
      </c>
      <c r="E244" s="15"/>
      <c r="F244" s="1"/>
      <c r="G244" s="2"/>
      <c r="H244" s="2"/>
      <c r="I244" s="15" t="s">
        <v>15</v>
      </c>
      <c r="J244" s="2"/>
      <c r="K244" s="1"/>
      <c r="L244" s="2"/>
      <c r="M244" s="2"/>
      <c r="N244" s="15" t="s">
        <v>15</v>
      </c>
      <c r="O244" s="3"/>
    </row>
    <row r="245" spans="1:15" ht="15" x14ac:dyDescent="0.35">
      <c r="A245" s="1"/>
      <c r="B245" s="2"/>
      <c r="C245" s="2"/>
      <c r="D245" s="15"/>
      <c r="E245" s="2"/>
      <c r="F245" s="1"/>
      <c r="G245" s="2"/>
      <c r="H245" s="2"/>
      <c r="I245" s="15"/>
      <c r="J245" s="2"/>
      <c r="K245" s="1"/>
      <c r="L245" s="2"/>
      <c r="M245" s="2"/>
      <c r="N245" s="15"/>
      <c r="O245" s="3"/>
    </row>
    <row r="246" spans="1:15" ht="15" x14ac:dyDescent="0.35">
      <c r="A246" s="1"/>
      <c r="B246" s="2"/>
      <c r="C246" s="2"/>
      <c r="D246" s="15"/>
      <c r="E246" s="2"/>
      <c r="F246" s="1"/>
      <c r="G246" s="2"/>
      <c r="H246" s="2"/>
      <c r="I246" s="15"/>
      <c r="J246" s="2"/>
      <c r="K246" s="1"/>
      <c r="L246" s="2"/>
      <c r="M246" s="2"/>
      <c r="N246" s="15"/>
      <c r="O246" s="3"/>
    </row>
    <row r="247" spans="1:15" ht="15.6" thickBot="1" x14ac:dyDescent="0.4">
      <c r="A247" s="17"/>
      <c r="B247" s="18"/>
      <c r="C247" s="18"/>
      <c r="D247" s="19" t="s">
        <v>16</v>
      </c>
      <c r="E247" s="18"/>
      <c r="F247" s="17"/>
      <c r="G247" s="18"/>
      <c r="H247" s="18"/>
      <c r="I247" s="19" t="s">
        <v>16</v>
      </c>
      <c r="J247" s="18"/>
      <c r="K247" s="17"/>
      <c r="L247" s="18"/>
      <c r="M247" s="18"/>
      <c r="N247" s="19" t="s">
        <v>16</v>
      </c>
      <c r="O247" s="20"/>
    </row>
    <row r="248" spans="1:15" ht="15" x14ac:dyDescent="0.35">
      <c r="A248" s="46" t="s">
        <v>0</v>
      </c>
      <c r="B248" s="47"/>
      <c r="C248" s="47"/>
      <c r="D248" s="47"/>
      <c r="E248" s="47"/>
      <c r="F248" s="46" t="s">
        <v>0</v>
      </c>
      <c r="G248" s="47"/>
      <c r="H248" s="47"/>
      <c r="I248" s="47"/>
      <c r="J248" s="47"/>
      <c r="K248" s="46" t="s">
        <v>0</v>
      </c>
      <c r="L248" s="47"/>
      <c r="M248" s="47"/>
      <c r="N248" s="47"/>
      <c r="O248" s="48"/>
    </row>
    <row r="249" spans="1:15" ht="15" x14ac:dyDescent="0.35">
      <c r="A249" s="1"/>
      <c r="B249" s="2"/>
      <c r="C249" s="2"/>
      <c r="D249" s="2"/>
      <c r="E249" s="2"/>
      <c r="F249" s="1"/>
      <c r="G249" s="2"/>
      <c r="H249" s="2"/>
      <c r="I249" s="2"/>
      <c r="J249" s="2"/>
      <c r="K249" s="1"/>
      <c r="L249" s="2"/>
      <c r="M249" s="2"/>
      <c r="N249" s="2"/>
      <c r="O249" s="3"/>
    </row>
    <row r="250" spans="1:15" ht="15" x14ac:dyDescent="0.35">
      <c r="A250" s="1" t="s">
        <v>1</v>
      </c>
      <c r="B250" s="2" t="s">
        <v>2</v>
      </c>
      <c r="C250" s="51" t="s">
        <v>38</v>
      </c>
      <c r="D250" s="51"/>
      <c r="E250" s="4">
        <v>31</v>
      </c>
      <c r="F250" s="1" t="s">
        <v>1</v>
      </c>
      <c r="G250" s="2" t="s">
        <v>2</v>
      </c>
      <c r="H250" s="50" t="s">
        <v>39</v>
      </c>
      <c r="I250" s="50"/>
      <c r="J250" s="4">
        <v>32</v>
      </c>
      <c r="K250" s="1" t="s">
        <v>1</v>
      </c>
      <c r="L250" s="2" t="s">
        <v>2</v>
      </c>
      <c r="M250" s="50" t="s">
        <v>40</v>
      </c>
      <c r="N250" s="50"/>
      <c r="O250" s="6">
        <v>33</v>
      </c>
    </row>
    <row r="251" spans="1:15" ht="15" x14ac:dyDescent="0.35">
      <c r="A251" s="1" t="s">
        <v>4</v>
      </c>
      <c r="B251" s="2"/>
      <c r="C251" s="2" t="s">
        <v>2</v>
      </c>
      <c r="D251" s="2"/>
      <c r="F251" s="1" t="s">
        <v>4</v>
      </c>
      <c r="G251" s="2"/>
      <c r="H251" s="2" t="s">
        <v>2</v>
      </c>
      <c r="I251" s="2"/>
      <c r="J251" s="2"/>
      <c r="K251" s="1" t="s">
        <v>4</v>
      </c>
      <c r="L251" s="2"/>
      <c r="M251" s="2" t="s">
        <v>2</v>
      </c>
      <c r="N251" s="2"/>
      <c r="O251" s="3"/>
    </row>
    <row r="252" spans="1:15" ht="15" x14ac:dyDescent="0.35">
      <c r="A252" s="1" t="s">
        <v>5</v>
      </c>
      <c r="B252" s="2"/>
      <c r="C252" s="2" t="s">
        <v>2</v>
      </c>
      <c r="D252" s="8">
        <v>0</v>
      </c>
      <c r="E252" s="2"/>
      <c r="F252" s="1" t="s">
        <v>5</v>
      </c>
      <c r="G252" s="2"/>
      <c r="H252" s="2" t="s">
        <v>2</v>
      </c>
      <c r="I252" s="8">
        <f>'[3]KARNING 2021'!$C$786</f>
        <v>15000</v>
      </c>
      <c r="J252" s="2"/>
      <c r="K252" s="1" t="s">
        <v>5</v>
      </c>
      <c r="L252" s="2"/>
      <c r="M252" s="2" t="s">
        <v>2</v>
      </c>
      <c r="N252" s="8"/>
      <c r="O252" s="3"/>
    </row>
    <row r="253" spans="1:15" ht="15" x14ac:dyDescent="0.35">
      <c r="A253" s="1" t="s">
        <v>6</v>
      </c>
      <c r="B253" s="2"/>
      <c r="C253" s="2" t="s">
        <v>2</v>
      </c>
      <c r="D253" s="8">
        <v>0</v>
      </c>
      <c r="E253" s="2"/>
      <c r="F253" s="1" t="s">
        <v>6</v>
      </c>
      <c r="G253" s="2"/>
      <c r="H253" s="2" t="s">
        <v>2</v>
      </c>
      <c r="I253" s="8">
        <f>'[3]KARNING 2021'!$D$786</f>
        <v>20000</v>
      </c>
      <c r="J253" s="2"/>
      <c r="K253" s="1" t="s">
        <v>6</v>
      </c>
      <c r="L253" s="2"/>
      <c r="M253" s="2" t="s">
        <v>2</v>
      </c>
      <c r="N253" s="8"/>
      <c r="O253" s="3"/>
    </row>
    <row r="254" spans="1:15" ht="15" x14ac:dyDescent="0.35">
      <c r="A254" s="1" t="s">
        <v>7</v>
      </c>
      <c r="B254" s="2"/>
      <c r="C254" s="2" t="s">
        <v>2</v>
      </c>
      <c r="D254" s="8">
        <v>0</v>
      </c>
      <c r="E254" s="2"/>
      <c r="F254" s="1" t="s">
        <v>7</v>
      </c>
      <c r="G254" s="2"/>
      <c r="H254" s="2" t="s">
        <v>2</v>
      </c>
      <c r="I254" s="8">
        <f>'[3]KARNING 2021'!$E$786</f>
        <v>200000</v>
      </c>
      <c r="J254" s="2"/>
      <c r="K254" s="1" t="s">
        <v>7</v>
      </c>
      <c r="L254" s="2"/>
      <c r="M254" s="2" t="s">
        <v>2</v>
      </c>
      <c r="N254" s="8"/>
      <c r="O254" s="3"/>
    </row>
    <row r="255" spans="1:15" ht="15" x14ac:dyDescent="0.35">
      <c r="A255" s="1" t="s">
        <v>8</v>
      </c>
      <c r="B255" s="21">
        <v>0</v>
      </c>
      <c r="C255" s="2" t="s">
        <v>2</v>
      </c>
      <c r="D255" s="8">
        <v>0</v>
      </c>
      <c r="E255" s="2"/>
      <c r="F255" s="1" t="s">
        <v>8</v>
      </c>
      <c r="G255" s="21">
        <v>21</v>
      </c>
      <c r="H255" s="2" t="s">
        <v>2</v>
      </c>
      <c r="I255" s="8">
        <f>[4]krnmei!$I$786</f>
        <v>300000</v>
      </c>
      <c r="J255" s="2"/>
      <c r="K255" s="1" t="s">
        <v>8</v>
      </c>
      <c r="L255" s="21">
        <v>0</v>
      </c>
      <c r="M255" s="2" t="s">
        <v>2</v>
      </c>
      <c r="N255" s="25"/>
      <c r="O255" s="3"/>
    </row>
    <row r="256" spans="1:15" ht="15" x14ac:dyDescent="0.35">
      <c r="A256" s="1" t="s">
        <v>9</v>
      </c>
      <c r="B256" s="2"/>
      <c r="C256" s="2" t="s">
        <v>2</v>
      </c>
      <c r="D256" s="11">
        <v>0</v>
      </c>
      <c r="E256" s="2"/>
      <c r="F256" s="1" t="s">
        <v>9</v>
      </c>
      <c r="G256" s="2"/>
      <c r="H256" s="2" t="s">
        <v>2</v>
      </c>
      <c r="I256" s="11">
        <f>[41]krnmei!$K$790</f>
        <v>80250</v>
      </c>
      <c r="J256" s="2"/>
      <c r="K256" s="1" t="s">
        <v>9</v>
      </c>
      <c r="L256" s="2"/>
      <c r="M256" s="2" t="s">
        <v>2</v>
      </c>
      <c r="N256" s="11"/>
      <c r="O256" s="3"/>
    </row>
    <row r="257" spans="1:15" ht="15" x14ac:dyDescent="0.35">
      <c r="A257" s="1" t="s">
        <v>10</v>
      </c>
      <c r="B257" s="2"/>
      <c r="C257" s="2" t="s">
        <v>2</v>
      </c>
      <c r="D257" s="8"/>
      <c r="E257" s="2"/>
      <c r="F257" s="1" t="s">
        <v>10</v>
      </c>
      <c r="G257" s="2">
        <v>0</v>
      </c>
      <c r="H257" s="2" t="s">
        <v>2</v>
      </c>
      <c r="I257" s="8"/>
      <c r="J257" s="2"/>
      <c r="K257" s="1" t="s">
        <v>10</v>
      </c>
      <c r="L257" s="2">
        <v>0</v>
      </c>
      <c r="M257" s="2" t="s">
        <v>2</v>
      </c>
      <c r="N257" s="8"/>
      <c r="O257" s="3"/>
    </row>
    <row r="258" spans="1:15" ht="15" x14ac:dyDescent="0.35">
      <c r="A258" s="1" t="s">
        <v>11</v>
      </c>
      <c r="B258" s="2"/>
      <c r="C258" s="2" t="s">
        <v>2</v>
      </c>
      <c r="D258" s="9">
        <v>0</v>
      </c>
      <c r="E258" s="2"/>
      <c r="F258" s="1" t="s">
        <v>11</v>
      </c>
      <c r="G258" s="2"/>
      <c r="H258" s="2" t="s">
        <v>2</v>
      </c>
      <c r="I258" s="9">
        <v>0</v>
      </c>
      <c r="J258" s="2"/>
      <c r="K258" s="1" t="s">
        <v>11</v>
      </c>
      <c r="L258" s="2"/>
      <c r="M258" s="2" t="s">
        <v>2</v>
      </c>
      <c r="N258" s="9"/>
      <c r="O258" s="3"/>
    </row>
    <row r="259" spans="1:15" ht="15" x14ac:dyDescent="0.35">
      <c r="A259" s="1" t="s">
        <v>12</v>
      </c>
      <c r="B259" s="2"/>
      <c r="C259" s="2" t="s">
        <v>2</v>
      </c>
      <c r="D259" s="8">
        <v>0</v>
      </c>
      <c r="E259" s="2"/>
      <c r="F259" s="1" t="s">
        <v>12</v>
      </c>
      <c r="G259" s="2"/>
      <c r="H259" s="2" t="s">
        <v>2</v>
      </c>
      <c r="I259" s="8">
        <v>50000</v>
      </c>
      <c r="J259" s="2"/>
      <c r="K259" s="1" t="s">
        <v>12</v>
      </c>
      <c r="L259" s="2"/>
      <c r="M259" s="2" t="s">
        <v>2</v>
      </c>
      <c r="N259" s="8"/>
      <c r="O259" s="3"/>
    </row>
    <row r="260" spans="1:15" ht="15" x14ac:dyDescent="0.35">
      <c r="A260" s="13" t="s">
        <v>13</v>
      </c>
      <c r="B260" s="5"/>
      <c r="C260" s="5" t="s">
        <v>2</v>
      </c>
      <c r="D260" s="24">
        <f>SUM(D252:D259)</f>
        <v>0</v>
      </c>
      <c r="E260" s="2"/>
      <c r="F260" s="13" t="s">
        <v>13</v>
      </c>
      <c r="G260" s="5"/>
      <c r="H260" s="5" t="s">
        <v>2</v>
      </c>
      <c r="I260" s="24">
        <f>SUM(I252:I259)</f>
        <v>665250</v>
      </c>
      <c r="J260" s="2"/>
      <c r="K260" s="13" t="s">
        <v>13</v>
      </c>
      <c r="L260" s="5"/>
      <c r="M260" s="5" t="s">
        <v>2</v>
      </c>
      <c r="N260" s="8"/>
      <c r="O260" s="3"/>
    </row>
    <row r="261" spans="1:15" ht="15" x14ac:dyDescent="0.35">
      <c r="A261" s="1" t="s">
        <v>14</v>
      </c>
      <c r="B261" s="2"/>
      <c r="C261" s="2" t="s">
        <v>2</v>
      </c>
      <c r="D261" s="27">
        <f>[39]krnmei!$J$770</f>
        <v>0</v>
      </c>
      <c r="E261" s="2"/>
      <c r="F261" s="1" t="s">
        <v>14</v>
      </c>
      <c r="G261" s="2"/>
      <c r="H261" s="2" t="s">
        <v>2</v>
      </c>
      <c r="I261" s="27">
        <f>[41]krnmei!$J$790</f>
        <v>5050000</v>
      </c>
      <c r="J261" s="2"/>
      <c r="K261" s="1" t="s">
        <v>14</v>
      </c>
      <c r="L261" s="2"/>
      <c r="M261" s="2" t="s">
        <v>2</v>
      </c>
      <c r="N261" s="27">
        <f>[39]krnmei!$J$804</f>
        <v>0</v>
      </c>
      <c r="O261" s="3"/>
    </row>
    <row r="262" spans="1:15" ht="15" x14ac:dyDescent="0.35">
      <c r="A262" s="1"/>
      <c r="B262" s="2"/>
      <c r="C262" s="15"/>
      <c r="D262" s="15" t="str">
        <f>D243</f>
        <v>Grogol, 02 Mei   2026</v>
      </c>
      <c r="E262" s="2"/>
      <c r="F262" s="1"/>
      <c r="G262" s="2"/>
      <c r="H262" s="15"/>
      <c r="I262" s="15" t="str">
        <f>D262</f>
        <v>Grogol, 02 Mei   2026</v>
      </c>
      <c r="J262" s="15"/>
      <c r="K262" s="1"/>
      <c r="L262" s="2"/>
      <c r="M262" s="15"/>
      <c r="N262" s="15" t="str">
        <f>I262</f>
        <v>Grogol, 02 Mei   2026</v>
      </c>
      <c r="O262" s="16"/>
    </row>
    <row r="263" spans="1:15" ht="15" x14ac:dyDescent="0.35">
      <c r="A263" s="1"/>
      <c r="B263" s="2"/>
      <c r="C263" s="2"/>
      <c r="D263" s="15" t="s">
        <v>15</v>
      </c>
      <c r="E263" s="15"/>
      <c r="F263" s="1"/>
      <c r="G263" s="2"/>
      <c r="H263" s="2"/>
      <c r="I263" s="15" t="s">
        <v>15</v>
      </c>
      <c r="J263" s="2"/>
      <c r="K263" s="1"/>
      <c r="L263" s="2"/>
      <c r="M263" s="2"/>
      <c r="N263" s="15" t="s">
        <v>15</v>
      </c>
      <c r="O263" s="3"/>
    </row>
    <row r="264" spans="1:15" ht="15" x14ac:dyDescent="0.35">
      <c r="A264" s="1"/>
      <c r="B264" s="2"/>
      <c r="C264" s="2"/>
      <c r="D264" s="15"/>
      <c r="E264" s="2"/>
      <c r="F264" s="1"/>
      <c r="G264" s="2"/>
      <c r="H264" s="2"/>
      <c r="I264" s="15"/>
      <c r="J264" s="2"/>
      <c r="K264" s="1"/>
      <c r="L264" s="2"/>
      <c r="M264" s="2"/>
      <c r="N264" s="15"/>
      <c r="O264" s="3"/>
    </row>
    <row r="265" spans="1:15" ht="15" x14ac:dyDescent="0.35">
      <c r="A265" s="1"/>
      <c r="B265" s="2"/>
      <c r="C265" s="2"/>
      <c r="D265" s="15"/>
      <c r="E265" s="2"/>
      <c r="F265" s="1"/>
      <c r="G265" s="2"/>
      <c r="H265" s="2"/>
      <c r="I265" s="15"/>
      <c r="J265" s="2"/>
      <c r="K265" s="1"/>
      <c r="L265" s="2"/>
      <c r="M265" s="2"/>
      <c r="N265" s="15"/>
      <c r="O265" s="3"/>
    </row>
    <row r="266" spans="1:15" ht="15.6" thickBot="1" x14ac:dyDescent="0.4">
      <c r="A266" s="17"/>
      <c r="B266" s="18"/>
      <c r="C266" s="18"/>
      <c r="D266" s="19" t="s">
        <v>16</v>
      </c>
      <c r="E266" s="18"/>
      <c r="F266" s="17"/>
      <c r="G266" s="18"/>
      <c r="H266" s="18"/>
      <c r="I266" s="19" t="s">
        <v>16</v>
      </c>
      <c r="J266" s="18"/>
      <c r="K266" s="17"/>
      <c r="L266" s="18"/>
      <c r="M266" s="18"/>
      <c r="N266" s="19" t="s">
        <v>16</v>
      </c>
      <c r="O266" s="20"/>
    </row>
    <row r="267" spans="1:15" ht="15" x14ac:dyDescent="0.35">
      <c r="A267" s="46" t="s">
        <v>0</v>
      </c>
      <c r="B267" s="47"/>
      <c r="C267" s="47"/>
      <c r="D267" s="47"/>
      <c r="E267" s="47"/>
      <c r="F267" s="46" t="s">
        <v>0</v>
      </c>
      <c r="G267" s="47"/>
      <c r="H267" s="47"/>
      <c r="I267" s="47"/>
      <c r="J267" s="47"/>
      <c r="K267" s="46" t="s">
        <v>0</v>
      </c>
      <c r="L267" s="47"/>
      <c r="M267" s="47"/>
      <c r="N267" s="47"/>
      <c r="O267" s="48"/>
    </row>
    <row r="268" spans="1:15" ht="15" x14ac:dyDescent="0.35">
      <c r="A268" s="1"/>
      <c r="B268" s="2"/>
      <c r="C268" s="2"/>
      <c r="D268" s="2"/>
      <c r="E268" s="2"/>
      <c r="F268" s="1"/>
      <c r="G268" s="2"/>
      <c r="H268" s="2"/>
      <c r="I268" s="2"/>
      <c r="J268" s="2"/>
      <c r="K268" s="1"/>
      <c r="L268" s="2"/>
      <c r="M268" s="2"/>
      <c r="N268" s="2"/>
      <c r="O268" s="3"/>
    </row>
    <row r="269" spans="1:15" ht="15" x14ac:dyDescent="0.35">
      <c r="A269" s="1" t="s">
        <v>1</v>
      </c>
      <c r="B269" s="2" t="s">
        <v>2</v>
      </c>
      <c r="C269" s="51" t="s">
        <v>41</v>
      </c>
      <c r="D269" s="51"/>
      <c r="E269" s="4">
        <v>34</v>
      </c>
      <c r="F269" s="1" t="s">
        <v>1</v>
      </c>
      <c r="G269" s="2"/>
      <c r="H269" s="50" t="s">
        <v>80</v>
      </c>
      <c r="I269" s="50"/>
      <c r="J269" s="4">
        <v>44</v>
      </c>
      <c r="K269" s="1" t="s">
        <v>1</v>
      </c>
      <c r="L269" s="2" t="s">
        <v>2</v>
      </c>
      <c r="M269" s="50" t="s">
        <v>42</v>
      </c>
      <c r="N269" s="50"/>
      <c r="O269" s="6">
        <v>35</v>
      </c>
    </row>
    <row r="270" spans="1:15" ht="15" x14ac:dyDescent="0.35">
      <c r="A270" s="1" t="s">
        <v>4</v>
      </c>
      <c r="B270" s="2"/>
      <c r="C270" s="2" t="s">
        <v>2</v>
      </c>
      <c r="D270" s="2"/>
      <c r="F270" s="1" t="s">
        <v>4</v>
      </c>
      <c r="G270" s="2"/>
      <c r="H270" s="2" t="s">
        <v>2</v>
      </c>
      <c r="I270" s="2"/>
      <c r="J270" s="2"/>
      <c r="K270" s="1" t="s">
        <v>4</v>
      </c>
      <c r="L270" s="2"/>
      <c r="M270" s="2" t="s">
        <v>2</v>
      </c>
      <c r="N270" s="2"/>
      <c r="O270" s="3"/>
    </row>
    <row r="271" spans="1:15" ht="15" x14ac:dyDescent="0.35">
      <c r="A271" s="1" t="s">
        <v>5</v>
      </c>
      <c r="B271" s="2"/>
      <c r="C271" s="2" t="s">
        <v>2</v>
      </c>
      <c r="D271" s="8">
        <f>'[3]KARNING 2021'!$C$820</f>
        <v>15000</v>
      </c>
      <c r="E271" s="2"/>
      <c r="F271" s="1" t="s">
        <v>5</v>
      </c>
      <c r="G271" s="2"/>
      <c r="H271" s="2" t="s">
        <v>2</v>
      </c>
      <c r="I271" s="8">
        <f>[33]krnmei!$C$1196</f>
        <v>15000</v>
      </c>
      <c r="J271" s="2"/>
      <c r="K271" s="1" t="s">
        <v>66</v>
      </c>
      <c r="L271" s="2"/>
      <c r="M271" s="2" t="s">
        <v>2</v>
      </c>
      <c r="N271" s="8">
        <f>[16]krnmei!$C$856</f>
        <v>15000</v>
      </c>
      <c r="O271" s="3"/>
    </row>
    <row r="272" spans="1:15" ht="15" x14ac:dyDescent="0.35">
      <c r="A272" s="1" t="s">
        <v>6</v>
      </c>
      <c r="B272" s="2"/>
      <c r="C272" s="2" t="s">
        <v>2</v>
      </c>
      <c r="D272" s="8">
        <f>'[3]KARNING 2021'!$D$820</f>
        <v>5000</v>
      </c>
      <c r="E272" s="2"/>
      <c r="F272" s="1" t="s">
        <v>6</v>
      </c>
      <c r="G272" s="2"/>
      <c r="H272" s="2" t="s">
        <v>2</v>
      </c>
      <c r="I272" s="8">
        <f>[33]krnmei!$D$1196</f>
        <v>50000</v>
      </c>
      <c r="J272" s="2"/>
      <c r="K272" s="1" t="s">
        <v>6</v>
      </c>
      <c r="L272" s="2"/>
      <c r="M272" s="2" t="s">
        <v>2</v>
      </c>
      <c r="N272" s="7">
        <f>'[3]KARNING 2021'!$D$854</f>
        <v>5000</v>
      </c>
      <c r="O272" s="3"/>
    </row>
    <row r="273" spans="1:15" ht="15" x14ac:dyDescent="0.35">
      <c r="A273" s="1" t="s">
        <v>7</v>
      </c>
      <c r="B273" s="2"/>
      <c r="C273" s="2" t="s">
        <v>2</v>
      </c>
      <c r="D273" s="8">
        <f>'[3]KARNING 2021'!$E$820</f>
        <v>230000</v>
      </c>
      <c r="E273" s="2"/>
      <c r="F273" s="1" t="s">
        <v>7</v>
      </c>
      <c r="G273" s="2"/>
      <c r="H273" s="2" t="s">
        <v>2</v>
      </c>
      <c r="I273" s="8">
        <v>80000</v>
      </c>
      <c r="J273" s="2"/>
      <c r="K273" s="1" t="s">
        <v>7</v>
      </c>
      <c r="L273" s="2"/>
      <c r="M273" s="2" t="s">
        <v>2</v>
      </c>
      <c r="N273" s="7">
        <v>0</v>
      </c>
      <c r="O273" s="3"/>
    </row>
    <row r="274" spans="1:15" ht="15" x14ac:dyDescent="0.35">
      <c r="A274" s="1" t="s">
        <v>8</v>
      </c>
      <c r="B274" s="21">
        <v>11</v>
      </c>
      <c r="C274" s="2" t="s">
        <v>2</v>
      </c>
      <c r="D274" s="8">
        <v>50000</v>
      </c>
      <c r="E274" s="2"/>
      <c r="F274" s="1" t="s">
        <v>8</v>
      </c>
      <c r="G274" s="2"/>
      <c r="H274" s="2" t="s">
        <v>2</v>
      </c>
      <c r="I274" s="8">
        <v>0</v>
      </c>
      <c r="J274" s="2"/>
      <c r="K274" s="1" t="s">
        <v>8</v>
      </c>
      <c r="L274" s="21">
        <v>34</v>
      </c>
      <c r="M274" s="2" t="s">
        <v>2</v>
      </c>
      <c r="N274" s="7">
        <v>400000</v>
      </c>
      <c r="O274" s="3"/>
    </row>
    <row r="275" spans="1:15" ht="15" x14ac:dyDescent="0.35">
      <c r="A275" s="1" t="s">
        <v>9</v>
      </c>
      <c r="B275" s="2"/>
      <c r="C275" s="2" t="s">
        <v>2</v>
      </c>
      <c r="D275" s="11">
        <f>[41]krnmei!$K$824</f>
        <v>7500</v>
      </c>
      <c r="E275" s="2"/>
      <c r="F275" s="1" t="s">
        <v>9</v>
      </c>
      <c r="G275" s="2"/>
      <c r="H275" s="2" t="s">
        <v>2</v>
      </c>
      <c r="I275" s="11">
        <v>0</v>
      </c>
      <c r="J275" s="2"/>
      <c r="K275" s="1" t="s">
        <v>9</v>
      </c>
      <c r="L275" s="2"/>
      <c r="M275" s="2" t="s">
        <v>2</v>
      </c>
      <c r="N275" s="11">
        <f>[41]krnmei!$K$858</f>
        <v>15000</v>
      </c>
      <c r="O275" s="3"/>
    </row>
    <row r="276" spans="1:15" ht="15" x14ac:dyDescent="0.35">
      <c r="A276" s="1" t="s">
        <v>10</v>
      </c>
      <c r="B276" s="2"/>
      <c r="C276" s="2" t="s">
        <v>2</v>
      </c>
      <c r="D276" s="8"/>
      <c r="E276" s="2"/>
      <c r="F276" s="1" t="s">
        <v>10</v>
      </c>
      <c r="G276" s="2">
        <v>1</v>
      </c>
      <c r="H276" s="2" t="s">
        <v>2</v>
      </c>
      <c r="I276" s="8">
        <f>[41]krnmei!$N$1198</f>
        <v>2000000</v>
      </c>
      <c r="J276" s="2"/>
      <c r="K276" s="1" t="s">
        <v>10</v>
      </c>
      <c r="L276" s="2">
        <v>0</v>
      </c>
      <c r="M276" s="2" t="s">
        <v>2</v>
      </c>
      <c r="N276" s="7">
        <v>0</v>
      </c>
      <c r="O276" s="3"/>
    </row>
    <row r="277" spans="1:15" ht="15" x14ac:dyDescent="0.35">
      <c r="A277" s="1" t="s">
        <v>11</v>
      </c>
      <c r="B277" s="2"/>
      <c r="C277" s="2" t="s">
        <v>2</v>
      </c>
      <c r="D277" s="9">
        <f>[9]krnmei!$P$830</f>
        <v>0</v>
      </c>
      <c r="E277" s="2"/>
      <c r="F277" s="1" t="s">
        <v>11</v>
      </c>
      <c r="G277" s="2"/>
      <c r="H277" s="2" t="s">
        <v>2</v>
      </c>
      <c r="I277" s="9">
        <f>[41]krnmei!$P$1198</f>
        <v>160000</v>
      </c>
      <c r="J277" s="2"/>
      <c r="K277" s="1" t="s">
        <v>11</v>
      </c>
      <c r="L277" s="2"/>
      <c r="M277" s="2" t="s">
        <v>2</v>
      </c>
      <c r="N277" s="7">
        <v>0</v>
      </c>
      <c r="O277" s="3"/>
    </row>
    <row r="278" spans="1:15" ht="15" x14ac:dyDescent="0.35">
      <c r="A278" s="1" t="s">
        <v>12</v>
      </c>
      <c r="B278" s="2"/>
      <c r="C278" s="2" t="s">
        <v>2</v>
      </c>
      <c r="D278" s="8">
        <f>'[3]KARNING 2021'!$F$820</f>
        <v>200000</v>
      </c>
      <c r="E278" s="2"/>
      <c r="F278" s="1" t="s">
        <v>12</v>
      </c>
      <c r="G278" s="2"/>
      <c r="H278" s="2" t="s">
        <v>2</v>
      </c>
      <c r="I278" s="8">
        <f>[33]krnmei!$F$1196</f>
        <v>55000</v>
      </c>
      <c r="J278" s="2"/>
      <c r="K278" s="1" t="s">
        <v>12</v>
      </c>
      <c r="L278" s="2"/>
      <c r="M278" s="2" t="s">
        <v>2</v>
      </c>
      <c r="N278" s="7">
        <v>0</v>
      </c>
      <c r="O278" s="3"/>
    </row>
    <row r="279" spans="1:15" ht="15" x14ac:dyDescent="0.35">
      <c r="A279" s="13" t="s">
        <v>13</v>
      </c>
      <c r="B279" s="5"/>
      <c r="C279" s="5" t="s">
        <v>2</v>
      </c>
      <c r="D279" s="8">
        <f>SUM(D271:D278)</f>
        <v>507500</v>
      </c>
      <c r="E279" s="2"/>
      <c r="F279" s="13" t="s">
        <v>13</v>
      </c>
      <c r="G279" s="5"/>
      <c r="H279" s="5" t="s">
        <v>2</v>
      </c>
      <c r="I279" s="24">
        <f>SUM(I271:I278)</f>
        <v>2360000</v>
      </c>
      <c r="J279" s="2"/>
      <c r="K279" s="13" t="s">
        <v>13</v>
      </c>
      <c r="L279" s="5"/>
      <c r="M279" s="5" t="s">
        <v>2</v>
      </c>
      <c r="N279" s="8">
        <f>SUM(N271:N278)</f>
        <v>435000</v>
      </c>
      <c r="O279" s="3"/>
    </row>
    <row r="280" spans="1:15" ht="15" x14ac:dyDescent="0.35">
      <c r="A280" s="1" t="s">
        <v>14</v>
      </c>
      <c r="B280" s="2"/>
      <c r="C280" s="2" t="s">
        <v>2</v>
      </c>
      <c r="D280" s="27">
        <f>[41]krnmei!$J$824</f>
        <v>450000</v>
      </c>
      <c r="E280" s="2"/>
      <c r="F280" s="1" t="s">
        <v>14</v>
      </c>
      <c r="G280" s="2"/>
      <c r="H280" s="2" t="s">
        <v>2</v>
      </c>
      <c r="I280" s="27">
        <f>[41]krnmei!$O$1198</f>
        <v>6000000</v>
      </c>
      <c r="J280" s="2"/>
      <c r="K280" s="1" t="s">
        <v>14</v>
      </c>
      <c r="L280" s="2"/>
      <c r="M280" s="2" t="s">
        <v>2</v>
      </c>
      <c r="N280" s="10">
        <f>[41]krnmei!$J$858</f>
        <v>600000</v>
      </c>
      <c r="O280" s="3"/>
    </row>
    <row r="281" spans="1:15" ht="15" x14ac:dyDescent="0.35">
      <c r="A281" s="1"/>
      <c r="B281" s="2"/>
      <c r="C281" s="15"/>
      <c r="D281" s="15" t="str">
        <f>D262</f>
        <v>Grogol, 02 Mei   2026</v>
      </c>
      <c r="E281" s="2"/>
      <c r="F281" s="1"/>
      <c r="G281" s="2"/>
      <c r="H281" s="15"/>
      <c r="I281" s="15" t="str">
        <f>D281</f>
        <v>Grogol, 02 Mei   2026</v>
      </c>
      <c r="J281" s="15"/>
      <c r="K281" s="1"/>
      <c r="L281" s="2"/>
      <c r="M281" s="15"/>
      <c r="N281" s="15" t="str">
        <f>I281</f>
        <v>Grogol, 02 Mei   2026</v>
      </c>
      <c r="O281" s="16"/>
    </row>
    <row r="282" spans="1:15" ht="15" x14ac:dyDescent="0.35">
      <c r="A282" s="1"/>
      <c r="B282" s="2"/>
      <c r="C282" s="2"/>
      <c r="D282" s="15" t="s">
        <v>15</v>
      </c>
      <c r="E282" s="15"/>
      <c r="F282" s="1"/>
      <c r="G282" s="2"/>
      <c r="H282" s="2"/>
      <c r="I282" s="15" t="s">
        <v>15</v>
      </c>
      <c r="J282" s="2"/>
      <c r="K282" s="1"/>
      <c r="L282" s="2"/>
      <c r="M282" s="2"/>
      <c r="N282" s="15" t="s">
        <v>15</v>
      </c>
      <c r="O282" s="3"/>
    </row>
    <row r="283" spans="1:15" ht="15" x14ac:dyDescent="0.35">
      <c r="A283" s="1"/>
      <c r="B283" s="2"/>
      <c r="C283" s="2"/>
      <c r="D283" s="15"/>
      <c r="E283" s="2"/>
      <c r="F283" s="1"/>
      <c r="G283" s="2"/>
      <c r="H283" s="2"/>
      <c r="I283" s="15"/>
      <c r="J283" s="2"/>
      <c r="K283" s="1"/>
      <c r="L283" s="2"/>
      <c r="M283" s="2"/>
      <c r="N283" s="2"/>
      <c r="O283" s="3"/>
    </row>
    <row r="284" spans="1:15" ht="15" x14ac:dyDescent="0.35">
      <c r="A284" s="1"/>
      <c r="B284" s="2"/>
      <c r="C284" s="2"/>
      <c r="D284" s="15"/>
      <c r="E284" s="2"/>
      <c r="F284" s="1"/>
      <c r="G284" s="2"/>
      <c r="H284" s="2"/>
      <c r="I284" s="15"/>
      <c r="J284" s="2"/>
      <c r="K284" s="1"/>
      <c r="L284" s="2"/>
      <c r="M284" s="2"/>
      <c r="N284" s="15"/>
      <c r="O284" s="3"/>
    </row>
    <row r="285" spans="1:15" ht="15.6" thickBot="1" x14ac:dyDescent="0.4">
      <c r="A285" s="17"/>
      <c r="B285" s="18"/>
      <c r="C285" s="18"/>
      <c r="D285" s="19" t="s">
        <v>16</v>
      </c>
      <c r="E285" s="18"/>
      <c r="F285" s="17"/>
      <c r="G285" s="18"/>
      <c r="H285" s="18"/>
      <c r="I285" s="19" t="s">
        <v>16</v>
      </c>
      <c r="J285" s="18"/>
      <c r="K285" s="17"/>
      <c r="L285" s="18"/>
      <c r="M285" s="18"/>
      <c r="N285" s="19" t="s">
        <v>16</v>
      </c>
      <c r="O285" s="20"/>
    </row>
    <row r="286" spans="1:15" ht="15" x14ac:dyDescent="0.35">
      <c r="A286" s="46" t="s">
        <v>0</v>
      </c>
      <c r="B286" s="47"/>
      <c r="C286" s="47"/>
      <c r="D286" s="47"/>
      <c r="E286" s="47"/>
      <c r="F286" s="46" t="s">
        <v>0</v>
      </c>
      <c r="G286" s="47"/>
      <c r="H286" s="47"/>
      <c r="I286" s="47"/>
      <c r="J286" s="47"/>
      <c r="K286" s="46" t="s">
        <v>0</v>
      </c>
      <c r="L286" s="47"/>
      <c r="M286" s="47"/>
      <c r="N286" s="47"/>
      <c r="O286" s="48"/>
    </row>
    <row r="287" spans="1:15" ht="15" x14ac:dyDescent="0.35">
      <c r="A287" s="1"/>
      <c r="B287" s="2"/>
      <c r="C287" s="2"/>
      <c r="D287" s="2"/>
      <c r="E287" s="4"/>
      <c r="F287" s="1"/>
      <c r="G287" s="2"/>
      <c r="H287" s="2"/>
      <c r="I287" s="2"/>
      <c r="J287" s="2"/>
      <c r="K287" s="1"/>
      <c r="L287" s="2"/>
      <c r="M287" s="2"/>
      <c r="N287" s="2"/>
      <c r="O287" s="3"/>
    </row>
    <row r="288" spans="1:15" ht="15" x14ac:dyDescent="0.35">
      <c r="A288" s="1" t="s">
        <v>1</v>
      </c>
      <c r="B288" s="2" t="s">
        <v>2</v>
      </c>
      <c r="C288" s="50" t="s">
        <v>43</v>
      </c>
      <c r="D288" s="50"/>
      <c r="E288" s="5">
        <v>22</v>
      </c>
      <c r="F288" s="1" t="s">
        <v>1</v>
      </c>
      <c r="G288" s="2" t="s">
        <v>2</v>
      </c>
      <c r="H288" s="50" t="s">
        <v>44</v>
      </c>
      <c r="I288" s="50"/>
      <c r="J288" s="5">
        <v>21</v>
      </c>
      <c r="K288" s="1" t="s">
        <v>1</v>
      </c>
      <c r="L288" s="2" t="s">
        <v>2</v>
      </c>
      <c r="M288" s="50" t="s">
        <v>45</v>
      </c>
      <c r="N288" s="50"/>
      <c r="O288" s="33">
        <v>24</v>
      </c>
    </row>
    <row r="289" spans="1:15" ht="15" x14ac:dyDescent="0.35">
      <c r="A289" s="1" t="s">
        <v>4</v>
      </c>
      <c r="B289" s="5" t="s">
        <v>2</v>
      </c>
      <c r="C289" s="5"/>
      <c r="D289" s="2"/>
      <c r="E289" s="5"/>
      <c r="F289" s="1" t="s">
        <v>4</v>
      </c>
      <c r="G289" s="2" t="s">
        <v>2</v>
      </c>
      <c r="H289" s="2"/>
      <c r="I289" s="2"/>
      <c r="J289" s="2"/>
      <c r="K289" s="1" t="s">
        <v>4</v>
      </c>
      <c r="L289" s="2" t="s">
        <v>2</v>
      </c>
      <c r="M289" s="2"/>
      <c r="N289" s="2"/>
      <c r="O289" s="3"/>
    </row>
    <row r="290" spans="1:15" ht="15" x14ac:dyDescent="0.35">
      <c r="A290" s="1" t="s">
        <v>5</v>
      </c>
      <c r="B290" s="2"/>
      <c r="C290" s="5" t="s">
        <v>2</v>
      </c>
      <c r="D290" s="7">
        <v>100000</v>
      </c>
      <c r="E290" s="2"/>
      <c r="F290" s="1" t="s">
        <v>5</v>
      </c>
      <c r="G290" s="2"/>
      <c r="H290" s="2" t="s">
        <v>2</v>
      </c>
      <c r="I290" s="25">
        <f>[28]krnmei!$C$894</f>
        <v>100000</v>
      </c>
      <c r="J290" s="2"/>
      <c r="K290" s="1" t="s">
        <v>5</v>
      </c>
      <c r="L290" s="2"/>
      <c r="M290" s="2" t="s">
        <v>2</v>
      </c>
      <c r="N290" s="25">
        <f>[8]krnmei!$C$912</f>
        <v>100000</v>
      </c>
      <c r="O290" s="3"/>
    </row>
    <row r="291" spans="1:15" ht="15" x14ac:dyDescent="0.35">
      <c r="A291" s="1" t="s">
        <v>6</v>
      </c>
      <c r="B291" s="2"/>
      <c r="C291" s="5" t="s">
        <v>2</v>
      </c>
      <c r="D291" s="7">
        <v>10000</v>
      </c>
      <c r="E291" s="2"/>
      <c r="F291" s="1" t="s">
        <v>6</v>
      </c>
      <c r="G291" s="2"/>
      <c r="H291" s="2" t="s">
        <v>2</v>
      </c>
      <c r="I291" s="25">
        <f>[32]krnmei!$D$889</f>
        <v>10000</v>
      </c>
      <c r="J291" s="2"/>
      <c r="K291" s="1" t="s">
        <v>6</v>
      </c>
      <c r="L291" s="2"/>
      <c r="M291" s="2" t="s">
        <v>2</v>
      </c>
      <c r="N291" s="25">
        <f>'[3]KARNING 2021'!$D$905</f>
        <v>10000</v>
      </c>
      <c r="O291" s="3"/>
    </row>
    <row r="292" spans="1:15" ht="15" x14ac:dyDescent="0.35">
      <c r="A292" s="1" t="s">
        <v>7</v>
      </c>
      <c r="B292" s="2"/>
      <c r="C292" s="5" t="s">
        <v>2</v>
      </c>
      <c r="D292" s="2">
        <v>0</v>
      </c>
      <c r="E292" s="2"/>
      <c r="F292" s="1" t="s">
        <v>7</v>
      </c>
      <c r="G292" s="2"/>
      <c r="H292" s="2" t="s">
        <v>2</v>
      </c>
      <c r="I292" s="25">
        <f>[24]krnmei!$E$895</f>
        <v>100000</v>
      </c>
      <c r="J292" s="2"/>
      <c r="K292" s="1" t="s">
        <v>7</v>
      </c>
      <c r="L292" s="2"/>
      <c r="M292" s="2" t="s">
        <v>2</v>
      </c>
      <c r="N292" s="25">
        <f>[5]krnmei!$E$909</f>
        <v>100000</v>
      </c>
      <c r="O292" s="3"/>
    </row>
    <row r="293" spans="1:15" ht="15" x14ac:dyDescent="0.35">
      <c r="A293" s="1" t="s">
        <v>8</v>
      </c>
      <c r="B293" s="21">
        <v>26</v>
      </c>
      <c r="C293" s="5" t="s">
        <v>2</v>
      </c>
      <c r="D293" s="21">
        <f>[41]krnmei!$I$1011</f>
        <v>250000</v>
      </c>
      <c r="E293" s="2"/>
      <c r="F293" s="1" t="s">
        <v>8</v>
      </c>
      <c r="G293" s="21"/>
      <c r="H293" s="2" t="s">
        <v>2</v>
      </c>
      <c r="I293" s="25"/>
      <c r="J293" s="2"/>
      <c r="K293" s="1" t="s">
        <v>8</v>
      </c>
      <c r="L293" s="21">
        <v>24</v>
      </c>
      <c r="M293" s="2" t="s">
        <v>2</v>
      </c>
      <c r="N293" s="34">
        <f>[26]krnmei!$I$910</f>
        <v>600000</v>
      </c>
      <c r="O293" s="3"/>
    </row>
    <row r="294" spans="1:15" ht="15" x14ac:dyDescent="0.35">
      <c r="A294" s="1" t="s">
        <v>9</v>
      </c>
      <c r="B294" s="2"/>
      <c r="C294" s="5" t="s">
        <v>2</v>
      </c>
      <c r="D294" s="11">
        <f>[41]krnmei!$K$1011</f>
        <v>3750</v>
      </c>
      <c r="E294" s="2"/>
      <c r="F294" s="1" t="s">
        <v>9</v>
      </c>
      <c r="G294" s="2"/>
      <c r="H294" s="2" t="s">
        <v>2</v>
      </c>
      <c r="I294" s="11"/>
      <c r="J294" s="2"/>
      <c r="K294" s="1" t="s">
        <v>9</v>
      </c>
      <c r="L294" s="2"/>
      <c r="M294" s="2" t="s">
        <v>2</v>
      </c>
      <c r="N294" s="11">
        <f>[41]krnmei!$K$909</f>
        <v>168000</v>
      </c>
      <c r="O294" s="3"/>
    </row>
    <row r="295" spans="1:15" ht="15" x14ac:dyDescent="0.35">
      <c r="A295" s="1" t="s">
        <v>10</v>
      </c>
      <c r="B295" s="2"/>
      <c r="C295" s="5" t="s">
        <v>2</v>
      </c>
      <c r="D295" s="2">
        <v>0</v>
      </c>
      <c r="E295" s="2"/>
      <c r="F295" s="1" t="s">
        <v>10</v>
      </c>
      <c r="G295" s="2"/>
      <c r="H295" s="2" t="s">
        <v>2</v>
      </c>
      <c r="I295" s="8">
        <v>0</v>
      </c>
      <c r="J295" s="2"/>
      <c r="K295" s="1" t="s">
        <v>10</v>
      </c>
      <c r="L295" s="2"/>
      <c r="M295" s="2" t="s">
        <v>2</v>
      </c>
      <c r="N295" s="9">
        <v>0</v>
      </c>
      <c r="O295" s="3"/>
    </row>
    <row r="296" spans="1:15" ht="15" x14ac:dyDescent="0.35">
      <c r="A296" s="1" t="s">
        <v>11</v>
      </c>
      <c r="B296" s="2"/>
      <c r="C296" s="5" t="s">
        <v>2</v>
      </c>
      <c r="D296" s="2">
        <v>0</v>
      </c>
      <c r="E296" s="2"/>
      <c r="F296" s="1" t="s">
        <v>11</v>
      </c>
      <c r="G296" s="2"/>
      <c r="H296" s="2" t="s">
        <v>2</v>
      </c>
      <c r="I296" s="9">
        <f>[12]krnmei!$P$899</f>
        <v>60000</v>
      </c>
      <c r="J296" s="2"/>
      <c r="K296" s="1" t="s">
        <v>11</v>
      </c>
      <c r="L296" s="2"/>
      <c r="M296" s="2" t="s">
        <v>2</v>
      </c>
      <c r="N296" s="9">
        <v>0</v>
      </c>
      <c r="O296" s="3"/>
    </row>
    <row r="297" spans="1:15" ht="15" x14ac:dyDescent="0.35">
      <c r="A297" s="1" t="s">
        <v>12</v>
      </c>
      <c r="B297" s="2"/>
      <c r="C297" s="5" t="s">
        <v>2</v>
      </c>
      <c r="D297" s="2">
        <v>0</v>
      </c>
      <c r="E297" s="2"/>
      <c r="F297" s="1" t="s">
        <v>12</v>
      </c>
      <c r="G297" s="2"/>
      <c r="H297" s="2" t="s">
        <v>2</v>
      </c>
      <c r="I297" s="7"/>
      <c r="J297" s="2"/>
      <c r="K297" s="1" t="s">
        <v>12</v>
      </c>
      <c r="L297" s="2"/>
      <c r="M297" s="2" t="s">
        <v>2</v>
      </c>
      <c r="N297" s="25">
        <f>[5]krnmei!$F$909</f>
        <v>100000</v>
      </c>
      <c r="O297" s="3"/>
    </row>
    <row r="298" spans="1:15" ht="15" x14ac:dyDescent="0.35">
      <c r="A298" s="13" t="s">
        <v>13</v>
      </c>
      <c r="B298" s="5"/>
      <c r="C298" s="5" t="s">
        <v>2</v>
      </c>
      <c r="D298" s="14">
        <f>SUM(D290:D297)</f>
        <v>363750</v>
      </c>
      <c r="E298" s="2"/>
      <c r="F298" s="13" t="s">
        <v>13</v>
      </c>
      <c r="G298" s="5"/>
      <c r="H298" s="5" t="s">
        <v>2</v>
      </c>
      <c r="I298" s="24">
        <f>SUM(I290:I297)</f>
        <v>270000</v>
      </c>
      <c r="J298" s="2"/>
      <c r="K298" s="13" t="s">
        <v>13</v>
      </c>
      <c r="L298" s="5"/>
      <c r="M298" s="2" t="s">
        <v>2</v>
      </c>
      <c r="N298" s="24">
        <f>SUM(N290:N297)</f>
        <v>1078000</v>
      </c>
      <c r="O298" s="3"/>
    </row>
    <row r="299" spans="1:15" ht="15" x14ac:dyDescent="0.35">
      <c r="A299" s="1" t="s">
        <v>14</v>
      </c>
      <c r="B299" s="2"/>
      <c r="C299" s="2" t="s">
        <v>2</v>
      </c>
      <c r="D299" s="27">
        <f>[41]krnmei!$J$1011</f>
        <v>0</v>
      </c>
      <c r="E299" s="2"/>
      <c r="F299" s="1" t="s">
        <v>14</v>
      </c>
      <c r="G299" s="2"/>
      <c r="H299" s="2" t="s">
        <v>2</v>
      </c>
      <c r="I299" s="27">
        <f>[12]krnmei!$O$899</f>
        <v>3000000</v>
      </c>
      <c r="J299" s="2"/>
      <c r="K299" s="1" t="s">
        <v>14</v>
      </c>
      <c r="L299" s="2"/>
      <c r="M299" s="2" t="s">
        <v>2</v>
      </c>
      <c r="N299" s="27">
        <f>[41]krnmei!$J$909</f>
        <v>10600000</v>
      </c>
      <c r="O299" s="3"/>
    </row>
    <row r="300" spans="1:15" ht="15" x14ac:dyDescent="0.35">
      <c r="A300" s="1"/>
      <c r="B300" s="2"/>
      <c r="C300" s="2"/>
      <c r="D300" s="2" t="str">
        <f>D281</f>
        <v>Grogol, 02 Mei   2026</v>
      </c>
      <c r="E300" s="2"/>
      <c r="F300" s="1"/>
      <c r="G300" s="2"/>
      <c r="H300" s="15"/>
      <c r="I300" s="15" t="str">
        <f>I281</f>
        <v>Grogol, 02 Mei   2026</v>
      </c>
      <c r="J300" s="15"/>
      <c r="K300" s="1"/>
      <c r="L300" s="2"/>
      <c r="M300" s="2"/>
      <c r="N300" s="2" t="str">
        <f>D167</f>
        <v>Grogol, 02 Mei   2026</v>
      </c>
      <c r="O300" s="3"/>
    </row>
    <row r="301" spans="1:15" ht="15" x14ac:dyDescent="0.35">
      <c r="A301" s="1"/>
      <c r="B301" s="2"/>
      <c r="C301" s="2"/>
      <c r="D301" s="15" t="s">
        <v>15</v>
      </c>
      <c r="E301" s="2"/>
      <c r="F301" s="1"/>
      <c r="G301" s="2"/>
      <c r="H301" s="2"/>
      <c r="I301" s="15" t="s">
        <v>15</v>
      </c>
      <c r="J301" s="2"/>
      <c r="K301" s="1"/>
      <c r="L301" s="2"/>
      <c r="M301" s="2"/>
      <c r="N301" s="15" t="s">
        <v>15</v>
      </c>
      <c r="O301" s="3"/>
    </row>
    <row r="302" spans="1:15" ht="15" x14ac:dyDescent="0.35">
      <c r="A302" s="1"/>
      <c r="B302" s="2"/>
      <c r="C302" s="2"/>
      <c r="D302" s="2"/>
      <c r="E302" s="2"/>
      <c r="F302" s="1"/>
      <c r="G302" s="2"/>
      <c r="H302" s="2"/>
      <c r="I302" s="15"/>
      <c r="J302" s="2"/>
      <c r="K302" s="1"/>
      <c r="L302" s="2"/>
      <c r="M302" s="2"/>
      <c r="N302" s="2"/>
      <c r="O302" s="3"/>
    </row>
    <row r="303" spans="1:15" ht="15" x14ac:dyDescent="0.35">
      <c r="A303" s="1"/>
      <c r="B303" s="2"/>
      <c r="C303" s="2"/>
      <c r="D303" s="2"/>
      <c r="E303" s="2"/>
      <c r="F303" s="1"/>
      <c r="G303" s="2"/>
      <c r="H303" s="2"/>
      <c r="I303" s="15"/>
      <c r="J303" s="2"/>
      <c r="K303" s="1"/>
      <c r="L303" s="2"/>
      <c r="M303" s="2"/>
      <c r="N303" s="2"/>
      <c r="O303" s="3"/>
    </row>
    <row r="304" spans="1:15" ht="15.6" thickBot="1" x14ac:dyDescent="0.4">
      <c r="A304" s="17"/>
      <c r="B304" s="18"/>
      <c r="C304" s="18"/>
      <c r="D304" s="19" t="s">
        <v>16</v>
      </c>
      <c r="E304" s="18"/>
      <c r="F304" s="17"/>
      <c r="G304" s="18"/>
      <c r="H304" s="18"/>
      <c r="I304" s="19" t="s">
        <v>16</v>
      </c>
      <c r="J304" s="18"/>
      <c r="K304" s="17"/>
      <c r="L304" s="18"/>
      <c r="M304" s="18"/>
      <c r="N304" s="19" t="s">
        <v>16</v>
      </c>
      <c r="O304" s="20"/>
    </row>
    <row r="305" spans="1:15" ht="15" x14ac:dyDescent="0.35">
      <c r="A305" s="46" t="s">
        <v>0</v>
      </c>
      <c r="B305" s="47"/>
      <c r="C305" s="47"/>
      <c r="D305" s="47"/>
      <c r="E305" s="47"/>
      <c r="F305" s="46" t="s">
        <v>0</v>
      </c>
      <c r="G305" s="47"/>
      <c r="H305" s="47"/>
      <c r="I305" s="47"/>
      <c r="J305" s="47"/>
      <c r="K305" s="46" t="s">
        <v>0</v>
      </c>
      <c r="L305" s="47"/>
      <c r="M305" s="47"/>
      <c r="N305" s="47"/>
      <c r="O305" s="48"/>
    </row>
    <row r="306" spans="1:15" ht="15" x14ac:dyDescent="0.35">
      <c r="A306" s="1"/>
      <c r="B306" s="2"/>
      <c r="C306" s="2"/>
      <c r="D306" s="2"/>
      <c r="E306" s="2"/>
      <c r="F306" s="1"/>
      <c r="G306" s="2"/>
      <c r="H306" s="2"/>
      <c r="I306" s="2"/>
      <c r="J306" s="2"/>
      <c r="K306" s="1"/>
      <c r="L306" s="2"/>
      <c r="M306" s="2"/>
      <c r="N306" s="2"/>
      <c r="O306" s="3"/>
    </row>
    <row r="307" spans="1:15" ht="15" x14ac:dyDescent="0.35">
      <c r="A307" s="1" t="s">
        <v>1</v>
      </c>
      <c r="B307" s="2" t="s">
        <v>2</v>
      </c>
      <c r="C307" s="51" t="s">
        <v>46</v>
      </c>
      <c r="D307" s="51"/>
      <c r="E307" s="4">
        <v>36</v>
      </c>
      <c r="F307" s="1" t="s">
        <v>1</v>
      </c>
      <c r="G307" s="2" t="s">
        <v>2</v>
      </c>
      <c r="H307" s="50" t="str">
        <f>[17]krnmei!$B$1140</f>
        <v>SITI RODIYAH</v>
      </c>
      <c r="I307" s="50"/>
      <c r="J307" s="4">
        <v>18</v>
      </c>
      <c r="K307" s="1" t="s">
        <v>1</v>
      </c>
      <c r="L307" s="2"/>
      <c r="M307" s="5" t="s">
        <v>2</v>
      </c>
      <c r="N307" s="5" t="s">
        <v>68</v>
      </c>
      <c r="O307" s="6">
        <v>25</v>
      </c>
    </row>
    <row r="308" spans="1:15" ht="15" x14ac:dyDescent="0.35">
      <c r="A308" s="1" t="s">
        <v>4</v>
      </c>
      <c r="B308" s="2"/>
      <c r="C308" s="2" t="s">
        <v>2</v>
      </c>
      <c r="D308" s="2"/>
      <c r="F308" s="1" t="s">
        <v>4</v>
      </c>
      <c r="G308" s="2"/>
      <c r="H308" s="2" t="s">
        <v>2</v>
      </c>
      <c r="I308" s="2"/>
      <c r="J308" s="2"/>
      <c r="K308" s="1" t="s">
        <v>4</v>
      </c>
      <c r="L308" s="2"/>
      <c r="M308" s="2" t="s">
        <v>2</v>
      </c>
      <c r="N308" s="2"/>
      <c r="O308" s="3"/>
    </row>
    <row r="309" spans="1:15" ht="15" x14ac:dyDescent="0.35">
      <c r="A309" s="1" t="s">
        <v>5</v>
      </c>
      <c r="B309" s="2"/>
      <c r="C309" s="2" t="s">
        <v>2</v>
      </c>
      <c r="D309" s="25">
        <f>'[3]KARNING 2021'!$C$922</f>
        <v>15000</v>
      </c>
      <c r="E309" s="2"/>
      <c r="F309" s="1" t="s">
        <v>5</v>
      </c>
      <c r="G309" s="2"/>
      <c r="H309" s="2" t="s">
        <v>2</v>
      </c>
      <c r="I309" s="25"/>
      <c r="J309" s="2"/>
      <c r="K309" s="1" t="s">
        <v>5</v>
      </c>
      <c r="L309" s="2"/>
      <c r="M309" s="2" t="s">
        <v>2</v>
      </c>
      <c r="N309" s="25">
        <v>100000</v>
      </c>
      <c r="O309" s="3"/>
    </row>
    <row r="310" spans="1:15" ht="15" x14ac:dyDescent="0.35">
      <c r="A310" s="1" t="s">
        <v>6</v>
      </c>
      <c r="B310" s="2"/>
      <c r="C310" s="2" t="s">
        <v>2</v>
      </c>
      <c r="D310" s="25">
        <f>'[3]KARNING 2021'!$D$922</f>
        <v>35000</v>
      </c>
      <c r="E310" s="2"/>
      <c r="F310" s="1" t="s">
        <v>6</v>
      </c>
      <c r="G310" s="2"/>
      <c r="H310" s="2" t="s">
        <v>2</v>
      </c>
      <c r="I310" s="25"/>
      <c r="J310" s="2"/>
      <c r="K310" s="1" t="s">
        <v>6</v>
      </c>
      <c r="L310" s="2"/>
      <c r="M310" s="2" t="s">
        <v>2</v>
      </c>
      <c r="N310" s="25">
        <v>50000</v>
      </c>
      <c r="O310" s="3"/>
    </row>
    <row r="311" spans="1:15" ht="15" x14ac:dyDescent="0.35">
      <c r="A311" s="1" t="s">
        <v>7</v>
      </c>
      <c r="B311" s="2"/>
      <c r="C311" s="2" t="s">
        <v>2</v>
      </c>
      <c r="D311" s="25">
        <f>'[3]KARNING 2021'!$E$922</f>
        <v>50000</v>
      </c>
      <c r="E311" s="2"/>
      <c r="F311" s="1" t="s">
        <v>7</v>
      </c>
      <c r="G311" s="2"/>
      <c r="H311" s="2" t="s">
        <v>2</v>
      </c>
      <c r="I311" s="25"/>
      <c r="J311" s="2"/>
      <c r="K311" s="1" t="s">
        <v>7</v>
      </c>
      <c r="L311" s="2"/>
      <c r="M311" s="2" t="s">
        <v>2</v>
      </c>
      <c r="N311" s="8">
        <v>100000</v>
      </c>
      <c r="O311" s="3"/>
    </row>
    <row r="312" spans="1:15" ht="15" x14ac:dyDescent="0.35">
      <c r="A312" s="1" t="s">
        <v>8</v>
      </c>
      <c r="B312" s="2"/>
      <c r="C312" s="2" t="s">
        <v>2</v>
      </c>
      <c r="D312" s="25"/>
      <c r="E312" s="2"/>
      <c r="F312" s="1" t="s">
        <v>8</v>
      </c>
      <c r="G312" s="21"/>
      <c r="H312" s="2" t="s">
        <v>2</v>
      </c>
      <c r="I312" s="25"/>
      <c r="J312" s="2"/>
      <c r="K312" s="1" t="s">
        <v>8</v>
      </c>
      <c r="L312" s="21">
        <v>0</v>
      </c>
      <c r="M312" s="2" t="s">
        <v>2</v>
      </c>
      <c r="N312" s="11">
        <v>0</v>
      </c>
      <c r="O312" s="3"/>
    </row>
    <row r="313" spans="1:15" ht="15" x14ac:dyDescent="0.35">
      <c r="A313" s="1" t="s">
        <v>9</v>
      </c>
      <c r="B313" s="2"/>
      <c r="C313" s="2" t="s">
        <v>2</v>
      </c>
      <c r="D313" s="25"/>
      <c r="E313" s="2"/>
      <c r="F313" s="1" t="s">
        <v>9</v>
      </c>
      <c r="G313" s="2"/>
      <c r="H313" s="2" t="s">
        <v>2</v>
      </c>
      <c r="I313" s="31"/>
      <c r="J313" s="2"/>
      <c r="K313" s="1" t="s">
        <v>9</v>
      </c>
      <c r="L313" s="2"/>
      <c r="M313" s="2" t="s">
        <v>2</v>
      </c>
      <c r="N313" s="11">
        <v>0</v>
      </c>
      <c r="O313" s="3"/>
    </row>
    <row r="314" spans="1:15" ht="15" x14ac:dyDescent="0.35">
      <c r="A314" s="1" t="s">
        <v>10</v>
      </c>
      <c r="B314" s="2"/>
      <c r="C314" s="2" t="s">
        <v>2</v>
      </c>
      <c r="D314" s="8"/>
      <c r="E314" s="2"/>
      <c r="F314" s="1" t="s">
        <v>10</v>
      </c>
      <c r="G314" s="2"/>
      <c r="H314" s="2" t="s">
        <v>2</v>
      </c>
      <c r="I314" s="8"/>
      <c r="J314" s="2"/>
      <c r="K314" s="1" t="s">
        <v>10</v>
      </c>
      <c r="L314" s="2"/>
      <c r="M314" s="2" t="s">
        <v>2</v>
      </c>
      <c r="N314" s="8">
        <v>0</v>
      </c>
      <c r="O314" s="3"/>
    </row>
    <row r="315" spans="1:15" ht="15" x14ac:dyDescent="0.35">
      <c r="A315" s="1" t="s">
        <v>11</v>
      </c>
      <c r="B315" s="2"/>
      <c r="C315" s="2" t="s">
        <v>2</v>
      </c>
      <c r="D315" s="9"/>
      <c r="E315" s="2"/>
      <c r="F315" s="1" t="s">
        <v>11</v>
      </c>
      <c r="G315" s="2"/>
      <c r="H315" s="2" t="s">
        <v>2</v>
      </c>
      <c r="I315" s="9"/>
      <c r="J315" s="2"/>
      <c r="K315" s="1" t="s">
        <v>11</v>
      </c>
      <c r="L315" s="2"/>
      <c r="M315" s="2" t="s">
        <v>2</v>
      </c>
      <c r="N315" s="9">
        <f>[32]krnmei!$P$1127</f>
        <v>0</v>
      </c>
      <c r="O315" s="3"/>
    </row>
    <row r="316" spans="1:15" ht="15" x14ac:dyDescent="0.35">
      <c r="A316" s="1" t="s">
        <v>12</v>
      </c>
      <c r="B316" s="2"/>
      <c r="C316" s="2" t="s">
        <v>2</v>
      </c>
      <c r="D316" s="7"/>
      <c r="E316" s="2"/>
      <c r="F316" s="1" t="s">
        <v>12</v>
      </c>
      <c r="G316" s="2"/>
      <c r="H316" s="2" t="s">
        <v>2</v>
      </c>
      <c r="I316" s="8"/>
      <c r="J316" s="2"/>
      <c r="K316" s="1" t="s">
        <v>12</v>
      </c>
      <c r="L316" s="2"/>
      <c r="M316" s="2" t="s">
        <v>2</v>
      </c>
      <c r="N316" s="8">
        <v>50000</v>
      </c>
      <c r="O316" s="3"/>
    </row>
    <row r="317" spans="1:15" ht="15" x14ac:dyDescent="0.35">
      <c r="A317" s="13" t="s">
        <v>13</v>
      </c>
      <c r="B317" s="5"/>
      <c r="C317" s="5" t="s">
        <v>2</v>
      </c>
      <c r="D317" s="24">
        <f>SUM(D309:D316)</f>
        <v>100000</v>
      </c>
      <c r="E317" s="2"/>
      <c r="F317" s="13" t="s">
        <v>13</v>
      </c>
      <c r="G317" s="5"/>
      <c r="H317" s="5"/>
      <c r="I317" s="24"/>
      <c r="J317" s="2"/>
      <c r="K317" s="13" t="s">
        <v>13</v>
      </c>
      <c r="L317" s="5"/>
      <c r="M317" s="5" t="s">
        <v>2</v>
      </c>
      <c r="N317" s="24">
        <f>N309+N310+N311+N316+N315</f>
        <v>300000</v>
      </c>
      <c r="O317" s="3"/>
    </row>
    <row r="318" spans="1:15" ht="15" x14ac:dyDescent="0.35">
      <c r="A318" s="1" t="s">
        <v>14</v>
      </c>
      <c r="B318" s="2"/>
      <c r="C318" s="2" t="s">
        <v>2</v>
      </c>
      <c r="D318" s="25">
        <v>0</v>
      </c>
      <c r="E318" s="2"/>
      <c r="F318" s="1" t="s">
        <v>14</v>
      </c>
      <c r="G318" s="2"/>
      <c r="H318" s="2"/>
      <c r="I318" s="25">
        <f>[39]krnmei!$J$1144</f>
        <v>0</v>
      </c>
      <c r="J318" s="2"/>
      <c r="K318" s="1" t="s">
        <v>14</v>
      </c>
      <c r="L318" s="2"/>
      <c r="M318" s="2" t="s">
        <v>2</v>
      </c>
      <c r="N318" s="25">
        <v>0</v>
      </c>
      <c r="O318" s="3"/>
    </row>
    <row r="319" spans="1:15" ht="15" x14ac:dyDescent="0.35">
      <c r="A319" s="1"/>
      <c r="B319" s="2"/>
      <c r="C319" s="15"/>
      <c r="D319" s="15" t="str">
        <f>I300</f>
        <v>Grogol, 02 Mei   2026</v>
      </c>
      <c r="E319" s="2"/>
      <c r="F319" s="1"/>
      <c r="G319" s="2"/>
      <c r="H319" s="15"/>
      <c r="I319" s="35" t="str">
        <f>D167</f>
        <v>Grogol, 02 Mei   2026</v>
      </c>
      <c r="J319" s="15"/>
      <c r="K319" s="1"/>
      <c r="L319" s="2"/>
      <c r="M319" s="15"/>
      <c r="N319" s="35" t="str">
        <f>D167</f>
        <v>Grogol, 02 Mei   2026</v>
      </c>
      <c r="O319" s="16"/>
    </row>
    <row r="320" spans="1:15" ht="15" x14ac:dyDescent="0.35">
      <c r="A320" s="1"/>
      <c r="B320" s="2"/>
      <c r="C320" s="2"/>
      <c r="D320" s="15" t="s">
        <v>15</v>
      </c>
      <c r="E320" s="15"/>
      <c r="F320" s="1"/>
      <c r="G320" s="2"/>
      <c r="H320" s="2"/>
      <c r="I320" s="15" t="s">
        <v>15</v>
      </c>
      <c r="J320" s="2"/>
      <c r="K320" s="1"/>
      <c r="L320" s="2"/>
      <c r="M320" s="2"/>
      <c r="N320" s="15" t="s">
        <v>15</v>
      </c>
      <c r="O320" s="3"/>
    </row>
    <row r="321" spans="1:15" ht="15" x14ac:dyDescent="0.35">
      <c r="A321" s="1"/>
      <c r="B321" s="2"/>
      <c r="C321" s="2"/>
      <c r="D321" s="15"/>
      <c r="E321" s="2"/>
      <c r="F321" s="1"/>
      <c r="G321" s="2"/>
      <c r="H321" s="2"/>
      <c r="I321" s="15"/>
      <c r="J321" s="2"/>
      <c r="K321" s="1"/>
      <c r="L321" s="2"/>
      <c r="M321" s="2"/>
      <c r="N321" s="15"/>
      <c r="O321" s="3"/>
    </row>
    <row r="322" spans="1:15" ht="15" x14ac:dyDescent="0.35">
      <c r="A322" s="1"/>
      <c r="B322" s="2"/>
      <c r="C322" s="2"/>
      <c r="D322" s="15"/>
      <c r="E322" s="2"/>
      <c r="F322" s="1"/>
      <c r="G322" s="2"/>
      <c r="H322" s="2"/>
      <c r="I322" s="15"/>
      <c r="J322" s="2"/>
      <c r="K322" s="1"/>
      <c r="L322" s="2"/>
      <c r="M322" s="2"/>
      <c r="N322" s="15"/>
      <c r="O322" s="3"/>
    </row>
    <row r="323" spans="1:15" ht="15.6" thickBot="1" x14ac:dyDescent="0.4">
      <c r="A323" s="17"/>
      <c r="B323" s="18"/>
      <c r="C323" s="18"/>
      <c r="D323" s="19" t="s">
        <v>16</v>
      </c>
      <c r="E323" s="18"/>
      <c r="F323" s="17"/>
      <c r="G323" s="18"/>
      <c r="H323" s="18"/>
      <c r="I323" s="19" t="s">
        <v>16</v>
      </c>
      <c r="J323" s="18"/>
      <c r="K323" s="17"/>
      <c r="L323" s="18"/>
      <c r="M323" s="18"/>
      <c r="N323" s="19" t="s">
        <v>16</v>
      </c>
      <c r="O323" s="20"/>
    </row>
    <row r="324" spans="1:15" ht="15" x14ac:dyDescent="0.35">
      <c r="A324" s="46" t="s">
        <v>0</v>
      </c>
      <c r="B324" s="47"/>
      <c r="C324" s="47"/>
      <c r="D324" s="47"/>
      <c r="E324" s="47"/>
      <c r="F324" s="46" t="s">
        <v>0</v>
      </c>
      <c r="G324" s="47"/>
      <c r="H324" s="47"/>
      <c r="I324" s="47"/>
      <c r="J324" s="47"/>
      <c r="K324" s="46" t="s">
        <v>0</v>
      </c>
      <c r="L324" s="47"/>
      <c r="M324" s="47"/>
      <c r="N324" s="47"/>
      <c r="O324" s="48"/>
    </row>
    <row r="325" spans="1:15" ht="15" x14ac:dyDescent="0.35">
      <c r="A325" s="1"/>
      <c r="B325" s="2"/>
      <c r="C325" s="2"/>
      <c r="D325" s="2"/>
      <c r="E325" s="4"/>
      <c r="F325" s="1"/>
      <c r="G325" s="2"/>
      <c r="H325" s="2"/>
      <c r="I325" s="2"/>
      <c r="J325" s="2"/>
      <c r="K325" s="1"/>
      <c r="L325" s="2"/>
      <c r="M325" s="2"/>
      <c r="N325" s="2"/>
      <c r="O325" s="3"/>
    </row>
    <row r="326" spans="1:15" ht="15" x14ac:dyDescent="0.35">
      <c r="A326" s="1" t="s">
        <v>1</v>
      </c>
      <c r="B326" s="2" t="s">
        <v>2</v>
      </c>
      <c r="C326" s="51" t="s">
        <v>47</v>
      </c>
      <c r="D326" s="51"/>
      <c r="E326" s="4">
        <v>37</v>
      </c>
      <c r="F326" s="1" t="s">
        <v>1</v>
      </c>
      <c r="G326" s="2" t="s">
        <v>2</v>
      </c>
      <c r="H326" s="50" t="s">
        <v>48</v>
      </c>
      <c r="I326" s="50"/>
      <c r="J326" s="4">
        <v>42</v>
      </c>
      <c r="K326" s="1" t="s">
        <v>1</v>
      </c>
      <c r="L326" s="24"/>
      <c r="M326" s="5" t="s">
        <v>2</v>
      </c>
      <c r="N326" s="5" t="s">
        <v>67</v>
      </c>
      <c r="O326" s="6">
        <v>26</v>
      </c>
    </row>
    <row r="327" spans="1:15" ht="15" x14ac:dyDescent="0.35">
      <c r="A327" s="1" t="s">
        <v>4</v>
      </c>
      <c r="B327" s="2"/>
      <c r="C327" s="2" t="s">
        <v>2</v>
      </c>
      <c r="D327" s="2"/>
      <c r="F327" s="1" t="s">
        <v>4</v>
      </c>
      <c r="G327" s="2"/>
      <c r="H327" s="2" t="s">
        <v>2</v>
      </c>
      <c r="I327" s="2"/>
      <c r="J327" s="2"/>
      <c r="K327" s="1" t="s">
        <v>4</v>
      </c>
      <c r="L327" s="2"/>
      <c r="M327" s="2"/>
      <c r="N327" s="2"/>
      <c r="O327" s="3"/>
    </row>
    <row r="328" spans="1:15" ht="15" x14ac:dyDescent="0.35">
      <c r="A328" s="1" t="s">
        <v>5</v>
      </c>
      <c r="B328" s="2"/>
      <c r="C328" s="2" t="s">
        <v>2</v>
      </c>
      <c r="D328" s="25">
        <f>'[3]KARNING 2021'!$C$973</f>
        <v>15000</v>
      </c>
      <c r="E328" s="2"/>
      <c r="F328" s="1" t="s">
        <v>5</v>
      </c>
      <c r="G328" s="2"/>
      <c r="H328" s="2" t="s">
        <v>2</v>
      </c>
      <c r="I328" s="25">
        <f>'[3]KARNING 2021'!$C$990</f>
        <v>100000</v>
      </c>
      <c r="J328" s="2"/>
      <c r="K328" s="1" t="s">
        <v>49</v>
      </c>
      <c r="L328" s="2"/>
      <c r="M328" s="2" t="s">
        <v>2</v>
      </c>
      <c r="N328" s="7">
        <v>100000</v>
      </c>
      <c r="O328" s="3"/>
    </row>
    <row r="329" spans="1:15" ht="15" x14ac:dyDescent="0.35">
      <c r="A329" s="1" t="s">
        <v>6</v>
      </c>
      <c r="B329" s="2"/>
      <c r="C329" s="2" t="s">
        <v>2</v>
      </c>
      <c r="D329" s="25">
        <f>'[3]KARNING 2021'!$D$973</f>
        <v>10000</v>
      </c>
      <c r="E329" s="2"/>
      <c r="F329" s="1" t="s">
        <v>6</v>
      </c>
      <c r="G329" s="2"/>
      <c r="H329" s="2" t="s">
        <v>2</v>
      </c>
      <c r="I329" s="25">
        <f>'[3]KARNING 2021'!$D$990</f>
        <v>75000</v>
      </c>
      <c r="J329" s="2"/>
      <c r="K329" s="1" t="s">
        <v>6</v>
      </c>
      <c r="L329" s="2"/>
      <c r="M329" s="2" t="s">
        <v>2</v>
      </c>
      <c r="N329" s="7">
        <v>50000</v>
      </c>
      <c r="O329" s="3"/>
    </row>
    <row r="330" spans="1:15" ht="15" x14ac:dyDescent="0.35">
      <c r="A330" s="1" t="s">
        <v>7</v>
      </c>
      <c r="B330" s="2"/>
      <c r="C330" s="2" t="s">
        <v>2</v>
      </c>
      <c r="D330" s="25">
        <f>[21]krnmei!$E$978</f>
        <v>500000</v>
      </c>
      <c r="E330" s="2"/>
      <c r="F330" s="1" t="s">
        <v>7</v>
      </c>
      <c r="G330" s="2"/>
      <c r="H330" s="2" t="s">
        <v>2</v>
      </c>
      <c r="I330" s="25">
        <f>'[3]KARNING 2021'!$E$990</f>
        <v>100000</v>
      </c>
      <c r="J330" s="2"/>
      <c r="K330" s="1" t="s">
        <v>7</v>
      </c>
      <c r="L330" s="2"/>
      <c r="M330" s="2" t="s">
        <v>2</v>
      </c>
      <c r="N330" s="7">
        <v>100000</v>
      </c>
      <c r="O330" s="3"/>
    </row>
    <row r="331" spans="1:15" ht="15" x14ac:dyDescent="0.35">
      <c r="A331" s="1" t="s">
        <v>8</v>
      </c>
      <c r="B331" s="7">
        <v>38</v>
      </c>
      <c r="C331" s="2" t="s">
        <v>2</v>
      </c>
      <c r="D331" s="25">
        <f>'[3]KARNING 2021'!$I$973</f>
        <v>200000</v>
      </c>
      <c r="E331" s="2"/>
      <c r="F331" s="1" t="s">
        <v>8</v>
      </c>
      <c r="G331" s="7">
        <v>33</v>
      </c>
      <c r="H331" s="2" t="s">
        <v>2</v>
      </c>
      <c r="I331" s="25">
        <f>[26]krnmei!$I$995</f>
        <v>1500000</v>
      </c>
      <c r="J331" s="2"/>
      <c r="K331" s="1" t="s">
        <v>8</v>
      </c>
      <c r="L331" s="2"/>
      <c r="M331" s="2" t="s">
        <v>2</v>
      </c>
      <c r="N331" s="7"/>
      <c r="O331" s="3"/>
    </row>
    <row r="332" spans="1:15" ht="15" x14ac:dyDescent="0.35">
      <c r="A332" s="1" t="s">
        <v>9</v>
      </c>
      <c r="B332" s="2"/>
      <c r="C332" s="2" t="s">
        <v>2</v>
      </c>
      <c r="D332" s="11">
        <f>[41]krnmei!$K$977</f>
        <v>21000</v>
      </c>
      <c r="E332" s="2"/>
      <c r="F332" s="1" t="s">
        <v>9</v>
      </c>
      <c r="G332" s="7"/>
      <c r="H332" s="2" t="s">
        <v>2</v>
      </c>
      <c r="I332" s="11">
        <f>[41]krnmei!$K$994</f>
        <v>217500</v>
      </c>
      <c r="J332" s="2"/>
      <c r="K332" s="1" t="s">
        <v>9</v>
      </c>
      <c r="L332" s="2"/>
      <c r="M332" s="2" t="s">
        <v>2</v>
      </c>
      <c r="N332" s="11"/>
      <c r="O332" s="3"/>
    </row>
    <row r="333" spans="1:15" ht="15" x14ac:dyDescent="0.35">
      <c r="A333" s="1" t="s">
        <v>10</v>
      </c>
      <c r="B333" s="7"/>
      <c r="C333" s="2" t="s">
        <v>2</v>
      </c>
      <c r="D333" s="8">
        <v>0</v>
      </c>
      <c r="E333" s="2"/>
      <c r="F333" s="1" t="s">
        <v>10</v>
      </c>
      <c r="G333" s="7"/>
      <c r="H333" s="2" t="s">
        <v>2</v>
      </c>
      <c r="I333" s="8">
        <v>0</v>
      </c>
      <c r="J333" s="2"/>
      <c r="K333" s="1" t="s">
        <v>10</v>
      </c>
      <c r="L333" s="2"/>
      <c r="M333" s="2" t="s">
        <v>2</v>
      </c>
      <c r="N333" s="7"/>
      <c r="O333" s="3"/>
    </row>
    <row r="334" spans="1:15" ht="15" x14ac:dyDescent="0.35">
      <c r="A334" s="1" t="s">
        <v>11</v>
      </c>
      <c r="B334" s="2"/>
      <c r="C334" s="2" t="s">
        <v>2</v>
      </c>
      <c r="D334" s="8">
        <v>0</v>
      </c>
      <c r="E334" s="2"/>
      <c r="F334" s="1" t="s">
        <v>11</v>
      </c>
      <c r="G334" s="2"/>
      <c r="H334" s="2" t="s">
        <v>2</v>
      </c>
      <c r="I334" s="8">
        <v>0</v>
      </c>
      <c r="J334" s="2"/>
      <c r="K334" s="1" t="s">
        <v>11</v>
      </c>
      <c r="L334" s="2"/>
      <c r="M334" s="2" t="s">
        <v>2</v>
      </c>
      <c r="N334" s="2"/>
      <c r="O334" s="3"/>
    </row>
    <row r="335" spans="1:15" ht="15" x14ac:dyDescent="0.35">
      <c r="A335" s="1" t="s">
        <v>12</v>
      </c>
      <c r="B335" s="2"/>
      <c r="C335" s="2" t="s">
        <v>2</v>
      </c>
      <c r="D335" s="7">
        <f>'[3]KARNING 2021'!$F$973</f>
        <v>50000</v>
      </c>
      <c r="E335" s="2"/>
      <c r="F335" s="1" t="s">
        <v>12</v>
      </c>
      <c r="G335" s="2"/>
      <c r="H335" s="2" t="s">
        <v>2</v>
      </c>
      <c r="I335" s="8">
        <f>'[3]KARNING 2021'!$F$990</f>
        <v>50000</v>
      </c>
      <c r="J335" s="2"/>
      <c r="K335" s="1" t="s">
        <v>12</v>
      </c>
      <c r="L335" s="2"/>
      <c r="M335" s="2" t="s">
        <v>2</v>
      </c>
      <c r="N335" s="8">
        <v>100000</v>
      </c>
      <c r="O335" s="3"/>
    </row>
    <row r="336" spans="1:15" ht="15" x14ac:dyDescent="0.35">
      <c r="A336" s="13" t="s">
        <v>13</v>
      </c>
      <c r="B336" s="5"/>
      <c r="C336" s="5" t="s">
        <v>2</v>
      </c>
      <c r="D336" s="24">
        <f>SUM(D328:D335)</f>
        <v>796000</v>
      </c>
      <c r="E336" s="2"/>
      <c r="F336" s="13" t="s">
        <v>13</v>
      </c>
      <c r="G336" s="5"/>
      <c r="H336" s="5" t="s">
        <v>2</v>
      </c>
      <c r="I336" s="24">
        <f>SUM(I328:I335)</f>
        <v>2042500</v>
      </c>
      <c r="J336" s="2"/>
      <c r="K336" s="13" t="s">
        <v>13</v>
      </c>
      <c r="L336" s="5"/>
      <c r="M336" s="5"/>
      <c r="N336" s="24">
        <f>SUM(N328:N335)</f>
        <v>350000</v>
      </c>
      <c r="O336" s="3"/>
    </row>
    <row r="337" spans="1:15" ht="15" x14ac:dyDescent="0.35">
      <c r="A337" s="1" t="s">
        <v>14</v>
      </c>
      <c r="B337" s="2"/>
      <c r="C337" s="2" t="s">
        <v>2</v>
      </c>
      <c r="D337" s="25">
        <f>[41]krnmei!$J$977</f>
        <v>1200000</v>
      </c>
      <c r="E337" s="2"/>
      <c r="F337" s="1" t="s">
        <v>14</v>
      </c>
      <c r="G337" s="2"/>
      <c r="H337" s="2" t="s">
        <v>2</v>
      </c>
      <c r="I337" s="32">
        <f>[41]krnmei!$J$994</f>
        <v>13000000</v>
      </c>
      <c r="J337" s="2"/>
      <c r="K337" s="1" t="s">
        <v>14</v>
      </c>
      <c r="L337" s="2"/>
      <c r="M337" s="2" t="s">
        <v>2</v>
      </c>
      <c r="N337" s="32">
        <f>[24]krnmei!$J$1014</f>
        <v>0</v>
      </c>
      <c r="O337" s="3"/>
    </row>
    <row r="338" spans="1:15" ht="15" x14ac:dyDescent="0.35">
      <c r="A338" s="1"/>
      <c r="B338" s="2"/>
      <c r="C338" s="15"/>
      <c r="D338" s="35" t="str">
        <f>D167</f>
        <v>Grogol, 02 Mei   2026</v>
      </c>
      <c r="E338" s="2"/>
      <c r="F338" s="1"/>
      <c r="G338" s="2"/>
      <c r="H338" s="15"/>
      <c r="I338" s="35" t="str">
        <f>D167</f>
        <v>Grogol, 02 Mei   2026</v>
      </c>
      <c r="J338" s="15"/>
      <c r="K338" s="1"/>
      <c r="L338" s="49" t="str">
        <f>I338</f>
        <v>Grogol, 02 Mei   2026</v>
      </c>
      <c r="M338" s="49"/>
      <c r="N338" s="49"/>
      <c r="O338" s="16"/>
    </row>
    <row r="339" spans="1:15" ht="15" x14ac:dyDescent="0.35">
      <c r="A339" s="1"/>
      <c r="B339" s="2"/>
      <c r="C339" s="2"/>
      <c r="D339" s="15" t="s">
        <v>15</v>
      </c>
      <c r="E339" s="15"/>
      <c r="F339" s="1"/>
      <c r="G339" s="2"/>
      <c r="H339" s="2"/>
      <c r="I339" s="15" t="s">
        <v>15</v>
      </c>
      <c r="J339" s="2"/>
      <c r="K339" s="1"/>
      <c r="L339" s="2"/>
      <c r="M339" s="2"/>
      <c r="N339" s="15" t="s">
        <v>15</v>
      </c>
      <c r="O339" s="3"/>
    </row>
    <row r="340" spans="1:15" ht="15" x14ac:dyDescent="0.35">
      <c r="A340" s="1"/>
      <c r="B340" s="2"/>
      <c r="C340" s="2"/>
      <c r="D340" s="15"/>
      <c r="E340" s="2"/>
      <c r="F340" s="1"/>
      <c r="G340" s="2"/>
      <c r="H340" s="2"/>
      <c r="I340" s="15"/>
      <c r="J340" s="2"/>
      <c r="K340" s="1"/>
      <c r="L340" s="2"/>
      <c r="M340" s="2"/>
      <c r="N340" s="2"/>
      <c r="O340" s="3"/>
    </row>
    <row r="341" spans="1:15" ht="15" x14ac:dyDescent="0.35">
      <c r="A341" s="1"/>
      <c r="B341" s="2"/>
      <c r="C341" s="2"/>
      <c r="D341" s="15"/>
      <c r="E341" s="2"/>
      <c r="F341" s="1"/>
      <c r="G341" s="2"/>
      <c r="H341" s="2"/>
      <c r="I341" s="15"/>
      <c r="J341" s="2"/>
      <c r="K341" s="1"/>
      <c r="L341" s="2"/>
      <c r="M341" s="2"/>
      <c r="N341" s="2"/>
      <c r="O341" s="3"/>
    </row>
    <row r="342" spans="1:15" ht="15.6" thickBot="1" x14ac:dyDescent="0.4">
      <c r="A342" s="17"/>
      <c r="B342" s="18"/>
      <c r="C342" s="18"/>
      <c r="D342" s="19" t="s">
        <v>16</v>
      </c>
      <c r="E342" s="18"/>
      <c r="F342" s="17"/>
      <c r="G342" s="18"/>
      <c r="H342" s="18"/>
      <c r="I342" s="19" t="s">
        <v>16</v>
      </c>
      <c r="J342" s="18"/>
      <c r="K342" s="17"/>
      <c r="L342" s="18"/>
      <c r="M342" s="18"/>
      <c r="N342" s="19" t="s">
        <v>16</v>
      </c>
      <c r="O342" s="20"/>
    </row>
    <row r="343" spans="1:15" ht="15" x14ac:dyDescent="0.35">
      <c r="A343" s="46" t="s">
        <v>0</v>
      </c>
      <c r="B343" s="47"/>
      <c r="C343" s="47"/>
      <c r="D343" s="47"/>
      <c r="E343" s="47"/>
      <c r="F343" s="46" t="s">
        <v>0</v>
      </c>
      <c r="G343" s="47"/>
      <c r="H343" s="47"/>
      <c r="I343" s="47"/>
      <c r="J343" s="47"/>
      <c r="K343" s="46" t="s">
        <v>0</v>
      </c>
      <c r="L343" s="47"/>
      <c r="M343" s="47"/>
      <c r="N343" s="47"/>
      <c r="O343" s="48"/>
    </row>
    <row r="344" spans="1:15" ht="15" x14ac:dyDescent="0.35">
      <c r="A344" s="1"/>
      <c r="B344" s="2"/>
      <c r="C344" s="2"/>
      <c r="D344" s="2"/>
      <c r="E344" s="2"/>
      <c r="F344" s="1"/>
      <c r="G344" s="2"/>
      <c r="H344" s="2"/>
      <c r="I344" s="2"/>
      <c r="J344" s="2"/>
      <c r="K344" s="1"/>
      <c r="L344" s="2"/>
      <c r="M344" s="2"/>
      <c r="N344" s="2"/>
      <c r="O344" s="3"/>
    </row>
    <row r="345" spans="1:15" ht="15" x14ac:dyDescent="0.35">
      <c r="A345" s="1" t="s">
        <v>1</v>
      </c>
      <c r="B345" s="2" t="s">
        <v>2</v>
      </c>
      <c r="C345" s="50" t="s">
        <v>50</v>
      </c>
      <c r="D345" s="50"/>
      <c r="E345" s="4">
        <v>38</v>
      </c>
      <c r="F345" s="1" t="s">
        <v>1</v>
      </c>
      <c r="G345" s="2" t="s">
        <v>2</v>
      </c>
      <c r="H345" s="50" t="s">
        <v>51</v>
      </c>
      <c r="I345" s="50"/>
      <c r="J345" s="4">
        <v>39</v>
      </c>
      <c r="K345" s="1" t="s">
        <v>1</v>
      </c>
      <c r="L345" s="2" t="s">
        <v>2</v>
      </c>
      <c r="M345" s="50"/>
      <c r="N345" s="50"/>
      <c r="O345" s="6"/>
    </row>
    <row r="346" spans="1:15" ht="15" x14ac:dyDescent="0.35">
      <c r="A346" s="1" t="s">
        <v>4</v>
      </c>
      <c r="B346" s="2"/>
      <c r="C346" s="2" t="s">
        <v>2</v>
      </c>
      <c r="D346" s="2"/>
      <c r="F346" s="1" t="s">
        <v>4</v>
      </c>
      <c r="G346" s="2"/>
      <c r="H346" s="2" t="s">
        <v>2</v>
      </c>
      <c r="I346" s="2"/>
      <c r="J346" s="2"/>
      <c r="K346" s="1" t="s">
        <v>52</v>
      </c>
      <c r="L346" s="2" t="s">
        <v>2</v>
      </c>
      <c r="M346" s="2"/>
      <c r="N346" s="2"/>
      <c r="O346" s="3"/>
    </row>
    <row r="347" spans="1:15" ht="15" x14ac:dyDescent="0.35">
      <c r="A347" s="1" t="s">
        <v>5</v>
      </c>
      <c r="B347" s="2"/>
      <c r="C347" s="2" t="s">
        <v>2</v>
      </c>
      <c r="D347" s="25">
        <f>'[3]KARNING 2021'!$C$1024</f>
        <v>20000</v>
      </c>
      <c r="E347" s="2"/>
      <c r="F347" s="1" t="s">
        <v>5</v>
      </c>
      <c r="G347" s="2"/>
      <c r="H347" s="2" t="s">
        <v>2</v>
      </c>
      <c r="I347" s="25">
        <f>'[3]KARNING 2021'!$C$1041</f>
        <v>15000</v>
      </c>
      <c r="J347" s="2"/>
      <c r="K347" s="1" t="s">
        <v>53</v>
      </c>
      <c r="L347" s="2"/>
      <c r="M347" s="2" t="s">
        <v>2</v>
      </c>
      <c r="N347" s="7">
        <v>0</v>
      </c>
      <c r="O347" s="3"/>
    </row>
    <row r="348" spans="1:15" ht="15" x14ac:dyDescent="0.35">
      <c r="A348" s="1" t="s">
        <v>6</v>
      </c>
      <c r="B348" s="2"/>
      <c r="C348" s="2" t="s">
        <v>2</v>
      </c>
      <c r="D348" s="25">
        <v>20000</v>
      </c>
      <c r="E348" s="2"/>
      <c r="F348" s="1" t="s">
        <v>6</v>
      </c>
      <c r="G348" s="2"/>
      <c r="H348" s="2" t="s">
        <v>2</v>
      </c>
      <c r="I348" s="25">
        <f>'[3]KARNING 2021'!$D$1041</f>
        <v>10000</v>
      </c>
      <c r="J348" s="2"/>
      <c r="K348" s="1" t="s">
        <v>54</v>
      </c>
      <c r="L348" s="2"/>
      <c r="M348" s="2" t="s">
        <v>2</v>
      </c>
      <c r="N348" s="7">
        <v>0</v>
      </c>
      <c r="O348" s="3"/>
    </row>
    <row r="349" spans="1:15" ht="15" x14ac:dyDescent="0.35">
      <c r="A349" s="1" t="s">
        <v>7</v>
      </c>
      <c r="B349" s="2"/>
      <c r="C349" s="2" t="s">
        <v>2</v>
      </c>
      <c r="D349" s="25">
        <v>20000</v>
      </c>
      <c r="E349" s="2"/>
      <c r="F349" s="1" t="s">
        <v>7</v>
      </c>
      <c r="G349" s="2"/>
      <c r="H349" s="2" t="s">
        <v>2</v>
      </c>
      <c r="I349" s="8">
        <v>50000</v>
      </c>
      <c r="J349" s="2"/>
      <c r="K349" s="1" t="s">
        <v>55</v>
      </c>
      <c r="L349" s="2"/>
      <c r="M349" s="2" t="s">
        <v>2</v>
      </c>
      <c r="N349" s="7">
        <v>0</v>
      </c>
      <c r="O349" s="3"/>
    </row>
    <row r="350" spans="1:15" ht="15" x14ac:dyDescent="0.35">
      <c r="A350" s="1" t="s">
        <v>8</v>
      </c>
      <c r="B350" s="21">
        <v>3</v>
      </c>
      <c r="C350" s="2" t="s">
        <v>2</v>
      </c>
      <c r="D350" s="25">
        <f>[38]krnmei!$I$1026</f>
        <v>150000</v>
      </c>
      <c r="E350" s="2"/>
      <c r="F350" s="1" t="s">
        <v>8</v>
      </c>
      <c r="G350" s="21">
        <v>11</v>
      </c>
      <c r="H350" s="2" t="s">
        <v>2</v>
      </c>
      <c r="I350" s="25">
        <f>[31]krnmei!$I$1048</f>
        <v>500000</v>
      </c>
      <c r="J350" s="2"/>
      <c r="K350" s="1" t="s">
        <v>8</v>
      </c>
      <c r="L350" s="2"/>
      <c r="M350" s="2" t="s">
        <v>2</v>
      </c>
      <c r="N350" s="7"/>
      <c r="O350" s="3"/>
    </row>
    <row r="351" spans="1:15" ht="15" x14ac:dyDescent="0.35">
      <c r="A351" s="1" t="s">
        <v>9</v>
      </c>
      <c r="B351" s="2"/>
      <c r="C351" s="2" t="s">
        <v>2</v>
      </c>
      <c r="D351" s="11">
        <f>[41]krnmei!$K$1028</f>
        <v>40500</v>
      </c>
      <c r="E351" s="2"/>
      <c r="F351" s="1" t="s">
        <v>9</v>
      </c>
      <c r="G351" s="2"/>
      <c r="H351" s="2" t="s">
        <v>2</v>
      </c>
      <c r="I351" s="11">
        <f>[41]krnmei!$K$1045</f>
        <v>37500</v>
      </c>
      <c r="J351" s="2"/>
      <c r="K351" s="1" t="s">
        <v>56</v>
      </c>
      <c r="L351" s="2"/>
      <c r="M351" s="2" t="s">
        <v>2</v>
      </c>
      <c r="N351" s="11"/>
      <c r="O351" s="3"/>
    </row>
    <row r="352" spans="1:15" ht="15" x14ac:dyDescent="0.35">
      <c r="A352" s="1" t="s">
        <v>10</v>
      </c>
      <c r="B352" s="2"/>
      <c r="C352" s="2" t="s">
        <v>2</v>
      </c>
      <c r="D352" s="8">
        <v>0</v>
      </c>
      <c r="E352" s="2"/>
      <c r="F352" s="1" t="s">
        <v>10</v>
      </c>
      <c r="G352" s="2"/>
      <c r="H352" s="2" t="s">
        <v>2</v>
      </c>
      <c r="I352" s="8"/>
      <c r="J352" s="2"/>
      <c r="K352" s="1" t="s">
        <v>57</v>
      </c>
      <c r="L352" s="2"/>
      <c r="M352" s="2" t="s">
        <v>2</v>
      </c>
      <c r="N352" s="2"/>
      <c r="O352" s="3"/>
    </row>
    <row r="353" spans="1:15" ht="15" x14ac:dyDescent="0.35">
      <c r="A353" s="1" t="s">
        <v>11</v>
      </c>
      <c r="B353" s="2"/>
      <c r="C353" s="2" t="s">
        <v>2</v>
      </c>
      <c r="D353" s="9">
        <v>0</v>
      </c>
      <c r="E353" s="2"/>
      <c r="F353" s="1" t="s">
        <v>11</v>
      </c>
      <c r="G353" s="2"/>
      <c r="H353" s="2" t="s">
        <v>2</v>
      </c>
      <c r="I353" s="9"/>
      <c r="J353" s="2"/>
      <c r="K353" s="1" t="s">
        <v>58</v>
      </c>
      <c r="L353" s="2"/>
      <c r="M353" s="2" t="s">
        <v>2</v>
      </c>
      <c r="N353" s="2"/>
      <c r="O353" s="3"/>
    </row>
    <row r="354" spans="1:15" ht="15" x14ac:dyDescent="0.35">
      <c r="A354" s="1" t="s">
        <v>12</v>
      </c>
      <c r="B354" s="2"/>
      <c r="C354" s="2" t="s">
        <v>2</v>
      </c>
      <c r="D354" s="8">
        <v>20000</v>
      </c>
      <c r="E354" s="2"/>
      <c r="F354" s="1" t="s">
        <v>12</v>
      </c>
      <c r="G354" s="2"/>
      <c r="H354" s="2" t="s">
        <v>2</v>
      </c>
      <c r="I354" s="8"/>
      <c r="J354" s="2"/>
      <c r="K354" s="1" t="s">
        <v>59</v>
      </c>
      <c r="L354" s="2"/>
      <c r="M354" s="2" t="s">
        <v>2</v>
      </c>
      <c r="N354" s="36"/>
      <c r="O354" s="3"/>
    </row>
    <row r="355" spans="1:15" ht="15" x14ac:dyDescent="0.35">
      <c r="A355" s="13" t="s">
        <v>13</v>
      </c>
      <c r="B355" s="5"/>
      <c r="C355" s="5" t="s">
        <v>2</v>
      </c>
      <c r="D355" s="24">
        <f>SUM(D347:D354)</f>
        <v>270500</v>
      </c>
      <c r="E355" s="2"/>
      <c r="F355" s="13" t="s">
        <v>13</v>
      </c>
      <c r="G355" s="5"/>
      <c r="H355" s="5" t="s">
        <v>2</v>
      </c>
      <c r="I355" s="24">
        <f>SUM(I347:I354)</f>
        <v>612500</v>
      </c>
      <c r="J355" s="2"/>
      <c r="K355" s="13" t="s">
        <v>13</v>
      </c>
      <c r="L355" s="5"/>
      <c r="M355" s="5"/>
      <c r="N355" s="24">
        <f>SUM(N347:N354)</f>
        <v>0</v>
      </c>
      <c r="O355" s="3"/>
    </row>
    <row r="356" spans="1:15" ht="15" x14ac:dyDescent="0.35">
      <c r="A356" s="1" t="s">
        <v>14</v>
      </c>
      <c r="B356" s="2"/>
      <c r="C356" s="2" t="s">
        <v>2</v>
      </c>
      <c r="D356" s="25">
        <f>[41]krnmei!$J$1028</f>
        <v>2550000</v>
      </c>
      <c r="E356" s="2"/>
      <c r="F356" s="1" t="s">
        <v>14</v>
      </c>
      <c r="G356" s="2"/>
      <c r="H356" s="2" t="s">
        <v>2</v>
      </c>
      <c r="I356" s="27">
        <f>[41]krnmei!$J$1045</f>
        <v>2000000</v>
      </c>
      <c r="J356" s="2"/>
      <c r="K356" s="1" t="s">
        <v>14</v>
      </c>
      <c r="L356" s="2"/>
      <c r="M356" s="2"/>
      <c r="N356" s="27"/>
      <c r="O356" s="3"/>
    </row>
    <row r="357" spans="1:15" ht="15" x14ac:dyDescent="0.35">
      <c r="A357" s="1"/>
      <c r="B357" s="2"/>
      <c r="C357" s="15"/>
      <c r="D357" s="35" t="str">
        <f>D167</f>
        <v>Grogol, 02 Mei   2026</v>
      </c>
      <c r="E357" s="2"/>
      <c r="F357" s="1"/>
      <c r="G357" s="2"/>
      <c r="H357" s="15"/>
      <c r="I357" s="15" t="str">
        <f>D357</f>
        <v>Grogol, 02 Mei   2026</v>
      </c>
      <c r="J357" s="15"/>
      <c r="K357" s="1"/>
      <c r="L357" s="2"/>
      <c r="M357" s="15"/>
      <c r="N357" s="15" t="s">
        <v>84</v>
      </c>
      <c r="O357" s="16"/>
    </row>
    <row r="358" spans="1:15" ht="15" x14ac:dyDescent="0.35">
      <c r="A358" s="1"/>
      <c r="B358" s="2"/>
      <c r="C358" s="2"/>
      <c r="D358" s="15" t="s">
        <v>15</v>
      </c>
      <c r="E358" s="15"/>
      <c r="F358" s="1"/>
      <c r="G358" s="2"/>
      <c r="H358" s="2"/>
      <c r="I358" s="15" t="s">
        <v>15</v>
      </c>
      <c r="J358" s="2"/>
      <c r="K358" s="1"/>
      <c r="L358" s="2"/>
      <c r="M358" s="2"/>
      <c r="N358" s="15" t="s">
        <v>15</v>
      </c>
      <c r="O358" s="3"/>
    </row>
    <row r="359" spans="1:15" ht="15" x14ac:dyDescent="0.35">
      <c r="A359" s="1"/>
      <c r="B359" s="2"/>
      <c r="C359" s="2"/>
      <c r="D359" s="15"/>
      <c r="E359" s="2"/>
      <c r="F359" s="1"/>
      <c r="G359" s="2"/>
      <c r="H359" s="2"/>
      <c r="I359" s="15"/>
      <c r="J359" s="2"/>
      <c r="K359" s="1"/>
      <c r="L359" s="2"/>
      <c r="M359" s="2"/>
      <c r="N359" s="2"/>
      <c r="O359" s="3"/>
    </row>
    <row r="360" spans="1:15" ht="15" x14ac:dyDescent="0.35">
      <c r="A360" s="1"/>
      <c r="B360" s="2"/>
      <c r="C360" s="2"/>
      <c r="D360" s="15"/>
      <c r="E360" s="2"/>
      <c r="F360" s="1"/>
      <c r="G360" s="2"/>
      <c r="H360" s="2"/>
      <c r="I360" s="15"/>
      <c r="J360" s="2"/>
      <c r="K360" s="1"/>
      <c r="L360" s="2"/>
      <c r="M360" s="2"/>
      <c r="N360" s="2"/>
      <c r="O360" s="3"/>
    </row>
    <row r="361" spans="1:15" ht="15.6" thickBot="1" x14ac:dyDescent="0.4">
      <c r="A361" s="17"/>
      <c r="B361" s="18"/>
      <c r="C361" s="18"/>
      <c r="D361" s="19" t="s">
        <v>16</v>
      </c>
      <c r="E361" s="18"/>
      <c r="F361" s="17"/>
      <c r="G361" s="18"/>
      <c r="H361" s="18"/>
      <c r="I361" s="19" t="s">
        <v>16</v>
      </c>
      <c r="J361" s="18"/>
      <c r="K361" s="17"/>
      <c r="L361" s="18"/>
      <c r="M361" s="37"/>
      <c r="N361" s="19" t="s">
        <v>16</v>
      </c>
      <c r="O361" s="20"/>
    </row>
    <row r="362" spans="1:15" ht="15" x14ac:dyDescent="0.35">
      <c r="A362" s="46" t="s">
        <v>0</v>
      </c>
      <c r="B362" s="47"/>
      <c r="C362" s="47"/>
      <c r="D362" s="47"/>
      <c r="E362" s="47"/>
      <c r="F362" s="46" t="s">
        <v>0</v>
      </c>
      <c r="G362" s="47"/>
      <c r="H362" s="47"/>
      <c r="I362" s="47"/>
      <c r="J362" s="47"/>
      <c r="K362" s="46" t="s">
        <v>0</v>
      </c>
      <c r="L362" s="47"/>
      <c r="M362" s="47"/>
      <c r="N362" s="47"/>
      <c r="O362" s="48"/>
    </row>
    <row r="363" spans="1:15" ht="15" x14ac:dyDescent="0.35">
      <c r="A363" s="1"/>
      <c r="B363" s="2"/>
      <c r="C363" s="2"/>
      <c r="D363" s="2"/>
      <c r="E363" s="2"/>
      <c r="F363" s="1"/>
      <c r="G363" s="2"/>
      <c r="H363" s="2"/>
      <c r="I363" s="2"/>
      <c r="J363" s="2"/>
      <c r="K363" s="1"/>
      <c r="L363" s="2"/>
      <c r="M363" s="2"/>
      <c r="N363" s="2"/>
      <c r="O363" s="3"/>
    </row>
    <row r="364" spans="1:15" ht="15" x14ac:dyDescent="0.35">
      <c r="A364" s="1" t="s">
        <v>1</v>
      </c>
      <c r="B364" s="2"/>
      <c r="C364" s="5" t="s">
        <v>2</v>
      </c>
      <c r="D364" s="42" t="s">
        <v>64</v>
      </c>
      <c r="E364" s="4">
        <v>45</v>
      </c>
      <c r="F364" s="1" t="s">
        <v>1</v>
      </c>
      <c r="G364" s="2"/>
      <c r="H364" s="5" t="s">
        <v>2</v>
      </c>
      <c r="I364" s="4" t="s">
        <v>60</v>
      </c>
      <c r="J364" s="4">
        <v>16</v>
      </c>
      <c r="K364" s="1" t="s">
        <v>1</v>
      </c>
      <c r="L364" s="2"/>
      <c r="M364" s="5" t="s">
        <v>2</v>
      </c>
      <c r="N364" s="4" t="s">
        <v>61</v>
      </c>
      <c r="O364" s="6">
        <v>17</v>
      </c>
    </row>
    <row r="365" spans="1:15" ht="15" x14ac:dyDescent="0.35">
      <c r="A365" s="1" t="s">
        <v>52</v>
      </c>
      <c r="B365" s="2"/>
      <c r="C365" s="2" t="s">
        <v>2</v>
      </c>
      <c r="D365" s="2"/>
      <c r="E365" s="2"/>
      <c r="F365" s="1" t="s">
        <v>52</v>
      </c>
      <c r="G365" s="2"/>
      <c r="H365" s="2" t="s">
        <v>2</v>
      </c>
      <c r="I365" s="2"/>
      <c r="J365" s="2"/>
      <c r="K365" s="1" t="s">
        <v>52</v>
      </c>
      <c r="L365" s="2"/>
      <c r="M365" s="2" t="s">
        <v>2</v>
      </c>
      <c r="N365" s="2"/>
      <c r="O365" s="3"/>
    </row>
    <row r="366" spans="1:15" ht="15" x14ac:dyDescent="0.35">
      <c r="A366" s="1" t="s">
        <v>65</v>
      </c>
      <c r="B366" s="2"/>
      <c r="C366" s="2" t="s">
        <v>2</v>
      </c>
      <c r="D366" s="7">
        <f>[26]krnmei!$C$1233</f>
        <v>15000</v>
      </c>
      <c r="E366" s="2"/>
      <c r="F366" s="1" t="s">
        <v>53</v>
      </c>
      <c r="G366" s="2"/>
      <c r="H366" s="2" t="s">
        <v>2</v>
      </c>
      <c r="I366" s="7">
        <f>[17]krnmei!$C$1094</f>
        <v>100000</v>
      </c>
      <c r="K366" s="1" t="s">
        <v>53</v>
      </c>
      <c r="L366" s="2"/>
      <c r="M366" s="2" t="s">
        <v>2</v>
      </c>
      <c r="N366" s="7">
        <f>[17]krnmei!$C$1111</f>
        <v>100000</v>
      </c>
      <c r="O366" s="3"/>
    </row>
    <row r="367" spans="1:15" ht="15" x14ac:dyDescent="0.35">
      <c r="A367" s="1" t="s">
        <v>54</v>
      </c>
      <c r="B367" s="2"/>
      <c r="C367" s="2" t="s">
        <v>2</v>
      </c>
      <c r="D367" s="7">
        <f>[5]krnmei!$D$1232</f>
        <v>10000</v>
      </c>
      <c r="E367" s="2"/>
      <c r="F367" s="1" t="s">
        <v>54</v>
      </c>
      <c r="G367" s="2"/>
      <c r="H367" s="2" t="s">
        <v>2</v>
      </c>
      <c r="I367" s="2">
        <v>25000</v>
      </c>
      <c r="J367" s="2"/>
      <c r="K367" s="1" t="s">
        <v>54</v>
      </c>
      <c r="L367" s="2"/>
      <c r="M367" s="2" t="s">
        <v>2</v>
      </c>
      <c r="N367" s="2">
        <v>25000</v>
      </c>
      <c r="O367" s="3"/>
    </row>
    <row r="368" spans="1:15" ht="15" x14ac:dyDescent="0.35">
      <c r="A368" s="1" t="s">
        <v>55</v>
      </c>
      <c r="B368" s="2"/>
      <c r="C368" s="2" t="s">
        <v>2</v>
      </c>
      <c r="D368" s="7">
        <f>[35]krnmei!$E$1238</f>
        <v>50000</v>
      </c>
      <c r="E368" s="2"/>
      <c r="F368" s="1" t="s">
        <v>55</v>
      </c>
      <c r="G368" s="2"/>
      <c r="H368" s="2" t="s">
        <v>2</v>
      </c>
      <c r="I368" s="7">
        <f>[25]krnmei!$E$1097</f>
        <v>200000</v>
      </c>
      <c r="J368" s="2"/>
      <c r="K368" s="1" t="s">
        <v>55</v>
      </c>
      <c r="L368" s="2"/>
      <c r="M368" s="2" t="s">
        <v>2</v>
      </c>
      <c r="N368" s="2">
        <v>0</v>
      </c>
      <c r="O368" s="3"/>
    </row>
    <row r="369" spans="1:15" ht="15" x14ac:dyDescent="0.35">
      <c r="A369" s="1" t="s">
        <v>8</v>
      </c>
      <c r="B369" s="2">
        <v>22</v>
      </c>
      <c r="C369" s="2" t="s">
        <v>2</v>
      </c>
      <c r="D369" s="2">
        <f>[6]krnmei!$I$1236</f>
        <v>400000</v>
      </c>
      <c r="E369" s="2"/>
      <c r="F369" s="1" t="s">
        <v>8</v>
      </c>
      <c r="G369" s="2"/>
      <c r="H369" s="2" t="s">
        <v>2</v>
      </c>
      <c r="I369" s="2">
        <v>0</v>
      </c>
      <c r="J369" s="2"/>
      <c r="K369" s="1" t="s">
        <v>8</v>
      </c>
      <c r="L369" s="2">
        <v>5</v>
      </c>
      <c r="M369" s="2" t="s">
        <v>2</v>
      </c>
      <c r="N369" s="2">
        <f>[39]krnmei!$I$1110</f>
        <v>1000000</v>
      </c>
      <c r="O369" s="3"/>
    </row>
    <row r="370" spans="1:15" ht="15" x14ac:dyDescent="0.35">
      <c r="A370" s="1" t="s">
        <v>56</v>
      </c>
      <c r="B370" s="2"/>
      <c r="C370" s="2" t="s">
        <v>2</v>
      </c>
      <c r="D370" s="45">
        <f>[41]krnmei!$K$1232</f>
        <v>27750</v>
      </c>
      <c r="E370" s="2"/>
      <c r="F370" s="1" t="s">
        <v>56</v>
      </c>
      <c r="G370" s="2"/>
      <c r="H370" s="2" t="s">
        <v>2</v>
      </c>
      <c r="I370" s="2">
        <v>0</v>
      </c>
      <c r="J370" s="2"/>
      <c r="K370" s="1" t="s">
        <v>56</v>
      </c>
      <c r="L370" s="2"/>
      <c r="M370" s="2" t="s">
        <v>2</v>
      </c>
      <c r="N370" s="44">
        <f>[41]krnmei!$K$1113</f>
        <v>375000</v>
      </c>
      <c r="O370" s="3"/>
    </row>
    <row r="371" spans="1:15" ht="15" x14ac:dyDescent="0.35">
      <c r="A371" s="1" t="s">
        <v>57</v>
      </c>
      <c r="B371" s="2"/>
      <c r="C371" s="2" t="s">
        <v>2</v>
      </c>
      <c r="D371" s="2">
        <v>0</v>
      </c>
      <c r="E371" s="2"/>
      <c r="F371" s="1" t="s">
        <v>57</v>
      </c>
      <c r="G371" s="2"/>
      <c r="H371" s="2" t="s">
        <v>2</v>
      </c>
      <c r="I371" s="2">
        <v>0</v>
      </c>
      <c r="J371" s="2"/>
      <c r="K371" s="1" t="s">
        <v>57</v>
      </c>
      <c r="L371" s="2"/>
      <c r="M371" s="2" t="s">
        <v>2</v>
      </c>
      <c r="N371" s="2">
        <v>0</v>
      </c>
      <c r="O371" s="3"/>
    </row>
    <row r="372" spans="1:15" ht="15" x14ac:dyDescent="0.35">
      <c r="A372" s="1" t="s">
        <v>62</v>
      </c>
      <c r="B372" s="2"/>
      <c r="C372" s="2" t="s">
        <v>2</v>
      </c>
      <c r="D372" s="2">
        <v>0</v>
      </c>
      <c r="E372" s="2"/>
      <c r="F372" s="1" t="s">
        <v>62</v>
      </c>
      <c r="G372" s="2"/>
      <c r="H372" s="2" t="s">
        <v>2</v>
      </c>
      <c r="I372" s="2">
        <v>0</v>
      </c>
      <c r="J372" s="2"/>
      <c r="K372" s="1" t="s">
        <v>62</v>
      </c>
      <c r="L372" s="2"/>
      <c r="M372" s="2" t="s">
        <v>2</v>
      </c>
      <c r="N372" s="2">
        <v>0</v>
      </c>
      <c r="O372" s="3"/>
    </row>
    <row r="373" spans="1:15" ht="15.6" thickBot="1" x14ac:dyDescent="0.4">
      <c r="A373" s="1" t="s">
        <v>59</v>
      </c>
      <c r="B373" s="2"/>
      <c r="C373" s="2" t="s">
        <v>2</v>
      </c>
      <c r="D373" s="2">
        <v>0</v>
      </c>
      <c r="E373" s="2"/>
      <c r="F373" s="1" t="s">
        <v>59</v>
      </c>
      <c r="G373" s="2"/>
      <c r="H373" s="2" t="s">
        <v>2</v>
      </c>
      <c r="I373" s="7">
        <f>[36]krnmei!$F$1096</f>
        <v>150000</v>
      </c>
      <c r="J373" s="2"/>
      <c r="K373" s="1" t="s">
        <v>59</v>
      </c>
      <c r="L373" s="2"/>
      <c r="M373" s="2" t="s">
        <v>2</v>
      </c>
      <c r="N373" s="7">
        <f>[36]krnmei!$F$1113</f>
        <v>150000</v>
      </c>
      <c r="O373" s="3"/>
    </row>
    <row r="374" spans="1:15" ht="15.6" thickTop="1" x14ac:dyDescent="0.35">
      <c r="A374" s="13" t="s">
        <v>13</v>
      </c>
      <c r="B374" s="5"/>
      <c r="C374" s="5"/>
      <c r="D374" s="38">
        <f>SUM(D366:D373)</f>
        <v>502750</v>
      </c>
      <c r="E374" s="2"/>
      <c r="F374" s="13" t="s">
        <v>13</v>
      </c>
      <c r="G374" s="5"/>
      <c r="H374" s="5" t="s">
        <v>2</v>
      </c>
      <c r="I374" s="38">
        <f>SUM(I366:I373)</f>
        <v>475000</v>
      </c>
      <c r="J374" s="2"/>
      <c r="K374" s="13" t="s">
        <v>13</v>
      </c>
      <c r="L374" s="5"/>
      <c r="M374" s="5" t="s">
        <v>2</v>
      </c>
      <c r="N374" s="38">
        <f>SUM(N366:N373)</f>
        <v>1650000</v>
      </c>
      <c r="O374" s="3"/>
    </row>
    <row r="375" spans="1:15" ht="15" x14ac:dyDescent="0.35">
      <c r="A375" s="1" t="s">
        <v>14</v>
      </c>
      <c r="B375" s="2"/>
      <c r="C375" s="2"/>
      <c r="D375" s="39">
        <f>[41]krnmei!$J$1232</f>
        <v>1450000</v>
      </c>
      <c r="E375" s="2"/>
      <c r="F375" s="1" t="s">
        <v>14</v>
      </c>
      <c r="G375" s="2"/>
      <c r="H375" s="2" t="s">
        <v>2</v>
      </c>
      <c r="I375" s="39">
        <v>0</v>
      </c>
      <c r="J375" s="2"/>
      <c r="K375" s="1" t="s">
        <v>14</v>
      </c>
      <c r="L375" s="2"/>
      <c r="M375" s="2" t="s">
        <v>2</v>
      </c>
      <c r="N375" s="39">
        <f>[41]krnmei!$J$1113</f>
        <v>24000000</v>
      </c>
      <c r="O375" s="3"/>
    </row>
    <row r="376" spans="1:15" ht="15" x14ac:dyDescent="0.35">
      <c r="A376" s="1"/>
      <c r="B376" s="2"/>
      <c r="C376" s="2"/>
      <c r="D376" s="15" t="s">
        <v>89</v>
      </c>
      <c r="E376" s="2"/>
      <c r="F376" s="1"/>
      <c r="G376" s="2"/>
      <c r="H376" s="15"/>
      <c r="I376" s="15" t="str">
        <f>D167</f>
        <v>Grogol, 02 Mei   2026</v>
      </c>
      <c r="J376" s="15"/>
      <c r="K376" s="1"/>
      <c r="L376" s="2"/>
      <c r="M376" s="15"/>
      <c r="N376" s="15" t="str">
        <f>D167</f>
        <v>Grogol, 02 Mei   2026</v>
      </c>
      <c r="O376" s="16"/>
    </row>
    <row r="377" spans="1:15" ht="15" x14ac:dyDescent="0.35">
      <c r="A377" s="1"/>
      <c r="B377" s="2"/>
      <c r="C377" s="2"/>
      <c r="D377" s="15" t="s">
        <v>15</v>
      </c>
      <c r="E377" s="2"/>
      <c r="F377" s="1"/>
      <c r="G377" s="2"/>
      <c r="H377" s="2"/>
      <c r="I377" s="15" t="s">
        <v>15</v>
      </c>
      <c r="J377" s="2"/>
      <c r="K377" s="1"/>
      <c r="L377" s="2"/>
      <c r="M377" s="2"/>
      <c r="N377" s="15" t="s">
        <v>15</v>
      </c>
      <c r="O377" s="3"/>
    </row>
    <row r="378" spans="1:15" ht="15" x14ac:dyDescent="0.35">
      <c r="A378" s="1"/>
      <c r="B378" s="2"/>
      <c r="C378" s="2"/>
      <c r="D378" s="15"/>
      <c r="E378" s="2"/>
      <c r="F378" s="1"/>
      <c r="G378" s="2"/>
      <c r="H378" s="2"/>
      <c r="I378" s="15"/>
      <c r="J378" s="2"/>
      <c r="K378" s="1"/>
      <c r="L378" s="2"/>
      <c r="M378" s="2"/>
      <c r="N378" s="15"/>
      <c r="O378" s="3"/>
    </row>
    <row r="379" spans="1:15" ht="15" x14ac:dyDescent="0.35">
      <c r="A379" s="1"/>
      <c r="B379" s="2"/>
      <c r="C379" s="2"/>
      <c r="D379" s="2"/>
      <c r="E379" s="2"/>
      <c r="F379" s="1"/>
      <c r="G379" s="2"/>
      <c r="H379" s="2"/>
      <c r="I379" s="15"/>
      <c r="J379" s="2"/>
      <c r="K379" s="1"/>
      <c r="L379" s="2"/>
      <c r="M379" s="2"/>
      <c r="N379" s="2"/>
      <c r="O379" s="3"/>
    </row>
    <row r="380" spans="1:15" ht="15.6" thickBot="1" x14ac:dyDescent="0.4">
      <c r="A380" s="17"/>
      <c r="B380" s="18"/>
      <c r="C380" s="18"/>
      <c r="D380" s="19" t="s">
        <v>16</v>
      </c>
      <c r="E380" s="18"/>
      <c r="F380" s="17"/>
      <c r="G380" s="18"/>
      <c r="H380" s="18"/>
      <c r="I380" s="19" t="s">
        <v>16</v>
      </c>
      <c r="J380" s="18"/>
      <c r="K380" s="17"/>
      <c r="L380" s="18"/>
      <c r="M380" s="18"/>
      <c r="N380" s="19" t="s">
        <v>16</v>
      </c>
      <c r="O380" s="20"/>
    </row>
  </sheetData>
  <mergeCells count="113">
    <mergeCell ref="A20:E20"/>
    <mergeCell ref="F20:J20"/>
    <mergeCell ref="K20:O20"/>
    <mergeCell ref="C22:D22"/>
    <mergeCell ref="H22:I22"/>
    <mergeCell ref="M22:N22"/>
    <mergeCell ref="A1:E1"/>
    <mergeCell ref="F1:J1"/>
    <mergeCell ref="K1:O1"/>
    <mergeCell ref="C3:D3"/>
    <mergeCell ref="H3:I3"/>
    <mergeCell ref="M3:N3"/>
    <mergeCell ref="A58:E58"/>
    <mergeCell ref="F58:J58"/>
    <mergeCell ref="K58:O58"/>
    <mergeCell ref="C60:D60"/>
    <mergeCell ref="H60:I60"/>
    <mergeCell ref="M60:N60"/>
    <mergeCell ref="A39:E39"/>
    <mergeCell ref="F39:J39"/>
    <mergeCell ref="K39:O39"/>
    <mergeCell ref="C41:D41"/>
    <mergeCell ref="H41:I41"/>
    <mergeCell ref="M41:N41"/>
    <mergeCell ref="H91:J91"/>
    <mergeCell ref="A96:E96"/>
    <mergeCell ref="F96:J96"/>
    <mergeCell ref="K96:O96"/>
    <mergeCell ref="C98:D98"/>
    <mergeCell ref="H98:I98"/>
    <mergeCell ref="M98:N98"/>
    <mergeCell ref="A77:E77"/>
    <mergeCell ref="F77:J77"/>
    <mergeCell ref="K77:O77"/>
    <mergeCell ref="C79:D79"/>
    <mergeCell ref="H79:I79"/>
    <mergeCell ref="M79:N79"/>
    <mergeCell ref="A134:E134"/>
    <mergeCell ref="F134:J134"/>
    <mergeCell ref="K134:O134"/>
    <mergeCell ref="H136:I136"/>
    <mergeCell ref="M136:N136"/>
    <mergeCell ref="A153:E153"/>
    <mergeCell ref="F153:J153"/>
    <mergeCell ref="K153:O153"/>
    <mergeCell ref="A115:E115"/>
    <mergeCell ref="F115:J115"/>
    <mergeCell ref="K115:O115"/>
    <mergeCell ref="C117:D117"/>
    <mergeCell ref="H117:I117"/>
    <mergeCell ref="M117:N117"/>
    <mergeCell ref="C174:D174"/>
    <mergeCell ref="H174:I174"/>
    <mergeCell ref="M174:N174"/>
    <mergeCell ref="A191:E191"/>
    <mergeCell ref="F191:J191"/>
    <mergeCell ref="K191:O191"/>
    <mergeCell ref="C155:D155"/>
    <mergeCell ref="H155:I155"/>
    <mergeCell ref="M155:N155"/>
    <mergeCell ref="A172:E172"/>
    <mergeCell ref="F172:J172"/>
    <mergeCell ref="K172:O172"/>
    <mergeCell ref="A229:E229"/>
    <mergeCell ref="F229:J229"/>
    <mergeCell ref="K229:O229"/>
    <mergeCell ref="H231:I231"/>
    <mergeCell ref="M231:N231"/>
    <mergeCell ref="A248:E248"/>
    <mergeCell ref="F248:J248"/>
    <mergeCell ref="K248:O248"/>
    <mergeCell ref="H193:I193"/>
    <mergeCell ref="A210:E210"/>
    <mergeCell ref="F210:J210"/>
    <mergeCell ref="K210:O210"/>
    <mergeCell ref="C212:D212"/>
    <mergeCell ref="H212:I212"/>
    <mergeCell ref="M212:N212"/>
    <mergeCell ref="C269:D269"/>
    <mergeCell ref="H269:I269"/>
    <mergeCell ref="M269:N269"/>
    <mergeCell ref="A286:E286"/>
    <mergeCell ref="F286:J286"/>
    <mergeCell ref="K286:O286"/>
    <mergeCell ref="C250:D250"/>
    <mergeCell ref="H250:I250"/>
    <mergeCell ref="M250:N250"/>
    <mergeCell ref="A267:E267"/>
    <mergeCell ref="F267:J267"/>
    <mergeCell ref="K267:O267"/>
    <mergeCell ref="C307:D307"/>
    <mergeCell ref="H307:I307"/>
    <mergeCell ref="A324:E324"/>
    <mergeCell ref="F324:J324"/>
    <mergeCell ref="K324:O324"/>
    <mergeCell ref="C326:D326"/>
    <mergeCell ref="H326:I326"/>
    <mergeCell ref="C288:D288"/>
    <mergeCell ref="H288:I288"/>
    <mergeCell ref="M288:N288"/>
    <mergeCell ref="A305:E305"/>
    <mergeCell ref="F305:J305"/>
    <mergeCell ref="K305:O305"/>
    <mergeCell ref="A362:E362"/>
    <mergeCell ref="F362:J362"/>
    <mergeCell ref="K362:O362"/>
    <mergeCell ref="L338:N338"/>
    <mergeCell ref="A343:E343"/>
    <mergeCell ref="F343:J343"/>
    <mergeCell ref="K343:O343"/>
    <mergeCell ref="C345:D345"/>
    <mergeCell ref="H345:I345"/>
    <mergeCell ref="M345:N345"/>
  </mergeCells>
  <pageMargins left="0.19685039370078741" right="0.70866141732283472" top="0.15748031496062992" bottom="0.15748031496062992" header="0.31496062992125984" footer="0.31496062992125984"/>
  <pageSetup paperSize="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DES-25</vt:lpstr>
      <vt:lpstr>JAN-2026</vt:lpstr>
      <vt:lpstr>PEB-26</vt:lpstr>
      <vt:lpstr>APRIL-26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sulastri125@gmail.com</dc:creator>
  <cp:lastModifiedBy>Ahmad Fauzan Roziqin</cp:lastModifiedBy>
  <cp:lastPrinted>2026-05-01T04:27:19Z</cp:lastPrinted>
  <dcterms:created xsi:type="dcterms:W3CDTF">2023-12-17T05:16:46Z</dcterms:created>
  <dcterms:modified xsi:type="dcterms:W3CDTF">2026-06-07T21:20:02Z</dcterms:modified>
</cp:coreProperties>
</file>