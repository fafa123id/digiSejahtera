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OPERASI SEJAHTERA-2026\"/>
    </mc:Choice>
  </mc:AlternateContent>
  <xr:revisionPtr revIDLastSave="0" documentId="13_ncr:1_{30D9B736-5F39-4F0E-AA3A-5A6A17198489}" xr6:coauthVersionLast="47" xr6:coauthVersionMax="47" xr10:uidLastSave="{00000000-0000-0000-0000-000000000000}"/>
  <bookViews>
    <workbookView xWindow="-120" yWindow="-120" windowWidth="20640" windowHeight="11040" activeTab="1" xr2:uid="{A7D0C3A5-C2E4-4F81-9F8A-FCBCADDDBF5A}"/>
  </bookViews>
  <sheets>
    <sheet name="ISLAM" sheetId="1" r:id="rId1"/>
    <sheet name="NON" sheetId="2" r:id="rId2"/>
  </sheets>
  <externalReferences>
    <externalReference r:id="rId3"/>
    <externalReference r:id="rId4"/>
  </externalReferences>
  <definedNames>
    <definedName name="_xlnm.Print_Area" localSheetId="0">ISLAM!$A$1:$F$88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7" i="1" l="1"/>
  <c r="C46" i="1"/>
  <c r="C45" i="1"/>
  <c r="C44" i="1"/>
  <c r="C43" i="1"/>
  <c r="C42" i="1"/>
  <c r="C41" i="1"/>
  <c r="C40" i="1"/>
  <c r="C39" i="1"/>
  <c r="C38" i="1"/>
  <c r="C37" i="1"/>
  <c r="C36" i="1"/>
  <c r="C34" i="1"/>
  <c r="C19" i="1"/>
  <c r="C14" i="2" l="1"/>
  <c r="C13" i="2"/>
  <c r="C12" i="2"/>
  <c r="C11" i="2"/>
  <c r="C9" i="2"/>
  <c r="C10" i="2"/>
  <c r="C8" i="2"/>
  <c r="C7" i="2"/>
  <c r="C27" i="1"/>
  <c r="C26" i="1"/>
  <c r="C25" i="1"/>
  <c r="C22" i="1"/>
  <c r="C21" i="1"/>
  <c r="C20" i="1" l="1"/>
  <c r="C18" i="1" l="1"/>
  <c r="C17" i="1"/>
  <c r="C16" i="1"/>
  <c r="C15" i="1"/>
  <c r="C14" i="1"/>
  <c r="C13" i="1"/>
  <c r="C12" i="1"/>
  <c r="C11" i="1"/>
  <c r="C10" i="1"/>
  <c r="C9" i="1"/>
  <c r="C8" i="1"/>
  <c r="C7" i="1"/>
  <c r="C15" i="2" l="1"/>
  <c r="C49" i="1" l="1"/>
</calcChain>
</file>

<file path=xl/sharedStrings.xml><?xml version="1.0" encoding="utf-8"?>
<sst xmlns="http://schemas.openxmlformats.org/spreadsheetml/2006/main" count="79" uniqueCount="63">
  <si>
    <t>SIMPANAN HARI RAYA</t>
  </si>
  <si>
    <t>ANGGOTA KOPERASI SEJAHTERA</t>
  </si>
  <si>
    <t>SMPN 1 GROGOL</t>
  </si>
  <si>
    <t>NO.</t>
  </si>
  <si>
    <t>NAMA</t>
  </si>
  <si>
    <t>JUMLAH</t>
  </si>
  <si>
    <t>TANDA TANGAN</t>
  </si>
  <si>
    <t>WIWIK DEWI S,S.Pd</t>
  </si>
  <si>
    <t>SYAMSUL A, S.Pd</t>
  </si>
  <si>
    <t>SULASTRI,S.Pd</t>
  </si>
  <si>
    <t>GUNAWAN,S.Pd</t>
  </si>
  <si>
    <t>PRASTOPO, S.Pd</t>
  </si>
  <si>
    <t>ANGGRAINI B,S.Pd</t>
  </si>
  <si>
    <t>YULAIKAH, S.Pd</t>
  </si>
  <si>
    <t>NANIK HIDAYATI, S.Pd</t>
  </si>
  <si>
    <t>SUHAEBUDIN,ST</t>
  </si>
  <si>
    <t>SAROPAH</t>
  </si>
  <si>
    <t>MASHURI</t>
  </si>
  <si>
    <t>JUNAIDAH</t>
  </si>
  <si>
    <t>ZAENAL ARIFIN</t>
  </si>
  <si>
    <t>R.TRI WIJAYANTI</t>
  </si>
  <si>
    <t>SUGIANTO</t>
  </si>
  <si>
    <t>FAHIMAH D,S.Pd</t>
  </si>
  <si>
    <t>Ketua</t>
  </si>
  <si>
    <t>Bendahara</t>
  </si>
  <si>
    <t>PRASTOPO,S.Pd</t>
  </si>
  <si>
    <t>TAHUN 2025</t>
  </si>
  <si>
    <t>HANIK S,S.Pd</t>
  </si>
  <si>
    <t>IM. MUJAHID, S.Pd</t>
  </si>
  <si>
    <t>EVA KUSUMA DEWI,S.Pd</t>
  </si>
  <si>
    <t>MINTORINI,SPd</t>
  </si>
  <si>
    <t>SUGENG HARIYANTO,S.Pd</t>
  </si>
  <si>
    <t>SITI  RODIYAH,S.Pd</t>
  </si>
  <si>
    <t xml:space="preserve">WAHYU SRI H,S.H </t>
  </si>
  <si>
    <t>TAHUN 2026</t>
  </si>
  <si>
    <t>SIMPANAN HARI RAYA (Sampai Bulan April 2026)</t>
  </si>
  <si>
    <t>PUTRI RAFLESSIA,S.Pd</t>
  </si>
  <si>
    <t xml:space="preserve">Grogol,     April  2026        </t>
  </si>
  <si>
    <t>DEWI ASTUTIK,S.Pd</t>
  </si>
  <si>
    <t>LUTFI RISKITA,S.Pd</t>
  </si>
  <si>
    <t>MAQDUM B,S.Pd</t>
  </si>
  <si>
    <t>ANGGUN RISMA,S.Pd</t>
  </si>
  <si>
    <t>FHITA MUSTIKASARI,S.Pd</t>
  </si>
  <si>
    <t>QORINA AL AULIA,S.Pd</t>
  </si>
  <si>
    <t>INDAH LESTARI,S.Pd</t>
  </si>
  <si>
    <t>SITI NURASIH,S.Pd</t>
  </si>
  <si>
    <t>FITRIANI k,S.Pd</t>
  </si>
  <si>
    <t>ADITIA F</t>
  </si>
  <si>
    <t>M NOUFARA,S.Pd</t>
  </si>
  <si>
    <t>DEWI RATRI KALINGGA,S.Pd</t>
  </si>
  <si>
    <t>SITI AMIN N,S.Pd</t>
  </si>
  <si>
    <t>AHMAD A TAMZIS,S.Pd</t>
  </si>
  <si>
    <t>RAHMAWATI R,S.Pd</t>
  </si>
  <si>
    <t>DIAN RIFQI E, S.PdI</t>
  </si>
  <si>
    <t>RAHAJOE SAPTO,S.Pd</t>
  </si>
  <si>
    <t>ANDY NURUSSOFI,S.Kom</t>
  </si>
  <si>
    <t>ARINA ASWIN H,S.Pd</t>
  </si>
  <si>
    <t>SUYANTO,M.Pd</t>
  </si>
  <si>
    <t>SRI WAHYUNINGSIH,S.Pd</t>
  </si>
  <si>
    <t>SUSANTI ,S.Th</t>
  </si>
  <si>
    <t>KARUNIA R,S.Pd</t>
  </si>
  <si>
    <t>Y. KRISNADI,S.Pd</t>
  </si>
  <si>
    <t xml:space="preserve">Grogol,   April 2026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</si>
</sst>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1"/>
      <name val="Tahoma"/>
      <family val="2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42" fontId="2" fillId="0" borderId="4" xfId="0" applyNumberFormat="1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42" fontId="2" fillId="0" borderId="5" xfId="0" applyNumberFormat="1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42" fontId="4" fillId="0" borderId="5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42" fontId="0" fillId="0" borderId="0" xfId="0" applyNumberFormat="1"/>
    <xf numFmtId="0" fontId="2" fillId="0" borderId="0" xfId="0" applyFont="1"/>
    <xf numFmtId="0" fontId="6" fillId="0" borderId="0" xfId="0" applyFont="1" applyAlignment="1">
      <alignment vertical="center"/>
    </xf>
    <xf numFmtId="0" fontId="6" fillId="0" borderId="9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42" fontId="2" fillId="0" borderId="10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-2026\KARTU%20REKENING%20APRIL-%202026.xlsx" TargetMode="External"/><Relationship Id="rId1" Type="http://schemas.openxmlformats.org/officeDocument/2006/relationships/externalLinkPath" Target="KARTU%20REKENING%20APRIL-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-2026\KARTU%20REKENING%20MARET-%202026.xlsx" TargetMode="External"/><Relationship Id="rId1" Type="http://schemas.openxmlformats.org/officeDocument/2006/relationships/externalLinkPath" Target="KARTU%20REKENING%20MARET-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33">
          <cell r="E33">
            <v>600000</v>
          </cell>
        </row>
        <row r="237">
          <cell r="E237">
            <v>6000000</v>
          </cell>
        </row>
        <row r="254">
          <cell r="E254">
            <v>1800000</v>
          </cell>
        </row>
        <row r="288">
          <cell r="E288">
            <v>6000000</v>
          </cell>
        </row>
        <row r="305">
          <cell r="E305">
            <v>7200000</v>
          </cell>
        </row>
        <row r="322">
          <cell r="E322">
            <v>1800000</v>
          </cell>
        </row>
        <row r="339">
          <cell r="E339">
            <v>2400000</v>
          </cell>
        </row>
        <row r="373">
          <cell r="E373">
            <v>2400000</v>
          </cell>
        </row>
        <row r="390">
          <cell r="E390">
            <v>450000</v>
          </cell>
        </row>
        <row r="407">
          <cell r="E407">
            <v>2400000</v>
          </cell>
        </row>
        <row r="458">
          <cell r="E458">
            <v>2400000</v>
          </cell>
        </row>
        <row r="509">
          <cell r="E509">
            <v>600000</v>
          </cell>
        </row>
        <row r="526">
          <cell r="E526">
            <v>300000</v>
          </cell>
        </row>
        <row r="560">
          <cell r="E560">
            <v>1800000</v>
          </cell>
        </row>
        <row r="662">
          <cell r="E662">
            <v>2400000</v>
          </cell>
        </row>
        <row r="985">
          <cell r="E985">
            <v>6000000</v>
          </cell>
        </row>
        <row r="1002">
          <cell r="E1002">
            <v>400000</v>
          </cell>
        </row>
        <row r="1036">
          <cell r="E1036">
            <v>240000</v>
          </cell>
        </row>
        <row r="1053">
          <cell r="E1053">
            <v>600000</v>
          </cell>
        </row>
        <row r="1070">
          <cell r="E1070">
            <v>1200000</v>
          </cell>
        </row>
        <row r="1087">
          <cell r="E1087">
            <v>325000</v>
          </cell>
        </row>
        <row r="1104">
          <cell r="E1104">
            <v>2400000</v>
          </cell>
        </row>
        <row r="1138">
          <cell r="E1138">
            <v>1200000</v>
          </cell>
        </row>
        <row r="1155">
          <cell r="E1155">
            <v>1200000</v>
          </cell>
        </row>
        <row r="1172">
          <cell r="E1172">
            <v>600000</v>
          </cell>
        </row>
        <row r="1189">
          <cell r="E1189">
            <v>3000000</v>
          </cell>
        </row>
        <row r="1206">
          <cell r="E1206">
            <v>1110000</v>
          </cell>
        </row>
        <row r="1240">
          <cell r="E1240">
            <v>600000</v>
          </cell>
        </row>
        <row r="1257">
          <cell r="E1257">
            <v>1200000</v>
          </cell>
        </row>
        <row r="1274">
          <cell r="E1274">
            <v>1200000</v>
          </cell>
        </row>
        <row r="1291">
          <cell r="E1291">
            <v>425000</v>
          </cell>
        </row>
        <row r="1308">
          <cell r="E1308">
            <v>1200000</v>
          </cell>
        </row>
        <row r="1342">
          <cell r="E1342">
            <v>600000</v>
          </cell>
        </row>
        <row r="1359">
          <cell r="E1359">
            <v>600000</v>
          </cell>
        </row>
        <row r="1376">
          <cell r="E1376">
            <v>720000</v>
          </cell>
        </row>
        <row r="1393">
          <cell r="E1393">
            <v>800000</v>
          </cell>
        </row>
        <row r="1410">
          <cell r="E1410">
            <v>1200000</v>
          </cell>
        </row>
        <row r="1427">
          <cell r="E1427">
            <v>240000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577">
          <cell r="E577">
            <v>3300000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52891-74B3-47D4-9BFD-A0D12C2043CA}">
  <dimension ref="A1:E57"/>
  <sheetViews>
    <sheetView view="pageBreakPreview" topLeftCell="A42" zoomScale="110" zoomScaleNormal="100" zoomScaleSheetLayoutView="110" workbookViewId="0">
      <selection activeCell="J50" sqref="J50"/>
    </sheetView>
  </sheetViews>
  <sheetFormatPr defaultRowHeight="15" x14ac:dyDescent="0.25"/>
  <cols>
    <col min="1" max="1" width="7.7109375" customWidth="1"/>
    <col min="2" max="2" width="33.5703125" customWidth="1"/>
    <col min="3" max="3" width="22" customWidth="1"/>
    <col min="4" max="4" width="8.42578125" customWidth="1"/>
    <col min="5" max="5" width="17.140625" customWidth="1"/>
  </cols>
  <sheetData>
    <row r="1" spans="1:5" ht="18.75" x14ac:dyDescent="0.3">
      <c r="A1" s="30" t="s">
        <v>35</v>
      </c>
      <c r="B1" s="30"/>
      <c r="C1" s="30"/>
      <c r="D1" s="30"/>
      <c r="E1" s="30"/>
    </row>
    <row r="2" spans="1:5" ht="18.75" x14ac:dyDescent="0.3">
      <c r="A2" s="30" t="s">
        <v>1</v>
      </c>
      <c r="B2" s="30"/>
      <c r="C2" s="30"/>
      <c r="D2" s="30"/>
      <c r="E2" s="30"/>
    </row>
    <row r="3" spans="1:5" ht="18.75" x14ac:dyDescent="0.3">
      <c r="A3" s="30" t="s">
        <v>2</v>
      </c>
      <c r="B3" s="30"/>
      <c r="C3" s="30"/>
      <c r="D3" s="30"/>
      <c r="E3" s="30"/>
    </row>
    <row r="4" spans="1:5" ht="18.75" x14ac:dyDescent="0.3">
      <c r="A4" s="30" t="s">
        <v>34</v>
      </c>
      <c r="B4" s="30"/>
      <c r="C4" s="30"/>
      <c r="D4" s="30"/>
      <c r="E4" s="30"/>
    </row>
    <row r="5" spans="1:5" ht="15.75" thickBot="1" x14ac:dyDescent="0.3"/>
    <row r="6" spans="1:5" ht="29.25" customHeight="1" thickBot="1" x14ac:dyDescent="0.3">
      <c r="A6" s="1" t="s">
        <v>3</v>
      </c>
      <c r="B6" s="1" t="s">
        <v>4</v>
      </c>
      <c r="C6" s="1" t="s">
        <v>5</v>
      </c>
      <c r="D6" s="28" t="s">
        <v>6</v>
      </c>
      <c r="E6" s="29"/>
    </row>
    <row r="7" spans="1:5" ht="26.25" customHeight="1" x14ac:dyDescent="0.25">
      <c r="A7" s="2">
        <v>1</v>
      </c>
      <c r="B7" s="3" t="s">
        <v>7</v>
      </c>
      <c r="C7" s="4">
        <f>[1]krnmei!$E$237</f>
        <v>6000000</v>
      </c>
      <c r="D7" s="5">
        <v>1</v>
      </c>
      <c r="E7" s="6"/>
    </row>
    <row r="8" spans="1:5" ht="26.25" customHeight="1" x14ac:dyDescent="0.25">
      <c r="A8" s="7">
        <v>2</v>
      </c>
      <c r="B8" s="3" t="s">
        <v>8</v>
      </c>
      <c r="C8" s="24">
        <f>[1]krnmei!$E$254</f>
        <v>1800000</v>
      </c>
      <c r="D8" s="9"/>
      <c r="E8" s="10">
        <v>2</v>
      </c>
    </row>
    <row r="9" spans="1:5" ht="26.25" customHeight="1" x14ac:dyDescent="0.25">
      <c r="A9" s="7">
        <v>3</v>
      </c>
      <c r="B9" s="3" t="s">
        <v>9</v>
      </c>
      <c r="C9" s="8">
        <f>[1]krnmei!$E$288</f>
        <v>6000000</v>
      </c>
      <c r="D9" s="9">
        <v>3</v>
      </c>
      <c r="E9" s="10"/>
    </row>
    <row r="10" spans="1:5" ht="26.25" customHeight="1" x14ac:dyDescent="0.25">
      <c r="A10" s="7">
        <v>4</v>
      </c>
      <c r="B10" s="3" t="s">
        <v>27</v>
      </c>
      <c r="C10" s="8">
        <f>[1]krnmei!$E$305</f>
        <v>7200000</v>
      </c>
      <c r="D10" s="9"/>
      <c r="E10" s="10">
        <v>4</v>
      </c>
    </row>
    <row r="11" spans="1:5" ht="26.25" customHeight="1" x14ac:dyDescent="0.25">
      <c r="A11" s="7">
        <v>5</v>
      </c>
      <c r="B11" s="3" t="s">
        <v>10</v>
      </c>
      <c r="C11" s="8">
        <f>[1]krnmei!$E$322</f>
        <v>1800000</v>
      </c>
      <c r="D11" s="9">
        <v>5</v>
      </c>
      <c r="E11" s="10"/>
    </row>
    <row r="12" spans="1:5" ht="26.25" customHeight="1" x14ac:dyDescent="0.25">
      <c r="A12" s="7">
        <v>6</v>
      </c>
      <c r="B12" s="3" t="s">
        <v>11</v>
      </c>
      <c r="C12" s="8">
        <f>[1]krnmei!$E$339</f>
        <v>2400000</v>
      </c>
      <c r="D12" s="9"/>
      <c r="E12" s="10">
        <v>6</v>
      </c>
    </row>
    <row r="13" spans="1:5" ht="26.25" customHeight="1" x14ac:dyDescent="0.25">
      <c r="A13" s="7">
        <v>7</v>
      </c>
      <c r="B13" s="3" t="s">
        <v>12</v>
      </c>
      <c r="C13" s="8">
        <f>[1]krnmei!$E$390</f>
        <v>450000</v>
      </c>
      <c r="D13" s="9">
        <v>7</v>
      </c>
      <c r="E13" s="10"/>
    </row>
    <row r="14" spans="1:5" ht="26.25" customHeight="1" x14ac:dyDescent="0.25">
      <c r="A14" s="7">
        <v>8</v>
      </c>
      <c r="B14" s="3" t="s">
        <v>57</v>
      </c>
      <c r="C14" s="8">
        <f>[1]krnmei!$E$407</f>
        <v>2400000</v>
      </c>
      <c r="D14" s="9"/>
      <c r="E14" s="10">
        <v>8</v>
      </c>
    </row>
    <row r="15" spans="1:5" ht="26.25" customHeight="1" x14ac:dyDescent="0.25">
      <c r="A15" s="7">
        <v>9</v>
      </c>
      <c r="B15" s="3" t="s">
        <v>56</v>
      </c>
      <c r="C15" s="8">
        <f>[1]krnmei!$E$458</f>
        <v>2400000</v>
      </c>
      <c r="D15" s="9">
        <v>9</v>
      </c>
      <c r="E15" s="10"/>
    </row>
    <row r="16" spans="1:5" ht="26.25" customHeight="1" x14ac:dyDescent="0.25">
      <c r="A16" s="7">
        <v>10</v>
      </c>
      <c r="B16" s="3" t="s">
        <v>55</v>
      </c>
      <c r="C16" s="8">
        <f>[1]krnmei!$E$509</f>
        <v>600000</v>
      </c>
      <c r="D16" s="9"/>
      <c r="E16" s="10">
        <v>10</v>
      </c>
    </row>
    <row r="17" spans="1:5" ht="26.25" customHeight="1" x14ac:dyDescent="0.25">
      <c r="A17" s="7">
        <v>11</v>
      </c>
      <c r="B17" s="3" t="s">
        <v>54</v>
      </c>
      <c r="C17" s="8">
        <f>[1]krnmei!$E$526</f>
        <v>300000</v>
      </c>
      <c r="D17" s="9">
        <v>11</v>
      </c>
      <c r="E17" s="10"/>
    </row>
    <row r="18" spans="1:5" ht="26.25" customHeight="1" x14ac:dyDescent="0.25">
      <c r="A18" s="7">
        <v>12</v>
      </c>
      <c r="B18" s="3" t="s">
        <v>13</v>
      </c>
      <c r="C18" s="8">
        <f>[1]krnmei!$E$560</f>
        <v>1800000</v>
      </c>
      <c r="D18" s="9"/>
      <c r="E18" s="10">
        <v>12</v>
      </c>
    </row>
    <row r="19" spans="1:5" ht="26.25" customHeight="1" x14ac:dyDescent="0.25">
      <c r="A19" s="7">
        <v>13</v>
      </c>
      <c r="B19" s="3" t="s">
        <v>14</v>
      </c>
      <c r="C19" s="8">
        <f>[2]krnmei!$E$577</f>
        <v>3300000</v>
      </c>
      <c r="D19" s="9">
        <v>13</v>
      </c>
      <c r="E19" s="10"/>
    </row>
    <row r="20" spans="1:5" ht="26.25" customHeight="1" x14ac:dyDescent="0.25">
      <c r="A20" s="7">
        <v>14</v>
      </c>
      <c r="B20" s="3" t="s">
        <v>28</v>
      </c>
      <c r="C20" s="8">
        <f>[1]krnmei!$E$1070</f>
        <v>1200000</v>
      </c>
      <c r="D20" s="9"/>
      <c r="E20" s="10">
        <v>14</v>
      </c>
    </row>
    <row r="21" spans="1:5" ht="26.25" customHeight="1" x14ac:dyDescent="0.25">
      <c r="A21" s="7">
        <v>15</v>
      </c>
      <c r="B21" s="3" t="s">
        <v>36</v>
      </c>
      <c r="C21" s="8">
        <f>[1]krnmei!$E$1104</f>
        <v>2400000</v>
      </c>
      <c r="D21" s="9">
        <v>15</v>
      </c>
      <c r="E21" s="10"/>
    </row>
    <row r="22" spans="1:5" ht="26.25" customHeight="1" x14ac:dyDescent="0.25">
      <c r="A22" s="7">
        <v>16</v>
      </c>
      <c r="B22" s="3" t="s">
        <v>22</v>
      </c>
      <c r="C22" s="8">
        <f>[1]krnmei!$E$1172</f>
        <v>600000</v>
      </c>
      <c r="D22" s="9"/>
      <c r="E22" s="10">
        <v>16</v>
      </c>
    </row>
    <row r="23" spans="1:5" ht="26.25" customHeight="1" x14ac:dyDescent="0.25">
      <c r="A23" s="7">
        <v>17</v>
      </c>
      <c r="B23" s="3" t="s">
        <v>53</v>
      </c>
      <c r="C23" s="8">
        <v>1200000</v>
      </c>
      <c r="D23" s="9">
        <v>17</v>
      </c>
      <c r="E23" s="10"/>
    </row>
    <row r="24" spans="1:5" ht="26.25" customHeight="1" x14ac:dyDescent="0.25">
      <c r="A24" s="7">
        <v>18</v>
      </c>
      <c r="B24" s="21" t="s">
        <v>52</v>
      </c>
      <c r="C24" s="8">
        <v>1200000</v>
      </c>
      <c r="D24" s="9"/>
      <c r="E24" s="10">
        <v>18</v>
      </c>
    </row>
    <row r="25" spans="1:5" ht="26.25" customHeight="1" x14ac:dyDescent="0.25">
      <c r="A25" s="7">
        <v>19</v>
      </c>
      <c r="B25" s="22" t="s">
        <v>38</v>
      </c>
      <c r="C25" s="8">
        <f>[1]krnmei!$E$1257</f>
        <v>1200000</v>
      </c>
      <c r="D25" s="9">
        <v>19</v>
      </c>
      <c r="E25" s="10"/>
    </row>
    <row r="26" spans="1:5" ht="26.25" customHeight="1" x14ac:dyDescent="0.25">
      <c r="A26" s="7">
        <v>20</v>
      </c>
      <c r="B26" s="11" t="s">
        <v>51</v>
      </c>
      <c r="C26" s="8">
        <f>[1]krnmei!$E$1274</f>
        <v>1200000</v>
      </c>
      <c r="D26" s="9"/>
      <c r="E26" s="10">
        <v>20</v>
      </c>
    </row>
    <row r="27" spans="1:5" ht="26.25" customHeight="1" x14ac:dyDescent="0.25">
      <c r="A27" s="7">
        <v>21</v>
      </c>
      <c r="B27" s="3" t="s">
        <v>50</v>
      </c>
      <c r="C27" s="8">
        <f>[1]krnmei!$E$1308</f>
        <v>1200000</v>
      </c>
      <c r="D27" s="9">
        <v>21</v>
      </c>
      <c r="E27" s="10"/>
    </row>
    <row r="28" spans="1:5" ht="26.25" customHeight="1" x14ac:dyDescent="0.25">
      <c r="A28" s="7">
        <v>22</v>
      </c>
      <c r="B28" s="23" t="s">
        <v>30</v>
      </c>
      <c r="C28" s="8">
        <v>2400000</v>
      </c>
      <c r="D28" s="9"/>
      <c r="E28" s="10">
        <v>22</v>
      </c>
    </row>
    <row r="29" spans="1:5" ht="26.25" customHeight="1" x14ac:dyDescent="0.25">
      <c r="A29" s="7">
        <v>23</v>
      </c>
      <c r="B29" s="3" t="s">
        <v>15</v>
      </c>
      <c r="C29" s="8">
        <v>300000</v>
      </c>
      <c r="D29" s="9">
        <v>23</v>
      </c>
      <c r="E29" s="10"/>
    </row>
    <row r="30" spans="1:5" ht="26.25" customHeight="1" x14ac:dyDescent="0.25">
      <c r="A30" s="7">
        <v>24</v>
      </c>
      <c r="B30" s="3" t="s">
        <v>16</v>
      </c>
      <c r="C30" s="8">
        <v>2400000</v>
      </c>
      <c r="D30" s="9"/>
      <c r="E30" s="10">
        <v>24</v>
      </c>
    </row>
    <row r="31" spans="1:5" ht="26.25" customHeight="1" x14ac:dyDescent="0.25">
      <c r="A31" s="7">
        <v>25</v>
      </c>
      <c r="B31" s="3" t="s">
        <v>17</v>
      </c>
      <c r="C31" s="8">
        <v>790000</v>
      </c>
      <c r="D31" s="9">
        <v>25</v>
      </c>
      <c r="E31" s="10"/>
    </row>
    <row r="32" spans="1:5" ht="26.25" customHeight="1" x14ac:dyDescent="0.25">
      <c r="A32" s="7">
        <v>26</v>
      </c>
      <c r="B32" s="3" t="s">
        <v>18</v>
      </c>
      <c r="C32" s="8">
        <v>2760000</v>
      </c>
      <c r="D32" s="9"/>
      <c r="E32" s="10">
        <v>26</v>
      </c>
    </row>
    <row r="33" spans="1:5" ht="26.25" customHeight="1" x14ac:dyDescent="0.25">
      <c r="A33" s="7">
        <v>27</v>
      </c>
      <c r="B33" s="3" t="s">
        <v>19</v>
      </c>
      <c r="C33" s="8">
        <v>600000</v>
      </c>
      <c r="D33" s="9">
        <v>27</v>
      </c>
      <c r="E33" s="10"/>
    </row>
    <row r="34" spans="1:5" ht="26.25" customHeight="1" thickBot="1" x14ac:dyDescent="0.3">
      <c r="A34" s="7">
        <v>28</v>
      </c>
      <c r="B34" s="3" t="s">
        <v>20</v>
      </c>
      <c r="C34" s="8">
        <f>[1]krnmei!$E$985</f>
        <v>6000000</v>
      </c>
      <c r="D34" s="9"/>
      <c r="E34" s="10">
        <v>28</v>
      </c>
    </row>
    <row r="35" spans="1:5" ht="27.75" customHeight="1" thickBot="1" x14ac:dyDescent="0.3">
      <c r="A35" s="1" t="s">
        <v>3</v>
      </c>
      <c r="B35" s="1" t="s">
        <v>4</v>
      </c>
      <c r="C35" s="1" t="s">
        <v>5</v>
      </c>
      <c r="D35" s="28" t="s">
        <v>6</v>
      </c>
      <c r="E35" s="29"/>
    </row>
    <row r="36" spans="1:5" ht="27" customHeight="1" x14ac:dyDescent="0.25">
      <c r="A36" s="7">
        <v>29</v>
      </c>
      <c r="B36" s="3" t="s">
        <v>21</v>
      </c>
      <c r="C36" s="8">
        <f>[1]krnmei!$E$1053</f>
        <v>600000</v>
      </c>
      <c r="D36" s="9">
        <v>29</v>
      </c>
      <c r="E36" s="10"/>
    </row>
    <row r="37" spans="1:5" ht="27" customHeight="1" x14ac:dyDescent="0.25">
      <c r="A37" s="7">
        <v>30</v>
      </c>
      <c r="B37" s="3" t="s">
        <v>49</v>
      </c>
      <c r="C37" s="8">
        <f>[1]krnmei!$E$1138</f>
        <v>1200000</v>
      </c>
      <c r="D37" s="9"/>
      <c r="E37" s="10">
        <v>30</v>
      </c>
    </row>
    <row r="38" spans="1:5" ht="27" customHeight="1" x14ac:dyDescent="0.25">
      <c r="A38" s="7">
        <v>31</v>
      </c>
      <c r="B38" s="3" t="s">
        <v>48</v>
      </c>
      <c r="C38" s="8">
        <f>[1]krnmei!$E$1206</f>
        <v>1110000</v>
      </c>
      <c r="D38" s="9">
        <v>31</v>
      </c>
      <c r="E38" s="10"/>
    </row>
    <row r="39" spans="1:5" ht="27" customHeight="1" x14ac:dyDescent="0.25">
      <c r="A39" s="7">
        <v>32</v>
      </c>
      <c r="B39" s="11" t="s">
        <v>47</v>
      </c>
      <c r="C39" s="8">
        <f>[1]krnmei!$E$1240</f>
        <v>600000</v>
      </c>
      <c r="D39" s="9"/>
      <c r="E39" s="10">
        <v>32</v>
      </c>
    </row>
    <row r="40" spans="1:5" ht="27" customHeight="1" x14ac:dyDescent="0.25">
      <c r="A40" s="7">
        <v>33</v>
      </c>
      <c r="B40" s="23" t="s">
        <v>46</v>
      </c>
      <c r="C40" s="8">
        <f>[1]krnmei!$E$1291</f>
        <v>425000</v>
      </c>
      <c r="D40" s="9">
        <v>33</v>
      </c>
      <c r="E40" s="10"/>
    </row>
    <row r="41" spans="1:5" ht="27" customHeight="1" x14ac:dyDescent="0.25">
      <c r="A41" s="7">
        <v>34</v>
      </c>
      <c r="B41" s="23" t="s">
        <v>45</v>
      </c>
      <c r="C41" s="8">
        <f>[1]krnmei!$E$1342</f>
        <v>600000</v>
      </c>
      <c r="D41" s="9"/>
      <c r="E41" s="10">
        <v>34</v>
      </c>
    </row>
    <row r="42" spans="1:5" ht="27" customHeight="1" x14ac:dyDescent="0.25">
      <c r="A42" s="7">
        <v>35</v>
      </c>
      <c r="B42" s="23" t="s">
        <v>44</v>
      </c>
      <c r="C42" s="8">
        <f>[1]krnmei!$E$1342</f>
        <v>600000</v>
      </c>
      <c r="D42" s="9">
        <v>35</v>
      </c>
      <c r="E42" s="10"/>
    </row>
    <row r="43" spans="1:5" ht="27" customHeight="1" x14ac:dyDescent="0.25">
      <c r="A43" s="7">
        <v>36</v>
      </c>
      <c r="B43" s="23" t="s">
        <v>43</v>
      </c>
      <c r="C43" s="8">
        <f>[1]krnmei!$E$1359</f>
        <v>600000</v>
      </c>
      <c r="D43" s="9"/>
      <c r="E43" s="10">
        <v>36</v>
      </c>
    </row>
    <row r="44" spans="1:5" ht="27" customHeight="1" x14ac:dyDescent="0.25">
      <c r="A44" s="7">
        <v>37</v>
      </c>
      <c r="B44" s="11" t="s">
        <v>42</v>
      </c>
      <c r="C44" s="8">
        <f>[1]krnmei!$E$1376</f>
        <v>720000</v>
      </c>
      <c r="D44" s="9">
        <v>37</v>
      </c>
      <c r="E44" s="10"/>
    </row>
    <row r="45" spans="1:5" ht="27" customHeight="1" x14ac:dyDescent="0.25">
      <c r="A45" s="7">
        <v>38</v>
      </c>
      <c r="B45" s="3" t="s">
        <v>41</v>
      </c>
      <c r="C45" s="8">
        <f>[1]krnmei!$E$1393</f>
        <v>800000</v>
      </c>
      <c r="D45" s="9"/>
      <c r="E45" s="10">
        <v>38</v>
      </c>
    </row>
    <row r="46" spans="1:5" ht="27" customHeight="1" x14ac:dyDescent="0.25">
      <c r="A46" s="7">
        <v>39</v>
      </c>
      <c r="B46" s="23" t="s">
        <v>40</v>
      </c>
      <c r="C46" s="8">
        <f>[1]krnmei!$E$1410</f>
        <v>1200000</v>
      </c>
      <c r="D46" s="9">
        <v>39</v>
      </c>
      <c r="E46" s="10"/>
    </row>
    <row r="47" spans="1:5" ht="27" customHeight="1" x14ac:dyDescent="0.25">
      <c r="A47" s="7">
        <v>40</v>
      </c>
      <c r="B47" s="23" t="s">
        <v>39</v>
      </c>
      <c r="C47" s="8">
        <f>[1]krnmei!$E$1087</f>
        <v>325000</v>
      </c>
      <c r="D47" s="9"/>
      <c r="E47" s="10">
        <v>40</v>
      </c>
    </row>
    <row r="48" spans="1:5" ht="27" customHeight="1" x14ac:dyDescent="0.25">
      <c r="A48" s="7"/>
      <c r="B48" s="23"/>
      <c r="C48" s="8"/>
      <c r="D48" s="9"/>
      <c r="E48" s="10"/>
    </row>
    <row r="49" spans="1:5" ht="28.5" customHeight="1" x14ac:dyDescent="0.25">
      <c r="A49" s="7"/>
      <c r="B49" s="17"/>
      <c r="C49" s="12">
        <f>SUM(C7:C48)</f>
        <v>70680000</v>
      </c>
      <c r="D49" s="13"/>
      <c r="E49" s="14"/>
    </row>
    <row r="50" spans="1:5" ht="24" customHeight="1" x14ac:dyDescent="0.25"/>
    <row r="51" spans="1:5" ht="21.75" customHeight="1" x14ac:dyDescent="0.25">
      <c r="A51" s="15"/>
      <c r="B51" s="15"/>
      <c r="C51" s="15"/>
      <c r="D51" s="16" t="s">
        <v>62</v>
      </c>
      <c r="E51" s="16"/>
    </row>
    <row r="52" spans="1:5" ht="19.5" customHeight="1" x14ac:dyDescent="0.25">
      <c r="A52" s="15"/>
      <c r="B52" s="16" t="s">
        <v>23</v>
      </c>
      <c r="C52" s="15"/>
      <c r="D52" s="16" t="s">
        <v>24</v>
      </c>
      <c r="E52" s="16"/>
    </row>
    <row r="53" spans="1:5" ht="15.75" x14ac:dyDescent="0.25">
      <c r="A53" s="15"/>
      <c r="B53" s="16"/>
      <c r="C53" s="15"/>
      <c r="D53" s="16"/>
      <c r="E53" s="16"/>
    </row>
    <row r="54" spans="1:5" ht="15.75" x14ac:dyDescent="0.25">
      <c r="A54" s="15"/>
      <c r="B54" s="16"/>
      <c r="C54" s="15"/>
      <c r="D54" s="16"/>
      <c r="E54" s="16"/>
    </row>
    <row r="55" spans="1:5" ht="15.75" x14ac:dyDescent="0.25">
      <c r="A55" s="15"/>
      <c r="B55" s="16"/>
      <c r="C55" s="15"/>
      <c r="D55" s="16"/>
      <c r="E55" s="16"/>
    </row>
    <row r="56" spans="1:5" ht="15.75" x14ac:dyDescent="0.25">
      <c r="A56" s="15"/>
      <c r="B56" s="16" t="s">
        <v>25</v>
      </c>
      <c r="C56" s="15"/>
      <c r="D56" s="16" t="s">
        <v>9</v>
      </c>
      <c r="E56" s="16"/>
    </row>
    <row r="57" spans="1:5" x14ac:dyDescent="0.25">
      <c r="A57" s="15"/>
      <c r="B57" s="15"/>
      <c r="C57" s="15"/>
      <c r="D57" s="15"/>
      <c r="E57" s="15"/>
    </row>
  </sheetData>
  <mergeCells count="6">
    <mergeCell ref="D35:E35"/>
    <mergeCell ref="A1:E1"/>
    <mergeCell ref="A2:E2"/>
    <mergeCell ref="A3:E3"/>
    <mergeCell ref="A4:E4"/>
    <mergeCell ref="D6:E6"/>
  </mergeCells>
  <pageMargins left="0.9055118110236221" right="0.51181102362204722" top="0.94488188976377963" bottom="1.3385826771653544" header="0.31496062992125984" footer="0.31496062992125984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A6883-FFB9-45F4-9A80-1DE6A9F96124}">
  <dimension ref="A1:E24"/>
  <sheetViews>
    <sheetView tabSelected="1" topLeftCell="A6" workbookViewId="0">
      <selection activeCell="B14" sqref="B14"/>
    </sheetView>
  </sheetViews>
  <sheetFormatPr defaultRowHeight="15" x14ac:dyDescent="0.25"/>
  <cols>
    <col min="1" max="1" width="7.7109375" customWidth="1"/>
    <col min="2" max="2" width="28.7109375" customWidth="1"/>
    <col min="3" max="3" width="20.140625" customWidth="1"/>
    <col min="4" max="4" width="6.85546875" customWidth="1"/>
    <col min="5" max="5" width="17.140625" customWidth="1"/>
  </cols>
  <sheetData>
    <row r="1" spans="1:5" ht="18.75" x14ac:dyDescent="0.3">
      <c r="A1" s="30" t="s">
        <v>0</v>
      </c>
      <c r="B1" s="30"/>
      <c r="C1" s="30"/>
      <c r="D1" s="30"/>
      <c r="E1" s="30"/>
    </row>
    <row r="2" spans="1:5" ht="18.75" x14ac:dyDescent="0.3">
      <c r="A2" s="30" t="s">
        <v>1</v>
      </c>
      <c r="B2" s="30"/>
      <c r="C2" s="30"/>
      <c r="D2" s="30"/>
      <c r="E2" s="30"/>
    </row>
    <row r="3" spans="1:5" ht="18.75" x14ac:dyDescent="0.3">
      <c r="A3" s="30" t="s">
        <v>2</v>
      </c>
      <c r="B3" s="30"/>
      <c r="C3" s="30"/>
      <c r="D3" s="30"/>
      <c r="E3" s="30"/>
    </row>
    <row r="4" spans="1:5" ht="18.75" x14ac:dyDescent="0.3">
      <c r="A4" s="30" t="s">
        <v>26</v>
      </c>
      <c r="B4" s="30"/>
      <c r="C4" s="30"/>
      <c r="D4" s="30"/>
      <c r="E4" s="30"/>
    </row>
    <row r="6" spans="1:5" ht="30" customHeight="1" x14ac:dyDescent="0.25">
      <c r="A6" s="27" t="s">
        <v>3</v>
      </c>
      <c r="B6" s="27" t="s">
        <v>4</v>
      </c>
      <c r="C6" s="27" t="s">
        <v>5</v>
      </c>
      <c r="D6" s="31" t="s">
        <v>6</v>
      </c>
      <c r="E6" s="31"/>
    </row>
    <row r="7" spans="1:5" ht="26.25" customHeight="1" x14ac:dyDescent="0.25">
      <c r="A7" s="25">
        <v>1</v>
      </c>
      <c r="B7" s="26" t="s">
        <v>31</v>
      </c>
      <c r="C7" s="24">
        <f>[1]krnmei!$E$373</f>
        <v>2400000</v>
      </c>
      <c r="D7" s="5">
        <v>1</v>
      </c>
      <c r="E7" s="6"/>
    </row>
    <row r="8" spans="1:5" ht="26.25" customHeight="1" x14ac:dyDescent="0.25">
      <c r="A8" s="7">
        <v>2</v>
      </c>
      <c r="B8" s="3" t="s">
        <v>29</v>
      </c>
      <c r="C8" s="8">
        <f>[1]krnmei!$E$662</f>
        <v>2400000</v>
      </c>
      <c r="D8" s="9"/>
      <c r="E8" s="10">
        <v>2</v>
      </c>
    </row>
    <row r="9" spans="1:5" ht="26.25" customHeight="1" x14ac:dyDescent="0.25">
      <c r="A9" s="7">
        <v>3</v>
      </c>
      <c r="B9" s="3" t="s">
        <v>60</v>
      </c>
      <c r="C9" s="8">
        <f>[1]krnmei!$E$1036</f>
        <v>240000</v>
      </c>
      <c r="D9" s="9">
        <v>3</v>
      </c>
      <c r="E9" s="10"/>
    </row>
    <row r="10" spans="1:5" ht="26.25" customHeight="1" x14ac:dyDescent="0.25">
      <c r="A10" s="7">
        <v>4</v>
      </c>
      <c r="B10" s="3" t="s">
        <v>59</v>
      </c>
      <c r="C10" s="8">
        <f>[1]krnmei!$E$1002</f>
        <v>400000</v>
      </c>
      <c r="D10" s="9"/>
      <c r="E10" s="10">
        <v>4</v>
      </c>
    </row>
    <row r="11" spans="1:5" ht="26.25" customHeight="1" x14ac:dyDescent="0.25">
      <c r="A11" s="7">
        <v>5</v>
      </c>
      <c r="B11" s="3" t="s">
        <v>32</v>
      </c>
      <c r="C11" s="8">
        <f>[1]krnmei!$E$1155</f>
        <v>1200000</v>
      </c>
      <c r="D11" s="9">
        <v>5</v>
      </c>
      <c r="E11" s="10"/>
    </row>
    <row r="12" spans="1:5" ht="26.25" customHeight="1" x14ac:dyDescent="0.25">
      <c r="A12" s="7">
        <v>6</v>
      </c>
      <c r="B12" s="3" t="s">
        <v>58</v>
      </c>
      <c r="C12" s="8">
        <f>[1]krnmei!$E$1189</f>
        <v>3000000</v>
      </c>
      <c r="D12" s="9"/>
      <c r="E12" s="10">
        <v>6</v>
      </c>
    </row>
    <row r="13" spans="1:5" ht="26.25" customHeight="1" x14ac:dyDescent="0.25">
      <c r="A13" s="7">
        <v>7</v>
      </c>
      <c r="B13" s="3" t="s">
        <v>33</v>
      </c>
      <c r="C13" s="8">
        <f>[1]krnmei!$E$33</f>
        <v>600000</v>
      </c>
      <c r="D13" s="9">
        <v>7</v>
      </c>
      <c r="E13" s="10"/>
    </row>
    <row r="14" spans="1:5" ht="26.25" customHeight="1" x14ac:dyDescent="0.25">
      <c r="A14" s="7">
        <v>8</v>
      </c>
      <c r="B14" s="3" t="s">
        <v>61</v>
      </c>
      <c r="C14" s="8">
        <f>[1]krnmei!$E$1427</f>
        <v>240000</v>
      </c>
      <c r="D14" s="9"/>
      <c r="E14" s="10">
        <v>8</v>
      </c>
    </row>
    <row r="15" spans="1:5" ht="30.75" customHeight="1" x14ac:dyDescent="0.25">
      <c r="A15" s="7"/>
      <c r="B15" s="18" t="s">
        <v>5</v>
      </c>
      <c r="C15" s="8">
        <f>SUM(C7:C14)</f>
        <v>10480000</v>
      </c>
      <c r="D15" s="9"/>
      <c r="E15" s="10"/>
    </row>
    <row r="16" spans="1:5" x14ac:dyDescent="0.25">
      <c r="C16" s="19"/>
    </row>
    <row r="17" spans="2:5" x14ac:dyDescent="0.25">
      <c r="C17" s="19"/>
    </row>
    <row r="19" spans="2:5" ht="21" customHeight="1" x14ac:dyDescent="0.25">
      <c r="B19" s="15"/>
      <c r="C19" s="15"/>
      <c r="D19" s="16" t="s">
        <v>37</v>
      </c>
      <c r="E19" s="16"/>
    </row>
    <row r="20" spans="2:5" ht="20.25" customHeight="1" x14ac:dyDescent="0.25">
      <c r="B20" s="16" t="s">
        <v>23</v>
      </c>
      <c r="C20" s="15"/>
      <c r="D20" s="16" t="s">
        <v>24</v>
      </c>
      <c r="E20" s="16"/>
    </row>
    <row r="21" spans="2:5" ht="15.75" x14ac:dyDescent="0.25">
      <c r="B21" s="20"/>
      <c r="D21" s="20"/>
      <c r="E21" s="20"/>
    </row>
    <row r="22" spans="2:5" ht="15.75" x14ac:dyDescent="0.25">
      <c r="B22" s="20"/>
      <c r="D22" s="20"/>
      <c r="E22" s="20"/>
    </row>
    <row r="23" spans="2:5" ht="15.75" x14ac:dyDescent="0.25">
      <c r="B23" s="20"/>
      <c r="D23" s="20"/>
      <c r="E23" s="20"/>
    </row>
    <row r="24" spans="2:5" ht="15.75" x14ac:dyDescent="0.25">
      <c r="B24" s="20" t="s">
        <v>25</v>
      </c>
      <c r="D24" s="20" t="s">
        <v>9</v>
      </c>
      <c r="E24" s="20"/>
    </row>
  </sheetData>
  <mergeCells count="5">
    <mergeCell ref="A1:E1"/>
    <mergeCell ref="A2:E2"/>
    <mergeCell ref="A3:E3"/>
    <mergeCell ref="A4:E4"/>
    <mergeCell ref="D6:E6"/>
  </mergeCells>
  <pageMargins left="1.1023622047244095" right="0.51181102362204722" top="0.94488188976377963" bottom="1.3385826771653544" header="0.31496062992125984" footer="0.31496062992125984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ISLAM</vt:lpstr>
      <vt:lpstr>NON</vt:lpstr>
      <vt:lpstr>ISLAM!Print_Area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2026-03-07T06:51:47Z</cp:lastPrinted>
  <dcterms:created xsi:type="dcterms:W3CDTF">2025-01-24T12:18:10Z</dcterms:created>
  <dcterms:modified xsi:type="dcterms:W3CDTF">2026-03-07T06:52:09Z</dcterms:modified>
</cp:coreProperties>
</file>