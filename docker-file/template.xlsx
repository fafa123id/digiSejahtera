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PERASI SEJAHTERA-2026\"/>
    </mc:Choice>
  </mc:AlternateContent>
  <xr:revisionPtr revIDLastSave="0" documentId="13_ncr:1_{18D61ED2-99C6-4016-993B-B58FC0197BF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krnmei" sheetId="10" r:id="rId1"/>
  </sheets>
  <externalReferences>
    <externalReference r:id="rId2"/>
    <externalReference r:id="rId3"/>
    <externalReference r:id="rId4"/>
  </externalReferences>
  <definedNames>
    <definedName name="NAMA">[1]Sheet4!$A$1:$B$62</definedName>
  </definedNames>
  <calcPr calcId="191029"/>
</workbook>
</file>

<file path=xl/calcChain.xml><?xml version="1.0" encoding="utf-8"?>
<calcChain xmlns="http://schemas.openxmlformats.org/spreadsheetml/2006/main">
  <c r="J388" i="10" l="1"/>
  <c r="J253" i="10" l="1"/>
  <c r="G1358" i="10"/>
  <c r="I1069" i="10"/>
  <c r="G1323" i="10"/>
  <c r="G1324" i="10"/>
  <c r="G1340" i="10"/>
  <c r="G1341" i="10"/>
  <c r="G1357" i="10"/>
  <c r="O1170" i="10"/>
  <c r="O1171" i="10" s="1"/>
  <c r="O1068" i="10"/>
  <c r="O522" i="10"/>
  <c r="O523" i="10" s="1"/>
  <c r="O517" i="10" l="1"/>
  <c r="P1164" i="10" l="1"/>
  <c r="P1165" i="10"/>
  <c r="P1166" i="10"/>
  <c r="P1167" i="10"/>
  <c r="P1168" i="10"/>
  <c r="P1169" i="10"/>
  <c r="P1170" i="10"/>
  <c r="O1162" i="10"/>
  <c r="O318" i="10"/>
  <c r="O319" i="10" s="1"/>
  <c r="O320" i="10" s="1"/>
  <c r="O321" i="10" s="1"/>
  <c r="O380" i="10"/>
  <c r="O898" i="10" l="1"/>
  <c r="O899" i="10" s="1"/>
  <c r="O558" i="10"/>
  <c r="O524" i="10"/>
  <c r="P559" i="10" l="1"/>
  <c r="O559" i="10"/>
  <c r="G1289" i="10"/>
  <c r="G1290" i="10"/>
  <c r="P1069" i="10" l="1"/>
  <c r="P1068" i="10"/>
  <c r="G1425" i="10"/>
  <c r="G1426" i="10"/>
  <c r="G1408" i="10"/>
  <c r="G1409" i="10"/>
  <c r="G1391" i="10"/>
  <c r="G1392" i="10"/>
  <c r="P1392" i="10"/>
  <c r="R1392" i="10" s="1"/>
  <c r="P1388" i="10"/>
  <c r="P1389" i="10"/>
  <c r="P1390" i="10"/>
  <c r="P1391" i="10"/>
  <c r="R1391" i="10" s="1"/>
  <c r="P1387" i="10"/>
  <c r="G1374" i="10"/>
  <c r="G1375" i="10"/>
  <c r="G1306" i="10"/>
  <c r="G1307" i="10"/>
  <c r="I1068" i="10"/>
  <c r="K1407" i="10" l="1"/>
  <c r="J1407" i="10"/>
  <c r="K403" i="10"/>
  <c r="J403" i="10"/>
  <c r="P898" i="10"/>
  <c r="P899" i="10"/>
  <c r="P897" i="10"/>
  <c r="I1067" i="10"/>
  <c r="J591" i="10"/>
  <c r="J592" i="10" s="1"/>
  <c r="J404" i="10"/>
  <c r="J405" i="10" s="1"/>
  <c r="J406" i="10" s="1"/>
  <c r="P150" i="10"/>
  <c r="P151" i="10"/>
  <c r="P337" i="10"/>
  <c r="P338" i="10"/>
  <c r="P336" i="10"/>
  <c r="J1408" i="10" l="1"/>
  <c r="K1408" i="10"/>
  <c r="R1408" i="10" s="1"/>
  <c r="I1066" i="10"/>
  <c r="P522" i="10"/>
  <c r="P523" i="10"/>
  <c r="P524" i="10"/>
  <c r="P525" i="10"/>
  <c r="P148" i="10"/>
  <c r="P149" i="10"/>
  <c r="K1409" i="10" l="1"/>
  <c r="R1409" i="10" s="1"/>
  <c r="J1409" i="10"/>
  <c r="J691" i="10"/>
  <c r="J692" i="10" s="1"/>
  <c r="J693" i="10" s="1"/>
  <c r="J694" i="10" s="1"/>
  <c r="J695" i="10" s="1"/>
  <c r="I1065" i="10"/>
  <c r="J1048" i="10"/>
  <c r="J1049" i="10" s="1"/>
  <c r="J1050" i="10" s="1"/>
  <c r="J1051" i="10" s="1"/>
  <c r="J1052" i="10" s="1"/>
  <c r="F1291" i="10" l="1"/>
  <c r="I1064" i="10" l="1"/>
  <c r="G1079" i="10"/>
  <c r="G1080" i="10"/>
  <c r="G1081" i="10"/>
  <c r="G1082" i="10"/>
  <c r="G1083" i="10"/>
  <c r="G1084" i="10"/>
  <c r="G1085" i="10"/>
  <c r="G1086" i="10"/>
  <c r="G1078" i="10"/>
  <c r="K1392" i="10"/>
  <c r="I1063" i="10" l="1"/>
  <c r="I1062" i="10"/>
  <c r="P1427" i="10" l="1"/>
  <c r="K1427" i="10"/>
  <c r="F1427" i="10"/>
  <c r="E1427" i="10"/>
  <c r="D1427" i="10"/>
  <c r="C1427" i="10"/>
  <c r="B1427" i="10"/>
  <c r="R1426" i="10"/>
  <c r="R1425" i="10"/>
  <c r="G1424" i="10"/>
  <c r="R1424" i="10" s="1"/>
  <c r="G1423" i="10"/>
  <c r="R1423" i="10" s="1"/>
  <c r="G1422" i="10"/>
  <c r="R1422" i="10" s="1"/>
  <c r="G1421" i="10"/>
  <c r="R1421" i="10" s="1"/>
  <c r="G1420" i="10"/>
  <c r="R1420" i="10" s="1"/>
  <c r="G1419" i="10"/>
  <c r="R1419" i="10" s="1"/>
  <c r="G1418" i="10"/>
  <c r="R1418" i="10" s="1"/>
  <c r="G1417" i="10"/>
  <c r="R1417" i="10" s="1"/>
  <c r="G1416" i="10"/>
  <c r="R1416" i="10" s="1"/>
  <c r="G1415" i="10"/>
  <c r="R1415" i="10" s="1"/>
  <c r="G1414" i="10"/>
  <c r="G1427" i="10" s="1"/>
  <c r="G1164" i="10" l="1"/>
  <c r="K807" i="10"/>
  <c r="J807" i="10"/>
  <c r="P314" i="10"/>
  <c r="P315" i="10"/>
  <c r="P316" i="10"/>
  <c r="P317" i="10"/>
  <c r="P318" i="10"/>
  <c r="P319" i="10"/>
  <c r="P320" i="10"/>
  <c r="P321" i="10"/>
  <c r="E143" i="10"/>
  <c r="O550" i="10"/>
  <c r="O381" i="10"/>
  <c r="O382" i="10" s="1"/>
  <c r="O383" i="10" s="1"/>
  <c r="O384" i="10" s="1"/>
  <c r="O385" i="10" s="1"/>
  <c r="O386" i="10" s="1"/>
  <c r="O387" i="10" s="1"/>
  <c r="O388" i="10" s="1"/>
  <c r="P381" i="10"/>
  <c r="K808" i="10" l="1"/>
  <c r="J808" i="10"/>
  <c r="J809" i="10" s="1"/>
  <c r="J810" i="10" s="1"/>
  <c r="P688" i="10"/>
  <c r="P689" i="10"/>
  <c r="P690" i="10"/>
  <c r="P692" i="10"/>
  <c r="P693" i="10"/>
  <c r="P694" i="10"/>
  <c r="P695" i="10"/>
  <c r="P687" i="10"/>
  <c r="P552" i="10"/>
  <c r="P553" i="10"/>
  <c r="P554" i="10"/>
  <c r="P555" i="10"/>
  <c r="P556" i="10"/>
  <c r="P557" i="10"/>
  <c r="P558" i="10"/>
  <c r="P550" i="10"/>
  <c r="P313" i="10"/>
  <c r="P382" i="10"/>
  <c r="P383" i="10"/>
  <c r="P384" i="10"/>
  <c r="P385" i="10"/>
  <c r="P386" i="10"/>
  <c r="P387" i="10"/>
  <c r="P388" i="10"/>
  <c r="P389" i="10"/>
  <c r="P1163" i="10"/>
  <c r="I1061" i="10"/>
  <c r="P1410" i="10"/>
  <c r="K1410" i="10"/>
  <c r="F1410" i="10"/>
  <c r="E1410" i="10"/>
  <c r="D1410" i="10"/>
  <c r="C1410" i="10"/>
  <c r="B1410" i="10"/>
  <c r="G1407" i="10"/>
  <c r="R1407" i="10" s="1"/>
  <c r="G1406" i="10"/>
  <c r="R1406" i="10" s="1"/>
  <c r="G1405" i="10"/>
  <c r="R1405" i="10" s="1"/>
  <c r="G1404" i="10"/>
  <c r="R1404" i="10" s="1"/>
  <c r="G1403" i="10"/>
  <c r="R1403" i="10" s="1"/>
  <c r="G1402" i="10"/>
  <c r="R1402" i="10" s="1"/>
  <c r="G1401" i="10"/>
  <c r="R1401" i="10" s="1"/>
  <c r="G1400" i="10"/>
  <c r="R1400" i="10" s="1"/>
  <c r="G1399" i="10"/>
  <c r="R1399" i="10" s="1"/>
  <c r="G1398" i="10"/>
  <c r="R1398" i="10" s="1"/>
  <c r="G1397" i="10"/>
  <c r="G1410" i="10" s="1"/>
  <c r="R1375" i="10"/>
  <c r="R1374" i="10"/>
  <c r="R1358" i="10"/>
  <c r="R1357" i="10"/>
  <c r="R1341" i="10"/>
  <c r="R1340" i="10"/>
  <c r="R1324" i="10"/>
  <c r="R1323" i="10"/>
  <c r="R1307" i="10"/>
  <c r="R1306" i="10"/>
  <c r="P1393" i="10"/>
  <c r="K1393" i="10"/>
  <c r="F1393" i="10"/>
  <c r="E1393" i="10"/>
  <c r="D1393" i="10"/>
  <c r="C1393" i="10"/>
  <c r="B1393" i="10"/>
  <c r="G1390" i="10"/>
  <c r="R1390" i="10" s="1"/>
  <c r="G1389" i="10"/>
  <c r="R1389" i="10" s="1"/>
  <c r="G1388" i="10"/>
  <c r="R1388" i="10" s="1"/>
  <c r="G1387" i="10"/>
  <c r="R1387" i="10" s="1"/>
  <c r="G1386" i="10"/>
  <c r="R1386" i="10" s="1"/>
  <c r="G1385" i="10"/>
  <c r="R1385" i="10" s="1"/>
  <c r="G1384" i="10"/>
  <c r="R1384" i="10" s="1"/>
  <c r="G1383" i="10"/>
  <c r="R1383" i="10" s="1"/>
  <c r="G1382" i="10"/>
  <c r="R1382" i="10" s="1"/>
  <c r="G1381" i="10"/>
  <c r="R1381" i="10" s="1"/>
  <c r="G1380" i="10"/>
  <c r="G1393" i="10" s="1"/>
  <c r="J811" i="10" l="1"/>
  <c r="K811" i="10"/>
  <c r="K810" i="10"/>
  <c r="K809" i="10"/>
  <c r="E734" i="10"/>
  <c r="E683" i="10"/>
  <c r="J812" i="10" l="1"/>
  <c r="K812" i="10"/>
  <c r="P1162" i="10"/>
  <c r="I1060" i="10"/>
  <c r="K295" i="10"/>
  <c r="K276" i="10"/>
  <c r="J295" i="10"/>
  <c r="J813" i="10" l="1"/>
  <c r="K813" i="10"/>
  <c r="J296" i="10"/>
  <c r="K296" i="10"/>
  <c r="E142" i="10"/>
  <c r="G23" i="10"/>
  <c r="G24" i="10"/>
  <c r="G25" i="10"/>
  <c r="G26" i="10"/>
  <c r="G27" i="10"/>
  <c r="G28" i="10"/>
  <c r="G29" i="10"/>
  <c r="G30" i="10"/>
  <c r="G31" i="10"/>
  <c r="G32" i="10"/>
  <c r="K814" i="10" l="1"/>
  <c r="J814" i="10"/>
  <c r="K297" i="10"/>
  <c r="J297" i="10"/>
  <c r="K889" i="10"/>
  <c r="J889" i="10"/>
  <c r="J890" i="10" s="1"/>
  <c r="J891" i="10" s="1"/>
  <c r="J892" i="10" s="1"/>
  <c r="J893" i="10" s="1"/>
  <c r="K1116" i="10"/>
  <c r="J1110" i="10"/>
  <c r="K1110" i="10"/>
  <c r="K1109" i="10"/>
  <c r="J242" i="10"/>
  <c r="P1376" i="10"/>
  <c r="K1376" i="10"/>
  <c r="F1376" i="10"/>
  <c r="E1376" i="10"/>
  <c r="D1376" i="10"/>
  <c r="C1376" i="10"/>
  <c r="B1376" i="10"/>
  <c r="G1373" i="10"/>
  <c r="R1373" i="10" s="1"/>
  <c r="G1372" i="10"/>
  <c r="R1372" i="10" s="1"/>
  <c r="G1371" i="10"/>
  <c r="R1371" i="10" s="1"/>
  <c r="G1370" i="10"/>
  <c r="R1370" i="10" s="1"/>
  <c r="G1369" i="10"/>
  <c r="R1369" i="10" s="1"/>
  <c r="G1368" i="10"/>
  <c r="R1368" i="10" s="1"/>
  <c r="G1367" i="10"/>
  <c r="R1367" i="10" s="1"/>
  <c r="G1366" i="10"/>
  <c r="R1366" i="10" s="1"/>
  <c r="G1365" i="10"/>
  <c r="R1365" i="10" s="1"/>
  <c r="G1364" i="10"/>
  <c r="R1364" i="10" s="1"/>
  <c r="G1363" i="10"/>
  <c r="G1376" i="10" s="1"/>
  <c r="P1359" i="10"/>
  <c r="K1359" i="10"/>
  <c r="F1359" i="10"/>
  <c r="E1359" i="10"/>
  <c r="D1359" i="10"/>
  <c r="C1359" i="10"/>
  <c r="B1359" i="10"/>
  <c r="G1356" i="10"/>
  <c r="R1356" i="10" s="1"/>
  <c r="G1355" i="10"/>
  <c r="R1355" i="10" s="1"/>
  <c r="G1354" i="10"/>
  <c r="R1354" i="10" s="1"/>
  <c r="G1353" i="10"/>
  <c r="R1353" i="10" s="1"/>
  <c r="G1352" i="10"/>
  <c r="R1352" i="10" s="1"/>
  <c r="G1351" i="10"/>
  <c r="R1351" i="10" s="1"/>
  <c r="G1350" i="10"/>
  <c r="R1350" i="10" s="1"/>
  <c r="G1349" i="10"/>
  <c r="R1349" i="10" s="1"/>
  <c r="G1348" i="10"/>
  <c r="R1348" i="10" s="1"/>
  <c r="G1347" i="10"/>
  <c r="R1347" i="10" s="1"/>
  <c r="G1346" i="10"/>
  <c r="G1359" i="10" s="1"/>
  <c r="P1342" i="10"/>
  <c r="K1342" i="10"/>
  <c r="F1342" i="10"/>
  <c r="E1342" i="10"/>
  <c r="D1342" i="10"/>
  <c r="C1342" i="10"/>
  <c r="B1342" i="10"/>
  <c r="G1339" i="10"/>
  <c r="R1339" i="10" s="1"/>
  <c r="G1338" i="10"/>
  <c r="R1338" i="10" s="1"/>
  <c r="G1337" i="10"/>
  <c r="R1337" i="10" s="1"/>
  <c r="G1336" i="10"/>
  <c r="R1336" i="10" s="1"/>
  <c r="G1335" i="10"/>
  <c r="R1335" i="10" s="1"/>
  <c r="G1334" i="10"/>
  <c r="R1334" i="10" s="1"/>
  <c r="G1333" i="10"/>
  <c r="R1333" i="10" s="1"/>
  <c r="G1332" i="10"/>
  <c r="R1332" i="10" s="1"/>
  <c r="G1331" i="10"/>
  <c r="R1331" i="10" s="1"/>
  <c r="G1330" i="10"/>
  <c r="R1330" i="10" s="1"/>
  <c r="G1329" i="10"/>
  <c r="G1342" i="10" s="1"/>
  <c r="P1325" i="10"/>
  <c r="K1325" i="10"/>
  <c r="F1325" i="10"/>
  <c r="E1325" i="10"/>
  <c r="D1325" i="10"/>
  <c r="C1325" i="10"/>
  <c r="B1325" i="10"/>
  <c r="G1322" i="10"/>
  <c r="R1322" i="10" s="1"/>
  <c r="G1321" i="10"/>
  <c r="R1321" i="10" s="1"/>
  <c r="G1320" i="10"/>
  <c r="R1320" i="10" s="1"/>
  <c r="G1319" i="10"/>
  <c r="R1319" i="10" s="1"/>
  <c r="G1318" i="10"/>
  <c r="R1318" i="10" s="1"/>
  <c r="G1317" i="10"/>
  <c r="R1317" i="10" s="1"/>
  <c r="G1316" i="10"/>
  <c r="R1316" i="10" s="1"/>
  <c r="G1315" i="10"/>
  <c r="R1315" i="10" s="1"/>
  <c r="G1314" i="10"/>
  <c r="R1314" i="10" s="1"/>
  <c r="G1313" i="10"/>
  <c r="R1313" i="10" s="1"/>
  <c r="G1312" i="10"/>
  <c r="G1325" i="10" s="1"/>
  <c r="P1308" i="10"/>
  <c r="K1308" i="10"/>
  <c r="F1308" i="10"/>
  <c r="E1308" i="10"/>
  <c r="D1308" i="10"/>
  <c r="C1308" i="10"/>
  <c r="B1308" i="10"/>
  <c r="G1305" i="10"/>
  <c r="R1305" i="10" s="1"/>
  <c r="G1304" i="10"/>
  <c r="R1304" i="10" s="1"/>
  <c r="G1303" i="10"/>
  <c r="R1303" i="10" s="1"/>
  <c r="G1302" i="10"/>
  <c r="R1302" i="10" s="1"/>
  <c r="G1301" i="10"/>
  <c r="R1301" i="10" s="1"/>
  <c r="G1300" i="10"/>
  <c r="R1300" i="10" s="1"/>
  <c r="G1299" i="10"/>
  <c r="R1299" i="10" s="1"/>
  <c r="G1298" i="10"/>
  <c r="R1298" i="10" s="1"/>
  <c r="G1297" i="10"/>
  <c r="R1297" i="10" s="1"/>
  <c r="G1296" i="10"/>
  <c r="R1296" i="10" s="1"/>
  <c r="G1308" i="10"/>
  <c r="K298" i="10" l="1"/>
  <c r="J298" i="10"/>
  <c r="J1111" i="10"/>
  <c r="K1111" i="10"/>
  <c r="A18" i="10"/>
  <c r="A35" i="10"/>
  <c r="B35" i="10"/>
  <c r="A52" i="10"/>
  <c r="B52" i="10"/>
  <c r="A69" i="10"/>
  <c r="B69" i="10"/>
  <c r="A86" i="10"/>
  <c r="B86" i="10"/>
  <c r="J299" i="10" l="1"/>
  <c r="K299" i="10"/>
  <c r="J1112" i="10"/>
  <c r="K1112" i="10"/>
  <c r="G1161" i="10"/>
  <c r="G1162" i="10"/>
  <c r="G1163" i="10"/>
  <c r="G1165" i="10"/>
  <c r="G1166" i="10"/>
  <c r="G1167" i="10"/>
  <c r="G1168" i="10"/>
  <c r="G1169" i="10"/>
  <c r="G1170" i="10"/>
  <c r="G1171" i="10"/>
  <c r="G1160" i="10"/>
  <c r="G1076" i="10"/>
  <c r="G1077" i="10"/>
  <c r="I1059" i="10"/>
  <c r="E141" i="10"/>
  <c r="G22" i="10"/>
  <c r="K300" i="10" l="1"/>
  <c r="J300" i="10"/>
  <c r="K1113" i="10"/>
  <c r="J1113" i="10"/>
  <c r="J514" i="10"/>
  <c r="J515" i="10" s="1"/>
  <c r="J516" i="10" s="1"/>
  <c r="J517" i="10" s="1"/>
  <c r="J518" i="10" s="1"/>
  <c r="J519" i="10" s="1"/>
  <c r="J520" i="10" s="1"/>
  <c r="J521" i="10" s="1"/>
  <c r="J522" i="10" s="1"/>
  <c r="J523" i="10" s="1"/>
  <c r="J524" i="10" s="1"/>
  <c r="J525" i="10" s="1"/>
  <c r="J496" i="10"/>
  <c r="J301" i="10" l="1"/>
  <c r="K301" i="10"/>
  <c r="K1114" i="10"/>
  <c r="J1114" i="10"/>
  <c r="K1115" i="10" s="1"/>
  <c r="J905" i="10"/>
  <c r="J906" i="10" s="1"/>
  <c r="J907" i="10" s="1"/>
  <c r="J908" i="10" s="1"/>
  <c r="G1075" i="10"/>
  <c r="J302" i="10" l="1"/>
  <c r="K302" i="10"/>
  <c r="K909" i="10"/>
  <c r="J909" i="10"/>
  <c r="E140" i="10"/>
  <c r="J303" i="10" l="1"/>
  <c r="K304" i="10" s="1"/>
  <c r="K303" i="10"/>
  <c r="K910" i="10"/>
  <c r="J910" i="10"/>
  <c r="B118" i="10"/>
  <c r="G1279" i="10"/>
  <c r="G1280" i="10"/>
  <c r="G1281" i="10"/>
  <c r="G1282" i="10"/>
  <c r="G1283" i="10"/>
  <c r="G1284" i="10"/>
  <c r="G1285" i="10"/>
  <c r="G1286" i="10"/>
  <c r="G1287" i="10"/>
  <c r="G1288" i="10"/>
  <c r="G1278" i="10"/>
  <c r="G1262" i="10"/>
  <c r="G1263" i="10"/>
  <c r="R1263" i="10" s="1"/>
  <c r="G1264" i="10"/>
  <c r="R1264" i="10" s="1"/>
  <c r="G1265" i="10"/>
  <c r="R1265" i="10" s="1"/>
  <c r="G1266" i="10"/>
  <c r="R1266" i="10" s="1"/>
  <c r="G1267" i="10"/>
  <c r="R1267" i="10" s="1"/>
  <c r="G1268" i="10"/>
  <c r="R1268" i="10" s="1"/>
  <c r="G1269" i="10"/>
  <c r="R1269" i="10" s="1"/>
  <c r="G1270" i="10"/>
  <c r="R1270" i="10" s="1"/>
  <c r="G1271" i="10"/>
  <c r="R1271" i="10" s="1"/>
  <c r="G1272" i="10"/>
  <c r="R1272" i="10" s="1"/>
  <c r="G1273" i="10"/>
  <c r="R1273" i="10" s="1"/>
  <c r="G1261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44" i="10"/>
  <c r="K1228" i="10"/>
  <c r="J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28" i="10"/>
  <c r="R1228" i="10" s="1"/>
  <c r="G1213" i="10"/>
  <c r="G1214" i="10"/>
  <c r="G1215" i="10"/>
  <c r="G1216" i="10"/>
  <c r="G1217" i="10"/>
  <c r="G1218" i="10"/>
  <c r="G1219" i="10"/>
  <c r="G1220" i="10"/>
  <c r="G1221" i="10"/>
  <c r="G1222" i="10"/>
  <c r="G1212" i="10"/>
  <c r="G1211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194" i="10"/>
  <c r="K1143" i="10"/>
  <c r="J1143" i="10"/>
  <c r="K1126" i="10"/>
  <c r="J1126" i="10"/>
  <c r="J1127" i="10" s="1"/>
  <c r="J1128" i="10" s="1"/>
  <c r="J1129" i="10" s="1"/>
  <c r="J1130" i="10" s="1"/>
  <c r="J1131" i="10" s="1"/>
  <c r="J1132" i="10" s="1"/>
  <c r="J1133" i="10" s="1"/>
  <c r="J1134" i="10" s="1"/>
  <c r="J1135" i="10" s="1"/>
  <c r="J1136" i="10" s="1"/>
  <c r="J1137" i="10" s="1"/>
  <c r="K1024" i="10"/>
  <c r="J1024" i="10"/>
  <c r="J1025" i="10" s="1"/>
  <c r="J1026" i="10" s="1"/>
  <c r="J1027" i="10" s="1"/>
  <c r="J1028" i="10" s="1"/>
  <c r="J1029" i="10" s="1"/>
  <c r="J1030" i="10" s="1"/>
  <c r="J1031" i="10" s="1"/>
  <c r="J1032" i="10" s="1"/>
  <c r="K1007" i="10"/>
  <c r="J1007" i="10"/>
  <c r="P889" i="10"/>
  <c r="P890" i="10"/>
  <c r="P891" i="10"/>
  <c r="P892" i="10"/>
  <c r="P893" i="10"/>
  <c r="P888" i="10"/>
  <c r="P452" i="10"/>
  <c r="J446" i="10"/>
  <c r="J447" i="10" s="1"/>
  <c r="J448" i="10" s="1"/>
  <c r="J449" i="10" s="1"/>
  <c r="J450" i="10" s="1"/>
  <c r="J451" i="10" s="1"/>
  <c r="J452" i="10" s="1"/>
  <c r="J453" i="10" s="1"/>
  <c r="J454" i="10" s="1"/>
  <c r="J455" i="10" s="1"/>
  <c r="J456" i="10" s="1"/>
  <c r="J457" i="10" s="1"/>
  <c r="P395" i="10"/>
  <c r="K361" i="10"/>
  <c r="J361" i="10"/>
  <c r="J911" i="10" l="1"/>
  <c r="K911" i="10"/>
  <c r="K1144" i="10"/>
  <c r="J1144" i="10"/>
  <c r="K1229" i="10"/>
  <c r="R1229" i="10" s="1"/>
  <c r="J1229" i="10"/>
  <c r="K362" i="10"/>
  <c r="J362" i="10"/>
  <c r="J1008" i="10"/>
  <c r="K1008" i="10"/>
  <c r="K243" i="10"/>
  <c r="J243" i="10"/>
  <c r="P1291" i="10"/>
  <c r="K1291" i="10"/>
  <c r="E1291" i="10"/>
  <c r="D1291" i="10"/>
  <c r="C1291" i="10"/>
  <c r="B1291" i="10"/>
  <c r="R1290" i="10"/>
  <c r="R1289" i="10"/>
  <c r="R1288" i="10"/>
  <c r="R1287" i="10"/>
  <c r="R1286" i="10"/>
  <c r="R1285" i="10"/>
  <c r="R1284" i="10"/>
  <c r="R1283" i="10"/>
  <c r="R1282" i="10"/>
  <c r="R1281" i="10"/>
  <c r="R1279" i="10"/>
  <c r="K912" i="10" l="1"/>
  <c r="J912" i="10"/>
  <c r="K244" i="10"/>
  <c r="J244" i="10"/>
  <c r="K1009" i="10"/>
  <c r="J1009" i="10"/>
  <c r="K363" i="10"/>
  <c r="J363" i="10"/>
  <c r="J1230" i="10"/>
  <c r="K1230" i="10"/>
  <c r="R1230" i="10" s="1"/>
  <c r="J1145" i="10"/>
  <c r="K1145" i="10"/>
  <c r="G1291" i="10"/>
  <c r="R1280" i="10"/>
  <c r="C1104" i="10"/>
  <c r="D1104" i="10"/>
  <c r="E1104" i="10"/>
  <c r="F1104" i="10"/>
  <c r="C866" i="10"/>
  <c r="D866" i="10"/>
  <c r="P1000" i="10"/>
  <c r="J913" i="10" l="1"/>
  <c r="K913" i="10"/>
  <c r="J1146" i="10"/>
  <c r="K1146" i="10"/>
  <c r="J1231" i="10"/>
  <c r="K1231" i="10"/>
  <c r="R1231" i="10" s="1"/>
  <c r="J364" i="10"/>
  <c r="K364" i="10"/>
  <c r="J1010" i="10"/>
  <c r="K1010" i="10"/>
  <c r="J245" i="10"/>
  <c r="K245" i="10"/>
  <c r="P1086" i="10"/>
  <c r="J914" i="10" l="1"/>
  <c r="K914" i="10"/>
  <c r="K1011" i="10"/>
  <c r="J1011" i="10"/>
  <c r="K1232" i="10"/>
  <c r="R1232" i="10" s="1"/>
  <c r="J1232" i="10"/>
  <c r="K1147" i="10"/>
  <c r="J1147" i="10"/>
  <c r="K365" i="10"/>
  <c r="J365" i="10"/>
  <c r="J246" i="10"/>
  <c r="K246" i="10"/>
  <c r="P1274" i="10"/>
  <c r="K1274" i="10"/>
  <c r="F1274" i="10"/>
  <c r="E1274" i="10"/>
  <c r="D1274" i="10"/>
  <c r="C1274" i="10"/>
  <c r="B1274" i="10"/>
  <c r="R1262" i="10"/>
  <c r="P1257" i="10"/>
  <c r="K1257" i="10"/>
  <c r="F1257" i="10"/>
  <c r="E1257" i="10"/>
  <c r="D1257" i="10"/>
  <c r="C1257" i="10"/>
  <c r="B1257" i="10"/>
  <c r="R1256" i="10"/>
  <c r="R1255" i="10"/>
  <c r="R1254" i="10"/>
  <c r="R1253" i="10"/>
  <c r="R1252" i="10"/>
  <c r="R1251" i="10"/>
  <c r="R1250" i="10"/>
  <c r="R1249" i="10"/>
  <c r="R1248" i="10"/>
  <c r="R1247" i="10"/>
  <c r="R1245" i="10"/>
  <c r="J1169" i="10"/>
  <c r="J915" i="10" l="1"/>
  <c r="K915" i="10"/>
  <c r="K247" i="10"/>
  <c r="J247" i="10"/>
  <c r="K366" i="10"/>
  <c r="J366" i="10"/>
  <c r="J1148" i="10"/>
  <c r="K1148" i="10"/>
  <c r="J1233" i="10"/>
  <c r="K1233" i="10"/>
  <c r="R1233" i="10" s="1"/>
  <c r="J1012" i="10"/>
  <c r="K1012" i="10"/>
  <c r="G1274" i="10"/>
  <c r="G1257" i="10"/>
  <c r="R1246" i="10"/>
  <c r="P588" i="10"/>
  <c r="P589" i="10"/>
  <c r="K916" i="10" l="1"/>
  <c r="J916" i="10"/>
  <c r="J1013" i="10"/>
  <c r="K1013" i="10"/>
  <c r="J1234" i="10"/>
  <c r="K1234" i="10"/>
  <c r="R1234" i="10" s="1"/>
  <c r="J1149" i="10"/>
  <c r="K1149" i="10"/>
  <c r="J367" i="10"/>
  <c r="K367" i="10"/>
  <c r="J248" i="10"/>
  <c r="K248" i="10"/>
  <c r="P587" i="10"/>
  <c r="R1211" i="10"/>
  <c r="R1194" i="10"/>
  <c r="K368" i="10" l="1"/>
  <c r="J368" i="10"/>
  <c r="K1150" i="10"/>
  <c r="J1150" i="10"/>
  <c r="K1235" i="10"/>
  <c r="R1235" i="10" s="1"/>
  <c r="J1235" i="10"/>
  <c r="K1014" i="10"/>
  <c r="J1014" i="10"/>
  <c r="J249" i="10"/>
  <c r="K249" i="10"/>
  <c r="P231" i="10"/>
  <c r="P232" i="10"/>
  <c r="P233" i="10"/>
  <c r="P234" i="10"/>
  <c r="P235" i="10"/>
  <c r="P236" i="10"/>
  <c r="K250" i="10" l="1"/>
  <c r="J250" i="10"/>
  <c r="J1015" i="10"/>
  <c r="K1015" i="10"/>
  <c r="J1236" i="10"/>
  <c r="K1236" i="10"/>
  <c r="R1236" i="10" s="1"/>
  <c r="J1151" i="10"/>
  <c r="K1151" i="10"/>
  <c r="J369" i="10"/>
  <c r="K369" i="10"/>
  <c r="P1240" i="10"/>
  <c r="F1240" i="10"/>
  <c r="E1240" i="10"/>
  <c r="D1240" i="10"/>
  <c r="C1240" i="10"/>
  <c r="B1240" i="10"/>
  <c r="J370" i="10" l="1"/>
  <c r="K370" i="10"/>
  <c r="J1152" i="10"/>
  <c r="K1152" i="10"/>
  <c r="J1237" i="10"/>
  <c r="K1237" i="10"/>
  <c r="J1016" i="10"/>
  <c r="K1016" i="10"/>
  <c r="J251" i="10"/>
  <c r="K251" i="10"/>
  <c r="G1240" i="10"/>
  <c r="J252" i="10" l="1"/>
  <c r="K252" i="10"/>
  <c r="J1017" i="10"/>
  <c r="K1017" i="10"/>
  <c r="R1237" i="10"/>
  <c r="J1238" i="10"/>
  <c r="K1238" i="10"/>
  <c r="J1153" i="10"/>
  <c r="K1153" i="10"/>
  <c r="J371" i="10"/>
  <c r="K371" i="10"/>
  <c r="O652" i="10"/>
  <c r="O653" i="10" s="1"/>
  <c r="K372" i="10" l="1"/>
  <c r="J372" i="10"/>
  <c r="K1154" i="10"/>
  <c r="J1154" i="10"/>
  <c r="K1239" i="10"/>
  <c r="R1239" i="10" s="1"/>
  <c r="J1239" i="10"/>
  <c r="K1018" i="10"/>
  <c r="J1018" i="10"/>
  <c r="K253" i="10"/>
  <c r="R1238" i="10"/>
  <c r="K1240" i="10"/>
  <c r="G771" i="10"/>
  <c r="G772" i="10"/>
  <c r="G773" i="10"/>
  <c r="G774" i="10"/>
  <c r="G775" i="10"/>
  <c r="G776" i="10"/>
  <c r="G777" i="10"/>
  <c r="G778" i="10"/>
  <c r="G779" i="10"/>
  <c r="G780" i="10"/>
  <c r="R1203" i="10"/>
  <c r="R1202" i="10"/>
  <c r="R1201" i="10"/>
  <c r="R1200" i="10"/>
  <c r="R1199" i="10"/>
  <c r="R1198" i="10"/>
  <c r="R1197" i="10"/>
  <c r="R1196" i="10"/>
  <c r="R1195" i="10"/>
  <c r="P1189" i="10"/>
  <c r="K1189" i="10"/>
  <c r="F1189" i="10"/>
  <c r="E1189" i="10"/>
  <c r="G1188" i="10"/>
  <c r="P1223" i="10"/>
  <c r="K1223" i="10"/>
  <c r="F1223" i="10"/>
  <c r="E1223" i="10"/>
  <c r="D1223" i="10"/>
  <c r="C1223" i="10"/>
  <c r="B1223" i="10"/>
  <c r="R1222" i="10"/>
  <c r="R1221" i="10"/>
  <c r="R1220" i="10"/>
  <c r="R1219" i="10"/>
  <c r="R1218" i="10"/>
  <c r="R1217" i="10"/>
  <c r="R1216" i="10"/>
  <c r="R1215" i="10"/>
  <c r="R1214" i="10"/>
  <c r="R1213" i="10"/>
  <c r="R1212" i="10"/>
  <c r="G1223" i="10"/>
  <c r="P1206" i="10"/>
  <c r="K1206" i="10"/>
  <c r="F1206" i="10"/>
  <c r="E1206" i="10"/>
  <c r="D1206" i="10"/>
  <c r="C1206" i="10"/>
  <c r="B1206" i="10"/>
  <c r="R1205" i="10"/>
  <c r="R1204" i="10"/>
  <c r="G1206" i="10"/>
  <c r="R1188" i="10" l="1"/>
  <c r="P652" i="10" l="1"/>
  <c r="P653" i="10"/>
  <c r="P654" i="10"/>
  <c r="P655" i="10"/>
  <c r="P656" i="10"/>
  <c r="P657" i="10"/>
  <c r="P658" i="10"/>
  <c r="P659" i="10"/>
  <c r="P660" i="10"/>
  <c r="P661" i="10"/>
  <c r="G294" i="10"/>
  <c r="G277" i="10"/>
  <c r="E186" i="10"/>
  <c r="K1128" i="10"/>
  <c r="K1129" i="10"/>
  <c r="K1130" i="10"/>
  <c r="K1131" i="10"/>
  <c r="K1132" i="10"/>
  <c r="K1133" i="10"/>
  <c r="K1134" i="10"/>
  <c r="K1135" i="10"/>
  <c r="K1136" i="10"/>
  <c r="K1137" i="10"/>
  <c r="K1127" i="10"/>
  <c r="G1110" i="10"/>
  <c r="R1110" i="10" s="1"/>
  <c r="G1111" i="10"/>
  <c r="R1111" i="10" s="1"/>
  <c r="G1112" i="10"/>
  <c r="R1112" i="10" s="1"/>
  <c r="G1113" i="10"/>
  <c r="R1113" i="10" s="1"/>
  <c r="G1114" i="10"/>
  <c r="R1114" i="10" s="1"/>
  <c r="G1115" i="10"/>
  <c r="R1115" i="10" s="1"/>
  <c r="G1116" i="10"/>
  <c r="R1116" i="10" s="1"/>
  <c r="G1117" i="10"/>
  <c r="R1117" i="10" s="1"/>
  <c r="G1118" i="10"/>
  <c r="R1118" i="10" s="1"/>
  <c r="G1119" i="10"/>
  <c r="G1120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K1025" i="10"/>
  <c r="G855" i="10"/>
  <c r="G856" i="10"/>
  <c r="G857" i="10"/>
  <c r="G858" i="10"/>
  <c r="G859" i="10"/>
  <c r="G860" i="10"/>
  <c r="G861" i="10"/>
  <c r="G862" i="10"/>
  <c r="G863" i="10"/>
  <c r="G864" i="10"/>
  <c r="G865" i="10"/>
  <c r="G770" i="10"/>
  <c r="G651" i="10"/>
  <c r="G652" i="10"/>
  <c r="G653" i="10"/>
  <c r="G654" i="10"/>
  <c r="G655" i="10"/>
  <c r="G656" i="10"/>
  <c r="G657" i="10"/>
  <c r="G658" i="10"/>
  <c r="G659" i="10"/>
  <c r="G660" i="10"/>
  <c r="G661" i="10"/>
  <c r="P518" i="10" l="1"/>
  <c r="P519" i="10"/>
  <c r="P520" i="10"/>
  <c r="P521" i="10"/>
  <c r="P516" i="10"/>
  <c r="G447" i="10"/>
  <c r="G448" i="10"/>
  <c r="G449" i="10"/>
  <c r="G450" i="10"/>
  <c r="G451" i="10"/>
  <c r="G452" i="10"/>
  <c r="G453" i="10"/>
  <c r="G454" i="10"/>
  <c r="G455" i="10"/>
  <c r="G456" i="10"/>
  <c r="G457" i="10"/>
  <c r="G396" i="10"/>
  <c r="G397" i="10"/>
  <c r="G398" i="10"/>
  <c r="G399" i="10"/>
  <c r="G400" i="10"/>
  <c r="R400" i="10" s="1"/>
  <c r="G401" i="10"/>
  <c r="R401" i="10" s="1"/>
  <c r="G402" i="10"/>
  <c r="R402" i="10" s="1"/>
  <c r="G403" i="10"/>
  <c r="R403" i="10" s="1"/>
  <c r="G404" i="10"/>
  <c r="G405" i="10"/>
  <c r="G406" i="10"/>
  <c r="G1176" i="10" l="1"/>
  <c r="G1159" i="10"/>
  <c r="G1142" i="10"/>
  <c r="G1125" i="10"/>
  <c r="G1108" i="10"/>
  <c r="G1091" i="10"/>
  <c r="G1057" i="10"/>
  <c r="G1040" i="10"/>
  <c r="G1023" i="10"/>
  <c r="G1006" i="10"/>
  <c r="G972" i="10"/>
  <c r="G921" i="10"/>
  <c r="G904" i="10"/>
  <c r="G887" i="10"/>
  <c r="G853" i="10"/>
  <c r="G836" i="10"/>
  <c r="G819" i="10"/>
  <c r="G802" i="10"/>
  <c r="G785" i="10"/>
  <c r="G768" i="10"/>
  <c r="G751" i="10"/>
  <c r="G734" i="10"/>
  <c r="G683" i="10"/>
  <c r="G649" i="10"/>
  <c r="G581" i="10"/>
  <c r="G564" i="10"/>
  <c r="G547" i="10"/>
  <c r="G513" i="10"/>
  <c r="G496" i="10"/>
  <c r="G479" i="10"/>
  <c r="G445" i="10"/>
  <c r="G377" i="10"/>
  <c r="G394" i="10"/>
  <c r="G360" i="10"/>
  <c r="G326" i="10"/>
  <c r="G309" i="10"/>
  <c r="G275" i="10"/>
  <c r="G258" i="10"/>
  <c r="G241" i="10"/>
  <c r="G224" i="10"/>
  <c r="G20" i="10"/>
  <c r="G989" i="10"/>
  <c r="G1109" i="10"/>
  <c r="G1092" i="10"/>
  <c r="G837" i="10"/>
  <c r="K752" i="10" l="1"/>
  <c r="J752" i="10"/>
  <c r="J753" i="10" s="1"/>
  <c r="J754" i="10" s="1"/>
  <c r="J755" i="10" s="1"/>
  <c r="J756" i="10" s="1"/>
  <c r="J757" i="10" s="1"/>
  <c r="J758" i="10" s="1"/>
  <c r="J759" i="10" s="1"/>
  <c r="J760" i="10" s="1"/>
  <c r="J761" i="10" s="1"/>
  <c r="J762" i="10" s="1"/>
  <c r="J763" i="10" s="1"/>
  <c r="G753" i="10"/>
  <c r="G754" i="10"/>
  <c r="G755" i="10"/>
  <c r="G756" i="10"/>
  <c r="G757" i="10"/>
  <c r="G758" i="10"/>
  <c r="G759" i="10"/>
  <c r="G760" i="10"/>
  <c r="G761" i="10"/>
  <c r="G762" i="10"/>
  <c r="G763" i="10"/>
  <c r="G752" i="10"/>
  <c r="K735" i="10"/>
  <c r="J735" i="10"/>
  <c r="J736" i="10" s="1"/>
  <c r="J737" i="10" s="1"/>
  <c r="J738" i="10" s="1"/>
  <c r="J739" i="10" s="1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K740" i="10" l="1"/>
  <c r="J740" i="10"/>
  <c r="J741" i="10" s="1"/>
  <c r="J742" i="10" s="1"/>
  <c r="J743" i="10" s="1"/>
  <c r="J744" i="10" s="1"/>
  <c r="J745" i="10" s="1"/>
  <c r="J746" i="10" s="1"/>
  <c r="K753" i="10"/>
  <c r="R752" i="10"/>
  <c r="J684" i="10"/>
  <c r="K754" i="10" l="1"/>
  <c r="K412" i="10"/>
  <c r="K242" i="10"/>
  <c r="R174" i="10"/>
  <c r="K755" i="10" l="1"/>
  <c r="K413" i="10"/>
  <c r="C118" i="10"/>
  <c r="D118" i="10"/>
  <c r="G118" i="10"/>
  <c r="R660" i="10"/>
  <c r="G304" i="10"/>
  <c r="K756" i="10" l="1"/>
  <c r="K414" i="10"/>
  <c r="R1099" i="10"/>
  <c r="R1100" i="10"/>
  <c r="R1101" i="10"/>
  <c r="R1102" i="10"/>
  <c r="R1103" i="10"/>
  <c r="K757" i="10" l="1"/>
  <c r="K415" i="10"/>
  <c r="R1098" i="10"/>
  <c r="K758" i="10" l="1"/>
  <c r="K416" i="10"/>
  <c r="R1097" i="10"/>
  <c r="G280" i="10"/>
  <c r="K405" i="10"/>
  <c r="R405" i="10" s="1"/>
  <c r="K406" i="10"/>
  <c r="R406" i="10" s="1"/>
  <c r="K235" i="10"/>
  <c r="K236" i="10"/>
  <c r="K759" i="10" l="1"/>
  <c r="K417" i="10"/>
  <c r="K418" i="10" l="1"/>
  <c r="K760" i="10"/>
  <c r="G185" i="10"/>
  <c r="R185" i="10" s="1"/>
  <c r="K761" i="10" l="1"/>
  <c r="K419" i="10"/>
  <c r="P1171" i="10"/>
  <c r="K420" i="10" l="1"/>
  <c r="K762" i="10"/>
  <c r="G516" i="10"/>
  <c r="G517" i="10"/>
  <c r="G518" i="10"/>
  <c r="G519" i="10"/>
  <c r="G520" i="10"/>
  <c r="G521" i="10"/>
  <c r="G522" i="10"/>
  <c r="G523" i="10"/>
  <c r="G524" i="10"/>
  <c r="G525" i="10"/>
  <c r="G499" i="10"/>
  <c r="G500" i="10"/>
  <c r="G501" i="10"/>
  <c r="G502" i="10"/>
  <c r="G503" i="10"/>
  <c r="G504" i="10"/>
  <c r="G505" i="10"/>
  <c r="G506" i="10"/>
  <c r="G507" i="10"/>
  <c r="G508" i="10"/>
  <c r="G482" i="10"/>
  <c r="G483" i="10"/>
  <c r="G484" i="10"/>
  <c r="G485" i="10"/>
  <c r="G486" i="10"/>
  <c r="G487" i="10"/>
  <c r="G488" i="10"/>
  <c r="G489" i="10"/>
  <c r="G490" i="10"/>
  <c r="G491" i="10"/>
  <c r="K763" i="10" l="1"/>
  <c r="K421" i="10"/>
  <c r="R23" i="10"/>
  <c r="R24" i="10"/>
  <c r="R25" i="10"/>
  <c r="R26" i="10"/>
  <c r="R27" i="10"/>
  <c r="R28" i="10"/>
  <c r="R29" i="10"/>
  <c r="R30" i="10"/>
  <c r="R31" i="10"/>
  <c r="R32" i="10"/>
  <c r="K422" i="10" l="1"/>
  <c r="R22" i="10"/>
  <c r="K423" i="10" l="1"/>
  <c r="R423" i="10" s="1"/>
  <c r="G1177" i="10"/>
  <c r="G1178" i="10"/>
  <c r="G1179" i="10"/>
  <c r="G1180" i="10"/>
  <c r="G1181" i="10"/>
  <c r="G1182" i="10"/>
  <c r="G1183" i="10"/>
  <c r="G1184" i="10"/>
  <c r="G1185" i="10"/>
  <c r="G1186" i="10"/>
  <c r="G1187" i="10"/>
  <c r="G736" i="10"/>
  <c r="G737" i="10"/>
  <c r="G738" i="10"/>
  <c r="G739" i="10"/>
  <c r="G740" i="10"/>
  <c r="R740" i="10" s="1"/>
  <c r="G741" i="10"/>
  <c r="G742" i="10"/>
  <c r="G743" i="10"/>
  <c r="G744" i="10"/>
  <c r="G745" i="10"/>
  <c r="G746" i="10"/>
  <c r="G549" i="10"/>
  <c r="G550" i="10"/>
  <c r="G551" i="10"/>
  <c r="G552" i="10"/>
  <c r="G553" i="10"/>
  <c r="G554" i="10"/>
  <c r="G555" i="10"/>
  <c r="G556" i="10"/>
  <c r="G557" i="10"/>
  <c r="G558" i="10"/>
  <c r="G559" i="10"/>
  <c r="K515" i="10"/>
  <c r="G498" i="10"/>
  <c r="G481" i="10"/>
  <c r="G466" i="10"/>
  <c r="G467" i="10"/>
  <c r="G468" i="10"/>
  <c r="G469" i="10"/>
  <c r="G470" i="10"/>
  <c r="G471" i="10"/>
  <c r="G472" i="10"/>
  <c r="G473" i="10"/>
  <c r="G474" i="10"/>
  <c r="R412" i="10"/>
  <c r="R413" i="10"/>
  <c r="R414" i="10"/>
  <c r="R415" i="10"/>
  <c r="R416" i="10"/>
  <c r="R417" i="10"/>
  <c r="R418" i="10"/>
  <c r="R419" i="10"/>
  <c r="R420" i="10"/>
  <c r="R421" i="10"/>
  <c r="R422" i="10"/>
  <c r="J378" i="10"/>
  <c r="J379" i="10" s="1"/>
  <c r="J380" i="10" s="1"/>
  <c r="J381" i="10" s="1"/>
  <c r="J382" i="10" s="1"/>
  <c r="J383" i="10" s="1"/>
  <c r="J384" i="10" s="1"/>
  <c r="J385" i="10" s="1"/>
  <c r="J386" i="10" s="1"/>
  <c r="J387" i="10" s="1"/>
  <c r="J389" i="10" s="1"/>
  <c r="G379" i="10"/>
  <c r="G380" i="10"/>
  <c r="G381" i="10"/>
  <c r="G382" i="10"/>
  <c r="G383" i="10"/>
  <c r="G384" i="10"/>
  <c r="G385" i="10"/>
  <c r="G386" i="10"/>
  <c r="G387" i="10"/>
  <c r="G388" i="10"/>
  <c r="G389" i="10"/>
  <c r="G361" i="10"/>
  <c r="R361" i="10" s="1"/>
  <c r="G362" i="10"/>
  <c r="R362" i="10" s="1"/>
  <c r="G363" i="10"/>
  <c r="R363" i="10" s="1"/>
  <c r="G364" i="10"/>
  <c r="R364" i="10" s="1"/>
  <c r="G365" i="10"/>
  <c r="R365" i="10" s="1"/>
  <c r="G366" i="10"/>
  <c r="R366" i="10" s="1"/>
  <c r="G367" i="10"/>
  <c r="R367" i="10" s="1"/>
  <c r="G368" i="10"/>
  <c r="R368" i="10" s="1"/>
  <c r="G369" i="10"/>
  <c r="R369" i="10" s="1"/>
  <c r="G370" i="10"/>
  <c r="R370" i="10" s="1"/>
  <c r="G371" i="10"/>
  <c r="R371" i="10" s="1"/>
  <c r="G372" i="10"/>
  <c r="R372" i="10" s="1"/>
  <c r="G329" i="10"/>
  <c r="G330" i="10"/>
  <c r="G331" i="10"/>
  <c r="G332" i="10"/>
  <c r="G333" i="10"/>
  <c r="G334" i="10"/>
  <c r="G335" i="10"/>
  <c r="G336" i="10"/>
  <c r="G337" i="10"/>
  <c r="G338" i="10"/>
  <c r="G328" i="10"/>
  <c r="G311" i="10"/>
  <c r="R311" i="10" s="1"/>
  <c r="G312" i="10"/>
  <c r="R312" i="10" s="1"/>
  <c r="G313" i="10"/>
  <c r="R313" i="10" s="1"/>
  <c r="G314" i="10"/>
  <c r="R314" i="10" s="1"/>
  <c r="G315" i="10"/>
  <c r="R315" i="10" s="1"/>
  <c r="G316" i="10"/>
  <c r="R316" i="10" s="1"/>
  <c r="G317" i="10"/>
  <c r="R317" i="10" s="1"/>
  <c r="G318" i="10"/>
  <c r="G319" i="10"/>
  <c r="R319" i="10" s="1"/>
  <c r="G320" i="10"/>
  <c r="R320" i="10" s="1"/>
  <c r="G321" i="10"/>
  <c r="R321" i="10" s="1"/>
  <c r="G295" i="10"/>
  <c r="G296" i="10"/>
  <c r="G297" i="10"/>
  <c r="G298" i="10"/>
  <c r="G299" i="10"/>
  <c r="G300" i="10"/>
  <c r="G301" i="10"/>
  <c r="G302" i="10"/>
  <c r="G303" i="10"/>
  <c r="G278" i="10"/>
  <c r="G279" i="10"/>
  <c r="G281" i="10"/>
  <c r="G282" i="10"/>
  <c r="G283" i="10"/>
  <c r="G284" i="10"/>
  <c r="G285" i="10"/>
  <c r="G286" i="10"/>
  <c r="G287" i="10"/>
  <c r="G260" i="10"/>
  <c r="G261" i="10"/>
  <c r="G262" i="10"/>
  <c r="G263" i="10"/>
  <c r="G264" i="10"/>
  <c r="G265" i="10"/>
  <c r="G266" i="10"/>
  <c r="G267" i="10"/>
  <c r="G268" i="10"/>
  <c r="G269" i="10"/>
  <c r="G270" i="10"/>
  <c r="G243" i="10"/>
  <c r="R243" i="10" s="1"/>
  <c r="G244" i="10"/>
  <c r="R244" i="10" s="1"/>
  <c r="G245" i="10"/>
  <c r="R245" i="10" s="1"/>
  <c r="G246" i="10"/>
  <c r="R246" i="10" s="1"/>
  <c r="G247" i="10"/>
  <c r="R247" i="10" s="1"/>
  <c r="G248" i="10"/>
  <c r="R248" i="10" s="1"/>
  <c r="G249" i="10"/>
  <c r="R249" i="10" s="1"/>
  <c r="G250" i="10"/>
  <c r="R250" i="10" s="1"/>
  <c r="G251" i="10"/>
  <c r="R251" i="10" s="1"/>
  <c r="G252" i="10"/>
  <c r="R252" i="10" s="1"/>
  <c r="G253" i="10"/>
  <c r="R253" i="10" s="1"/>
  <c r="G242" i="10"/>
  <c r="G1189" i="10" l="1"/>
  <c r="K379" i="10"/>
  <c r="K380" i="10"/>
  <c r="R380" i="10" s="1"/>
  <c r="R379" i="10"/>
  <c r="K516" i="10"/>
  <c r="G226" i="10"/>
  <c r="G227" i="10"/>
  <c r="R227" i="10" s="1"/>
  <c r="G228" i="10"/>
  <c r="R228" i="10" s="1"/>
  <c r="G229" i="10"/>
  <c r="R229" i="10" s="1"/>
  <c r="G230" i="10"/>
  <c r="R230" i="10" s="1"/>
  <c r="G231" i="10"/>
  <c r="R231" i="10" s="1"/>
  <c r="G232" i="10"/>
  <c r="G233" i="10"/>
  <c r="G234" i="10"/>
  <c r="G235" i="10"/>
  <c r="R235" i="10" s="1"/>
  <c r="G236" i="10"/>
  <c r="R236" i="10" s="1"/>
  <c r="G195" i="10"/>
  <c r="G196" i="10"/>
  <c r="G197" i="10"/>
  <c r="G198" i="10"/>
  <c r="G199" i="10"/>
  <c r="G200" i="10"/>
  <c r="G201" i="10"/>
  <c r="G202" i="10"/>
  <c r="G159" i="10"/>
  <c r="G160" i="10"/>
  <c r="G161" i="10"/>
  <c r="G162" i="10"/>
  <c r="G163" i="10"/>
  <c r="G164" i="10"/>
  <c r="G165" i="10"/>
  <c r="G166" i="10"/>
  <c r="G167" i="10"/>
  <c r="G168" i="10"/>
  <c r="G158" i="10"/>
  <c r="G141" i="10"/>
  <c r="R141" i="10" s="1"/>
  <c r="G91" i="10"/>
  <c r="G92" i="10"/>
  <c r="G93" i="10"/>
  <c r="G94" i="10"/>
  <c r="G95" i="10"/>
  <c r="G96" i="10"/>
  <c r="G97" i="10"/>
  <c r="G98" i="10"/>
  <c r="G99" i="10"/>
  <c r="G100" i="10"/>
  <c r="G15" i="10"/>
  <c r="G7" i="10"/>
  <c r="G8" i="10"/>
  <c r="G9" i="10"/>
  <c r="G10" i="10"/>
  <c r="G11" i="10"/>
  <c r="G12" i="10"/>
  <c r="G13" i="10"/>
  <c r="G14" i="10"/>
  <c r="R6" i="10"/>
  <c r="R7" i="10"/>
  <c r="R8" i="10"/>
  <c r="R9" i="10"/>
  <c r="R10" i="10"/>
  <c r="R11" i="10"/>
  <c r="R12" i="10"/>
  <c r="R13" i="10"/>
  <c r="R14" i="10"/>
  <c r="R15" i="10"/>
  <c r="R5" i="10"/>
  <c r="K517" i="10" l="1"/>
  <c r="K381" i="10"/>
  <c r="R381" i="10" s="1"/>
  <c r="G1143" i="10"/>
  <c r="R1143" i="10" s="1"/>
  <c r="G21" i="10"/>
  <c r="I1058" i="10"/>
  <c r="J1058" i="10" l="1"/>
  <c r="J1059" i="10" s="1"/>
  <c r="J1060" i="10" s="1"/>
  <c r="J1061" i="10" s="1"/>
  <c r="J1062" i="10" s="1"/>
  <c r="J1063" i="10" s="1"/>
  <c r="J1064" i="10" s="1"/>
  <c r="J1065" i="10" s="1"/>
  <c r="J1066" i="10" s="1"/>
  <c r="J1067" i="10" s="1"/>
  <c r="J1068" i="10" s="1"/>
  <c r="J1069" i="10" s="1"/>
  <c r="K382" i="10"/>
  <c r="R382" i="10" s="1"/>
  <c r="K518" i="10"/>
  <c r="K1059" i="10"/>
  <c r="K736" i="10"/>
  <c r="R736" i="10" s="1"/>
  <c r="K519" i="10" l="1"/>
  <c r="K383" i="10"/>
  <c r="R383" i="10" s="1"/>
  <c r="K737" i="10"/>
  <c r="R737" i="10" s="1"/>
  <c r="K384" i="10" l="1"/>
  <c r="R384" i="10" s="1"/>
  <c r="K520" i="10"/>
  <c r="K738" i="10"/>
  <c r="R738" i="10" s="1"/>
  <c r="K820" i="10"/>
  <c r="J820" i="10"/>
  <c r="J821" i="10" s="1"/>
  <c r="J822" i="10" s="1"/>
  <c r="J823" i="10" s="1"/>
  <c r="J824" i="10" s="1"/>
  <c r="J825" i="10" s="1"/>
  <c r="J826" i="10" s="1"/>
  <c r="J827" i="10" s="1"/>
  <c r="J828" i="10" s="1"/>
  <c r="J829" i="10" s="1"/>
  <c r="J830" i="10" s="1"/>
  <c r="K837" i="10"/>
  <c r="K905" i="10"/>
  <c r="K548" i="10"/>
  <c r="J548" i="10"/>
  <c r="J549" i="10" s="1"/>
  <c r="K831" i="10" l="1"/>
  <c r="J831" i="10"/>
  <c r="K550" i="10"/>
  <c r="R550" i="10" s="1"/>
  <c r="J550" i="10"/>
  <c r="J551" i="10" s="1"/>
  <c r="J552" i="10" s="1"/>
  <c r="J553" i="10" s="1"/>
  <c r="J554" i="10" s="1"/>
  <c r="J555" i="10" s="1"/>
  <c r="J556" i="10" s="1"/>
  <c r="J557" i="10" s="1"/>
  <c r="J558" i="10" s="1"/>
  <c r="J559" i="10" s="1"/>
  <c r="K521" i="10"/>
  <c r="R521" i="10" s="1"/>
  <c r="K385" i="10"/>
  <c r="R385" i="10" s="1"/>
  <c r="K549" i="10"/>
  <c r="R549" i="10" s="1"/>
  <c r="K906" i="10"/>
  <c r="K838" i="10"/>
  <c r="K739" i="10"/>
  <c r="R739" i="10" s="1"/>
  <c r="K830" i="10"/>
  <c r="K821" i="10"/>
  <c r="G514" i="10"/>
  <c r="G515" i="10"/>
  <c r="R515" i="10" s="1"/>
  <c r="K386" i="10" l="1"/>
  <c r="R386" i="10" s="1"/>
  <c r="K522" i="10"/>
  <c r="R522" i="10" s="1"/>
  <c r="K890" i="10"/>
  <c r="R242" i="10"/>
  <c r="R158" i="10"/>
  <c r="R159" i="10"/>
  <c r="K523" i="10" l="1"/>
  <c r="R523" i="10" s="1"/>
  <c r="K387" i="10"/>
  <c r="R387" i="10" s="1"/>
  <c r="K741" i="10"/>
  <c r="R741" i="10" s="1"/>
  <c r="R107" i="10"/>
  <c r="K891" i="10"/>
  <c r="R1160" i="10"/>
  <c r="K769" i="10"/>
  <c r="J769" i="10"/>
  <c r="J770" i="10" s="1"/>
  <c r="J771" i="10" s="1"/>
  <c r="J772" i="10" s="1"/>
  <c r="J773" i="10" s="1"/>
  <c r="J774" i="10" s="1"/>
  <c r="J775" i="10" s="1"/>
  <c r="J776" i="10" s="1"/>
  <c r="J777" i="10" s="1"/>
  <c r="J778" i="10" s="1"/>
  <c r="J779" i="10" s="1"/>
  <c r="J780" i="10" s="1"/>
  <c r="K684" i="10"/>
  <c r="K565" i="10"/>
  <c r="J565" i="10"/>
  <c r="J566" i="10" s="1"/>
  <c r="J567" i="10" s="1"/>
  <c r="J568" i="10" s="1"/>
  <c r="J569" i="10" s="1"/>
  <c r="J570" i="10" s="1"/>
  <c r="J571" i="10" s="1"/>
  <c r="J572" i="10" s="1"/>
  <c r="J573" i="10" s="1"/>
  <c r="J574" i="10" s="1"/>
  <c r="J575" i="10" s="1"/>
  <c r="J576" i="10" s="1"/>
  <c r="K514" i="10"/>
  <c r="R514" i="10" s="1"/>
  <c r="K497" i="10"/>
  <c r="J497" i="10"/>
  <c r="J498" i="10" s="1"/>
  <c r="J499" i="10" s="1"/>
  <c r="J500" i="10" s="1"/>
  <c r="J501" i="10" s="1"/>
  <c r="J502" i="10" s="1"/>
  <c r="J503" i="10" s="1"/>
  <c r="J504" i="10" s="1"/>
  <c r="J505" i="10" s="1"/>
  <c r="J506" i="10" s="1"/>
  <c r="J507" i="10" s="1"/>
  <c r="J508" i="10" s="1"/>
  <c r="K446" i="10"/>
  <c r="K378" i="10"/>
  <c r="K327" i="10"/>
  <c r="J327" i="10"/>
  <c r="J328" i="10" s="1"/>
  <c r="J329" i="10" s="1"/>
  <c r="J330" i="10" s="1"/>
  <c r="J331" i="10" s="1"/>
  <c r="J332" i="10" s="1"/>
  <c r="J333" i="10" s="1"/>
  <c r="J334" i="10" s="1"/>
  <c r="J335" i="10" s="1"/>
  <c r="J336" i="10" s="1"/>
  <c r="J337" i="10" s="1"/>
  <c r="J338" i="10" s="1"/>
  <c r="J276" i="10"/>
  <c r="G548" i="10"/>
  <c r="R548" i="10" s="1"/>
  <c r="G497" i="10"/>
  <c r="G480" i="10"/>
  <c r="G446" i="10"/>
  <c r="G395" i="10"/>
  <c r="R395" i="10" s="1"/>
  <c r="G378" i="10"/>
  <c r="G327" i="10"/>
  <c r="G310" i="10"/>
  <c r="R310" i="10" s="1"/>
  <c r="G293" i="10"/>
  <c r="G276" i="10"/>
  <c r="G259" i="10"/>
  <c r="G225" i="10"/>
  <c r="G157" i="10"/>
  <c r="R157" i="10" s="1"/>
  <c r="G142" i="10"/>
  <c r="R142" i="10" s="1"/>
  <c r="G143" i="10"/>
  <c r="R143" i="10" s="1"/>
  <c r="G144" i="10"/>
  <c r="R144" i="10" s="1"/>
  <c r="G145" i="10"/>
  <c r="R145" i="10" s="1"/>
  <c r="G146" i="10"/>
  <c r="R146" i="10" s="1"/>
  <c r="G147" i="10"/>
  <c r="R147" i="10" s="1"/>
  <c r="G148" i="10"/>
  <c r="R148" i="10" s="1"/>
  <c r="G149" i="10"/>
  <c r="R149" i="10" s="1"/>
  <c r="G150" i="10"/>
  <c r="R150" i="10" s="1"/>
  <c r="G151" i="10"/>
  <c r="R151" i="10" s="1"/>
  <c r="G140" i="10"/>
  <c r="R140" i="10" s="1"/>
  <c r="R106" i="10"/>
  <c r="J277" i="10" l="1"/>
  <c r="K277" i="10"/>
  <c r="R446" i="10"/>
  <c r="K742" i="10"/>
  <c r="R742" i="10" s="1"/>
  <c r="K388" i="10"/>
  <c r="R388" i="10" s="1"/>
  <c r="K524" i="10"/>
  <c r="R524" i="10" s="1"/>
  <c r="R175" i="10"/>
  <c r="R226" i="10"/>
  <c r="R225" i="10"/>
  <c r="K328" i="10"/>
  <c r="R328" i="10" s="1"/>
  <c r="R327" i="10"/>
  <c r="R378" i="10"/>
  <c r="K447" i="10"/>
  <c r="R447" i="10" s="1"/>
  <c r="K498" i="10"/>
  <c r="K566" i="10"/>
  <c r="K685" i="10"/>
  <c r="K770" i="10"/>
  <c r="R1161" i="10"/>
  <c r="K892" i="10"/>
  <c r="R108" i="10"/>
  <c r="R74" i="10"/>
  <c r="G54" i="10"/>
  <c r="G55" i="10"/>
  <c r="G56" i="10"/>
  <c r="G57" i="10"/>
  <c r="G58" i="10"/>
  <c r="G59" i="10"/>
  <c r="G991" i="10"/>
  <c r="G992" i="10"/>
  <c r="G993" i="10"/>
  <c r="G994" i="10"/>
  <c r="G995" i="10"/>
  <c r="G996" i="10"/>
  <c r="G997" i="10"/>
  <c r="G998" i="10"/>
  <c r="G999" i="10"/>
  <c r="G1000" i="10"/>
  <c r="G1001" i="10"/>
  <c r="R517" i="10"/>
  <c r="R516" i="10"/>
  <c r="R497" i="10"/>
  <c r="R498" i="10"/>
  <c r="F30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990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888" i="10"/>
  <c r="R888" i="10" s="1"/>
  <c r="G889" i="10"/>
  <c r="R889" i="10" s="1"/>
  <c r="G890" i="10"/>
  <c r="R890" i="10" s="1"/>
  <c r="G891" i="10"/>
  <c r="R891" i="10" s="1"/>
  <c r="G892" i="10"/>
  <c r="G893" i="10"/>
  <c r="G894" i="10"/>
  <c r="G895" i="10"/>
  <c r="G896" i="10"/>
  <c r="G897" i="10"/>
  <c r="G898" i="10"/>
  <c r="G899" i="10"/>
  <c r="G854" i="10"/>
  <c r="G838" i="10"/>
  <c r="G839" i="10"/>
  <c r="G840" i="10"/>
  <c r="G841" i="10"/>
  <c r="G842" i="10"/>
  <c r="G843" i="10"/>
  <c r="G844" i="10"/>
  <c r="G845" i="10"/>
  <c r="G846" i="10"/>
  <c r="G847" i="10"/>
  <c r="G848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769" i="10"/>
  <c r="G735" i="10"/>
  <c r="R735" i="10" s="1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50" i="10"/>
  <c r="R661" i="10"/>
  <c r="G582" i="10"/>
  <c r="G583" i="10"/>
  <c r="G584" i="10"/>
  <c r="G585" i="10"/>
  <c r="G586" i="10"/>
  <c r="G587" i="10"/>
  <c r="R587" i="10" s="1"/>
  <c r="G588" i="10"/>
  <c r="G589" i="10"/>
  <c r="G590" i="10"/>
  <c r="G591" i="10"/>
  <c r="G592" i="10"/>
  <c r="G593" i="10"/>
  <c r="K278" i="10" l="1"/>
  <c r="J278" i="10"/>
  <c r="R892" i="10"/>
  <c r="K525" i="10"/>
  <c r="R525" i="10" s="1"/>
  <c r="K389" i="10"/>
  <c r="K893" i="10"/>
  <c r="R893" i="10" s="1"/>
  <c r="R685" i="10"/>
  <c r="K743" i="10"/>
  <c r="R743" i="10" s="1"/>
  <c r="R109" i="10"/>
  <c r="R754" i="10"/>
  <c r="R753" i="10"/>
  <c r="K567" i="10"/>
  <c r="K499" i="10"/>
  <c r="K448" i="10"/>
  <c r="R448" i="10" s="1"/>
  <c r="K329" i="10"/>
  <c r="R329" i="10" s="1"/>
  <c r="R176" i="10"/>
  <c r="G1154" i="10"/>
  <c r="R1154" i="10" s="1"/>
  <c r="G1137" i="10"/>
  <c r="R1137" i="10" s="1"/>
  <c r="K1086" i="10"/>
  <c r="O593" i="10"/>
  <c r="K593" i="10"/>
  <c r="K576" i="10"/>
  <c r="K559" i="10"/>
  <c r="R559" i="10" s="1"/>
  <c r="R491" i="10"/>
  <c r="R304" i="10"/>
  <c r="R270" i="10"/>
  <c r="R202" i="10"/>
  <c r="R168" i="10"/>
  <c r="J279" i="10" l="1"/>
  <c r="J280" i="10" s="1"/>
  <c r="J281" i="10" s="1"/>
  <c r="J282" i="10" s="1"/>
  <c r="J283" i="10" s="1"/>
  <c r="J284" i="10" s="1"/>
  <c r="J285" i="10" s="1"/>
  <c r="J286" i="10" s="1"/>
  <c r="J287" i="10" s="1"/>
  <c r="K279" i="10"/>
  <c r="K404" i="10"/>
  <c r="R404" i="10" s="1"/>
  <c r="R389" i="10"/>
  <c r="K390" i="10"/>
  <c r="R112" i="10"/>
  <c r="K744" i="10"/>
  <c r="R744" i="10" s="1"/>
  <c r="K894" i="10"/>
  <c r="R894" i="10" s="1"/>
  <c r="R177" i="10"/>
  <c r="K330" i="10"/>
  <c r="R330" i="10" s="1"/>
  <c r="K449" i="10"/>
  <c r="R449" i="10" s="1"/>
  <c r="K500" i="10"/>
  <c r="R755" i="10"/>
  <c r="R111" i="10"/>
  <c r="R110" i="10"/>
  <c r="R49" i="10"/>
  <c r="R593" i="10"/>
  <c r="K895" i="10" l="1"/>
  <c r="R895" i="10" s="1"/>
  <c r="K746" i="10"/>
  <c r="R746" i="10" s="1"/>
  <c r="K745" i="10"/>
  <c r="R745" i="10" s="1"/>
  <c r="R113" i="10"/>
  <c r="K501" i="10"/>
  <c r="K450" i="10"/>
  <c r="R450" i="10" s="1"/>
  <c r="K331" i="10"/>
  <c r="R331" i="10" s="1"/>
  <c r="K280" i="10"/>
  <c r="G178" i="10"/>
  <c r="R178" i="10" s="1"/>
  <c r="R1120" i="10"/>
  <c r="R1086" i="10"/>
  <c r="R1018" i="10"/>
  <c r="R932" i="10"/>
  <c r="R933" i="10"/>
  <c r="R882" i="10"/>
  <c r="R831" i="10"/>
  <c r="R711" i="10"/>
  <c r="R712" i="10"/>
  <c r="R576" i="10"/>
  <c r="R541" i="10"/>
  <c r="R542" i="10"/>
  <c r="R269" i="10"/>
  <c r="G1153" i="10"/>
  <c r="R1153" i="10" s="1"/>
  <c r="R1085" i="10"/>
  <c r="G179" i="10" l="1"/>
  <c r="R179" i="10" s="1"/>
  <c r="K281" i="10"/>
  <c r="K332" i="10"/>
  <c r="R332" i="10" s="1"/>
  <c r="K451" i="10"/>
  <c r="R451" i="10" s="1"/>
  <c r="K502" i="10"/>
  <c r="R114" i="10"/>
  <c r="R896" i="10"/>
  <c r="K592" i="10"/>
  <c r="R592" i="10" s="1"/>
  <c r="K575" i="10"/>
  <c r="R575" i="10" s="1"/>
  <c r="K558" i="10"/>
  <c r="R558" i="10" s="1"/>
  <c r="R897" i="10" l="1"/>
  <c r="R115" i="10"/>
  <c r="K503" i="10"/>
  <c r="K452" i="10"/>
  <c r="R452" i="10" s="1"/>
  <c r="K333" i="10"/>
  <c r="R333" i="10" s="1"/>
  <c r="K282" i="10"/>
  <c r="G180" i="10"/>
  <c r="R180" i="10" s="1"/>
  <c r="R303" i="10"/>
  <c r="R167" i="10"/>
  <c r="R48" i="10"/>
  <c r="G1136" i="10"/>
  <c r="R1136" i="10" s="1"/>
  <c r="G181" i="10" l="1"/>
  <c r="R181" i="10" s="1"/>
  <c r="R232" i="10"/>
  <c r="K283" i="10"/>
  <c r="K334" i="10"/>
  <c r="R334" i="10" s="1"/>
  <c r="K453" i="10"/>
  <c r="R453" i="10" s="1"/>
  <c r="K504" i="10"/>
  <c r="R116" i="10"/>
  <c r="R898" i="10"/>
  <c r="R1187" i="10"/>
  <c r="R1119" i="10"/>
  <c r="R1017" i="10"/>
  <c r="R881" i="10"/>
  <c r="R830" i="10"/>
  <c r="R490" i="10"/>
  <c r="R200" i="10"/>
  <c r="R201" i="10"/>
  <c r="K899" i="10" l="1"/>
  <c r="R899" i="10" s="1"/>
  <c r="R117" i="10"/>
  <c r="K505" i="10"/>
  <c r="R505" i="10" s="1"/>
  <c r="K454" i="10"/>
  <c r="R454" i="10" s="1"/>
  <c r="K335" i="10"/>
  <c r="R335" i="10" s="1"/>
  <c r="K284" i="10"/>
  <c r="J233" i="10"/>
  <c r="K234" i="10" s="1"/>
  <c r="R234" i="10" s="1"/>
  <c r="K233" i="10"/>
  <c r="R233" i="10" s="1"/>
  <c r="G182" i="10"/>
  <c r="R182" i="10" s="1"/>
  <c r="R1016" i="10"/>
  <c r="R1186" i="10"/>
  <c r="G1152" i="10"/>
  <c r="R1152" i="10" s="1"/>
  <c r="G1135" i="10"/>
  <c r="R1135" i="10" s="1"/>
  <c r="R489" i="10"/>
  <c r="R302" i="10"/>
  <c r="R268" i="10"/>
  <c r="R166" i="10"/>
  <c r="R47" i="10"/>
  <c r="G183" i="10" l="1"/>
  <c r="R183" i="10" s="1"/>
  <c r="K285" i="10"/>
  <c r="K336" i="10"/>
  <c r="R336" i="10" s="1"/>
  <c r="K455" i="10"/>
  <c r="R455" i="10" s="1"/>
  <c r="K506" i="10"/>
  <c r="R506" i="10" s="1"/>
  <c r="K1169" i="10"/>
  <c r="R1169" i="10" s="1"/>
  <c r="K1170" i="10" l="1"/>
  <c r="R1170" i="10" s="1"/>
  <c r="K507" i="10"/>
  <c r="K456" i="10"/>
  <c r="R456" i="10" s="1"/>
  <c r="K337" i="10"/>
  <c r="R337" i="10" s="1"/>
  <c r="K286" i="10"/>
  <c r="R286" i="10" s="1"/>
  <c r="G184" i="10"/>
  <c r="R184" i="10" s="1"/>
  <c r="F288" i="10"/>
  <c r="R507" i="10" l="1"/>
  <c r="K1171" i="10"/>
  <c r="R1171" i="10" s="1"/>
  <c r="K508" i="10"/>
  <c r="R508" i="10" s="1"/>
  <c r="K457" i="10"/>
  <c r="R457" i="10" s="1"/>
  <c r="K338" i="10"/>
  <c r="R338" i="10" s="1"/>
  <c r="K287" i="10"/>
  <c r="R287" i="10" s="1"/>
  <c r="R1185" i="10"/>
  <c r="R1168" i="10"/>
  <c r="G1151" i="10"/>
  <c r="R1151" i="10" s="1"/>
  <c r="G1134" i="10"/>
  <c r="R1134" i="10" s="1"/>
  <c r="R931" i="10"/>
  <c r="R659" i="10"/>
  <c r="K573" i="10"/>
  <c r="R488" i="10"/>
  <c r="R301" i="10"/>
  <c r="R267" i="10"/>
  <c r="R199" i="10"/>
  <c r="R165" i="10"/>
  <c r="R46" i="10"/>
  <c r="R573" i="10" l="1"/>
  <c r="K574" i="10"/>
  <c r="R284" i="10" l="1"/>
  <c r="R574" i="10"/>
  <c r="R1184" i="10"/>
  <c r="R1167" i="10"/>
  <c r="G1150" i="10"/>
  <c r="R1150" i="10" s="1"/>
  <c r="G1133" i="10"/>
  <c r="R1133" i="10" s="1"/>
  <c r="R930" i="10"/>
  <c r="R658" i="10"/>
  <c r="R487" i="10"/>
  <c r="R300" i="10"/>
  <c r="R266" i="10"/>
  <c r="R198" i="10"/>
  <c r="R164" i="10"/>
  <c r="R45" i="10" l="1"/>
  <c r="R285" i="10" l="1"/>
  <c r="R283" i="10" l="1"/>
  <c r="R929" i="10"/>
  <c r="R197" i="10"/>
  <c r="R1183" i="10"/>
  <c r="R1166" i="10"/>
  <c r="G1149" i="10"/>
  <c r="R1149" i="10" s="1"/>
  <c r="G1132" i="10"/>
  <c r="R1132" i="10" s="1"/>
  <c r="R299" i="10" l="1"/>
  <c r="R265" i="10"/>
  <c r="R44" i="10"/>
  <c r="R928" i="10" l="1"/>
  <c r="R656" i="10"/>
  <c r="R657" i="10"/>
  <c r="R486" i="10"/>
  <c r="R1182" i="10"/>
  <c r="R1165" i="10"/>
  <c r="G1148" i="10"/>
  <c r="R1148" i="10" s="1"/>
  <c r="G1131" i="10"/>
  <c r="R1131" i="10" s="1"/>
  <c r="R961" i="10"/>
  <c r="R927" i="10"/>
  <c r="R655" i="10"/>
  <c r="R485" i="10"/>
  <c r="G61" i="10"/>
  <c r="G62" i="10"/>
  <c r="G63" i="10"/>
  <c r="G64" i="10"/>
  <c r="G65" i="10"/>
  <c r="G66" i="10"/>
  <c r="R298" i="10"/>
  <c r="R264" i="10"/>
  <c r="R192" i="10" l="1"/>
  <c r="R193" i="10"/>
  <c r="R194" i="10"/>
  <c r="R195" i="10"/>
  <c r="R196" i="10"/>
  <c r="R163" i="10"/>
  <c r="R162" i="10"/>
  <c r="G60" i="10"/>
  <c r="R43" i="10"/>
  <c r="R1181" i="10"/>
  <c r="R1164" i="10"/>
  <c r="G1147" i="10"/>
  <c r="R1147" i="10" s="1"/>
  <c r="G1130" i="10"/>
  <c r="R1130" i="10" s="1"/>
  <c r="R1096" i="10"/>
  <c r="R960" i="10"/>
  <c r="R926" i="10"/>
  <c r="R654" i="10"/>
  <c r="R294" i="10"/>
  <c r="R295" i="10"/>
  <c r="R296" i="10"/>
  <c r="R297" i="10"/>
  <c r="R262" i="10"/>
  <c r="R263" i="10"/>
  <c r="R56" i="10"/>
  <c r="R57" i="10"/>
  <c r="R58" i="10"/>
  <c r="R39" i="10"/>
  <c r="R40" i="10"/>
  <c r="R41" i="10"/>
  <c r="R42" i="10"/>
  <c r="E407" i="10"/>
  <c r="R500" i="10" l="1"/>
  <c r="R59" i="10"/>
  <c r="R501" i="10"/>
  <c r="R504" i="10" l="1"/>
  <c r="R503" i="10"/>
  <c r="R502" i="10"/>
  <c r="R4" i="10"/>
  <c r="B16" i="10"/>
  <c r="C16" i="10"/>
  <c r="D16" i="10"/>
  <c r="E16" i="10"/>
  <c r="F16" i="10"/>
  <c r="K16" i="10"/>
  <c r="P16" i="10"/>
  <c r="R21" i="10"/>
  <c r="B33" i="10"/>
  <c r="C33" i="10"/>
  <c r="D33" i="10"/>
  <c r="E33" i="10"/>
  <c r="F33" i="10"/>
  <c r="G33" i="10" s="1"/>
  <c r="K33" i="10"/>
  <c r="P33" i="10"/>
  <c r="G16" i="10" l="1"/>
  <c r="R1078" i="10" l="1"/>
  <c r="R1077" i="10"/>
  <c r="R1079" i="10" l="1"/>
  <c r="R651" i="10"/>
  <c r="R652" i="10"/>
  <c r="R653" i="10"/>
  <c r="R566" i="10"/>
  <c r="K551" i="10"/>
  <c r="R551" i="10" s="1"/>
  <c r="R499" i="10"/>
  <c r="R481" i="10"/>
  <c r="R482" i="10"/>
  <c r="R483" i="10"/>
  <c r="R484" i="10"/>
  <c r="R1179" i="10"/>
  <c r="R1180" i="10"/>
  <c r="R1178" i="10"/>
  <c r="R1163" i="10"/>
  <c r="R1162" i="10"/>
  <c r="G1145" i="10"/>
  <c r="R1145" i="10" s="1"/>
  <c r="G1146" i="10"/>
  <c r="R1146" i="10" s="1"/>
  <c r="G1126" i="10"/>
  <c r="R1126" i="10" s="1"/>
  <c r="G1127" i="10"/>
  <c r="R1127" i="10" s="1"/>
  <c r="G1128" i="10"/>
  <c r="R1128" i="10" s="1"/>
  <c r="G1129" i="10"/>
  <c r="R1129" i="10" s="1"/>
  <c r="R1093" i="10"/>
  <c r="R1094" i="10"/>
  <c r="R1095" i="10"/>
  <c r="R1080" i="10" l="1"/>
  <c r="K1060" i="10"/>
  <c r="R1060" i="10" s="1"/>
  <c r="R1081" i="10" l="1"/>
  <c r="K552" i="10"/>
  <c r="R552" i="10" s="1"/>
  <c r="K1061" i="10"/>
  <c r="R1061" i="10" s="1"/>
  <c r="K686" i="10"/>
  <c r="R686" i="10" s="1"/>
  <c r="R567" i="10"/>
  <c r="R260" i="10"/>
  <c r="R261" i="10"/>
  <c r="R160" i="10"/>
  <c r="R161" i="10"/>
  <c r="K1058" i="10"/>
  <c r="R1082" i="10" l="1"/>
  <c r="K553" i="10"/>
  <c r="R553" i="10" s="1"/>
  <c r="K568" i="10"/>
  <c r="R568" i="10" s="1"/>
  <c r="K687" i="10"/>
  <c r="R687" i="10" s="1"/>
  <c r="R959" i="10"/>
  <c r="R925" i="10"/>
  <c r="R1083" i="10" l="1"/>
  <c r="K554" i="10"/>
  <c r="R554" i="10" s="1"/>
  <c r="K1062" i="10"/>
  <c r="K688" i="10"/>
  <c r="R688" i="10" s="1"/>
  <c r="K569" i="10"/>
  <c r="R569" i="10" s="1"/>
  <c r="R1062" i="10" l="1"/>
  <c r="K555" i="10"/>
  <c r="R555" i="10" s="1"/>
  <c r="R1084" i="10"/>
  <c r="K1063" i="10"/>
  <c r="K570" i="10"/>
  <c r="R570" i="10" s="1"/>
  <c r="K689" i="10"/>
  <c r="R689" i="10" s="1"/>
  <c r="R924" i="10"/>
  <c r="R1177" i="10"/>
  <c r="R958" i="10"/>
  <c r="G1144" i="10"/>
  <c r="R1144" i="10" s="1"/>
  <c r="R1063" i="10" l="1"/>
  <c r="K556" i="10"/>
  <c r="R556" i="10" s="1"/>
  <c r="K690" i="10"/>
  <c r="R690" i="10" s="1"/>
  <c r="K572" i="10"/>
  <c r="R572" i="10" s="1"/>
  <c r="K571" i="10"/>
  <c r="R571" i="10" s="1"/>
  <c r="K1064" i="10"/>
  <c r="R1064" i="10" s="1"/>
  <c r="K1065" i="10" l="1"/>
  <c r="K691" i="10"/>
  <c r="R691" i="10" s="1"/>
  <c r="K557" i="10"/>
  <c r="R557" i="10" s="1"/>
  <c r="D1189" i="10"/>
  <c r="C1189" i="10"/>
  <c r="B1189" i="10"/>
  <c r="P1172" i="10"/>
  <c r="K1172" i="10"/>
  <c r="F1172" i="10"/>
  <c r="E1172" i="10"/>
  <c r="D1172" i="10"/>
  <c r="C1172" i="10"/>
  <c r="B1172" i="10"/>
  <c r="P1155" i="10"/>
  <c r="K1155" i="10"/>
  <c r="F1155" i="10"/>
  <c r="E1155" i="10"/>
  <c r="D1155" i="10"/>
  <c r="C1155" i="10"/>
  <c r="B1155" i="10"/>
  <c r="R1065" i="10" l="1"/>
  <c r="K692" i="10"/>
  <c r="R692" i="10" s="1"/>
  <c r="K1066" i="10"/>
  <c r="R1066" i="10" s="1"/>
  <c r="G1172" i="10"/>
  <c r="G1155" i="10"/>
  <c r="R1076" i="10"/>
  <c r="R1059" i="10"/>
  <c r="R923" i="10"/>
  <c r="K1067" i="10" l="1"/>
  <c r="K693" i="10"/>
  <c r="R650" i="10"/>
  <c r="R1067" i="10" l="1"/>
  <c r="K1068" i="10"/>
  <c r="K694" i="10"/>
  <c r="R694" i="10" s="1"/>
  <c r="R693" i="10"/>
  <c r="R667" i="10"/>
  <c r="K582" i="10"/>
  <c r="R480" i="10"/>
  <c r="R293" i="10"/>
  <c r="R259" i="10"/>
  <c r="R191" i="10"/>
  <c r="R123" i="10"/>
  <c r="R90" i="10"/>
  <c r="R55" i="10"/>
  <c r="R38" i="10"/>
  <c r="R1109" i="10"/>
  <c r="R1092" i="10"/>
  <c r="R1075" i="10"/>
  <c r="K990" i="10"/>
  <c r="J990" i="10"/>
  <c r="J991" i="10" s="1"/>
  <c r="J992" i="10" s="1"/>
  <c r="J993" i="10" s="1"/>
  <c r="J994" i="10" s="1"/>
  <c r="J995" i="10" s="1"/>
  <c r="J996" i="10" s="1"/>
  <c r="J997" i="10" s="1"/>
  <c r="J998" i="10" s="1"/>
  <c r="J999" i="10" s="1"/>
  <c r="J1000" i="10" s="1"/>
  <c r="J1001" i="10" s="1"/>
  <c r="R906" i="10"/>
  <c r="K854" i="10"/>
  <c r="K786" i="10"/>
  <c r="R1068" i="10" l="1"/>
  <c r="K991" i="10"/>
  <c r="K1069" i="10"/>
  <c r="R1069" i="10" s="1"/>
  <c r="K695" i="10"/>
  <c r="R695" i="10" s="1"/>
  <c r="R464" i="10"/>
  <c r="R396" i="10"/>
  <c r="K91" i="10"/>
  <c r="R91" i="10" s="1"/>
  <c r="R73" i="10"/>
  <c r="R277" i="10"/>
  <c r="R838" i="10"/>
  <c r="R991" i="10"/>
  <c r="R1008" i="10"/>
  <c r="R532" i="10"/>
  <c r="K583" i="10"/>
  <c r="R583" i="10" s="1"/>
  <c r="K907" i="10"/>
  <c r="R907" i="10" s="1"/>
  <c r="R463" i="10"/>
  <c r="R531" i="10"/>
  <c r="R89" i="10"/>
  <c r="R565" i="10"/>
  <c r="R72" i="10"/>
  <c r="R276" i="10"/>
  <c r="R582" i="10"/>
  <c r="R1058" i="10"/>
  <c r="R756" i="10" l="1"/>
  <c r="R397" i="10"/>
  <c r="R465" i="10"/>
  <c r="R278" i="10"/>
  <c r="K92" i="10"/>
  <c r="R92" i="10" s="1"/>
  <c r="K584" i="10"/>
  <c r="R584" i="10" s="1"/>
  <c r="R533" i="10"/>
  <c r="K839" i="10"/>
  <c r="R839" i="10" s="1"/>
  <c r="K908" i="10"/>
  <c r="R908" i="10" s="1"/>
  <c r="R1009" i="10"/>
  <c r="K992" i="10"/>
  <c r="R992" i="10" s="1"/>
  <c r="P1138" i="10"/>
  <c r="K1138" i="10"/>
  <c r="F1138" i="10"/>
  <c r="E1138" i="10"/>
  <c r="D1138" i="10"/>
  <c r="C1138" i="10"/>
  <c r="B1138" i="10"/>
  <c r="G1138" i="10"/>
  <c r="R757" i="10" l="1"/>
  <c r="R398" i="10"/>
  <c r="R466" i="10"/>
  <c r="R279" i="10"/>
  <c r="K93" i="10"/>
  <c r="R93" i="10" s="1"/>
  <c r="R75" i="10"/>
  <c r="K993" i="10"/>
  <c r="R993" i="10" s="1"/>
  <c r="R1010" i="10"/>
  <c r="K840" i="10"/>
  <c r="R840" i="10" s="1"/>
  <c r="R534" i="10"/>
  <c r="K585" i="10"/>
  <c r="R585" i="10" s="1"/>
  <c r="P1121" i="10"/>
  <c r="K1121" i="10"/>
  <c r="F1121" i="10"/>
  <c r="E1121" i="10"/>
  <c r="D1121" i="10"/>
  <c r="C1121" i="10"/>
  <c r="B1121" i="10"/>
  <c r="P1104" i="10"/>
  <c r="K1104" i="10"/>
  <c r="B1104" i="10"/>
  <c r="P1087" i="10"/>
  <c r="K1087" i="10"/>
  <c r="F1087" i="10"/>
  <c r="E1087" i="10"/>
  <c r="D1087" i="10"/>
  <c r="C1087" i="10"/>
  <c r="B1087" i="10"/>
  <c r="P1070" i="10"/>
  <c r="K1070" i="10"/>
  <c r="F1070" i="10"/>
  <c r="E1070" i="10"/>
  <c r="D1070" i="10"/>
  <c r="C1070" i="10"/>
  <c r="B1070" i="10"/>
  <c r="G1070" i="10" l="1"/>
  <c r="R758" i="10"/>
  <c r="R1011" i="10"/>
  <c r="K994" i="10"/>
  <c r="R994" i="10" s="1"/>
  <c r="K586" i="10"/>
  <c r="R586" i="10" s="1"/>
  <c r="R535" i="10"/>
  <c r="K841" i="10"/>
  <c r="R841" i="10" s="1"/>
  <c r="R909" i="10"/>
  <c r="R518" i="10"/>
  <c r="R467" i="10"/>
  <c r="R399" i="10"/>
  <c r="R76" i="10"/>
  <c r="R280" i="10"/>
  <c r="G1104" i="10"/>
  <c r="G1121" i="10"/>
  <c r="G1087" i="10"/>
  <c r="R759" i="10" l="1"/>
  <c r="R282" i="10"/>
  <c r="R910" i="10"/>
  <c r="K842" i="10"/>
  <c r="R842" i="10" s="1"/>
  <c r="K995" i="10"/>
  <c r="R995" i="10" s="1"/>
  <c r="R1012" i="10"/>
  <c r="R281" i="10"/>
  <c r="K94" i="10"/>
  <c r="R94" i="10" s="1"/>
  <c r="R77" i="10"/>
  <c r="R468" i="10"/>
  <c r="R519" i="10"/>
  <c r="R536" i="10"/>
  <c r="K587" i="10"/>
  <c r="K50" i="10"/>
  <c r="P50" i="10"/>
  <c r="B67" i="10"/>
  <c r="C67" i="10"/>
  <c r="D67" i="10"/>
  <c r="E67" i="10"/>
  <c r="F67" i="10"/>
  <c r="K67" i="10"/>
  <c r="P67" i="10"/>
  <c r="B84" i="10"/>
  <c r="C84" i="10"/>
  <c r="D84" i="10"/>
  <c r="E84" i="10"/>
  <c r="F84" i="10"/>
  <c r="P84" i="10"/>
  <c r="P101" i="10"/>
  <c r="B101" i="10"/>
  <c r="C101" i="10"/>
  <c r="D101" i="10"/>
  <c r="E101" i="10"/>
  <c r="F101" i="10"/>
  <c r="P118" i="10"/>
  <c r="G135" i="10"/>
  <c r="B135" i="10"/>
  <c r="C135" i="10"/>
  <c r="E135" i="10"/>
  <c r="F135" i="10"/>
  <c r="K135" i="10"/>
  <c r="P135" i="10"/>
  <c r="B152" i="10"/>
  <c r="C152" i="10"/>
  <c r="D152" i="10"/>
  <c r="E152" i="10"/>
  <c r="F152" i="10"/>
  <c r="K152" i="10"/>
  <c r="P152" i="10"/>
  <c r="G169" i="10"/>
  <c r="K169" i="10"/>
  <c r="B169" i="10"/>
  <c r="C169" i="10"/>
  <c r="D169" i="10"/>
  <c r="E169" i="10"/>
  <c r="F169" i="10"/>
  <c r="P169" i="10"/>
  <c r="B186" i="10"/>
  <c r="C186" i="10"/>
  <c r="D186" i="10"/>
  <c r="P186" i="10"/>
  <c r="B203" i="10"/>
  <c r="C203" i="10"/>
  <c r="D203" i="10"/>
  <c r="E203" i="10"/>
  <c r="F203" i="10"/>
  <c r="K203" i="10"/>
  <c r="P203" i="10"/>
  <c r="G220" i="10"/>
  <c r="B220" i="10"/>
  <c r="C220" i="10"/>
  <c r="D220" i="10"/>
  <c r="E220" i="10"/>
  <c r="F220" i="10"/>
  <c r="K220" i="10"/>
  <c r="P220" i="10"/>
  <c r="B237" i="10"/>
  <c r="C237" i="10"/>
  <c r="D237" i="10"/>
  <c r="E237" i="10"/>
  <c r="F237" i="10"/>
  <c r="P237" i="10"/>
  <c r="B254" i="10"/>
  <c r="C254" i="10"/>
  <c r="D254" i="10"/>
  <c r="E254" i="10"/>
  <c r="F254" i="10"/>
  <c r="P254" i="10"/>
  <c r="B271" i="10"/>
  <c r="C271" i="10"/>
  <c r="D271" i="10"/>
  <c r="E271" i="10"/>
  <c r="F271" i="10"/>
  <c r="K271" i="10"/>
  <c r="P271" i="10"/>
  <c r="G288" i="10"/>
  <c r="K288" i="10"/>
  <c r="B288" i="10"/>
  <c r="C288" i="10"/>
  <c r="D288" i="10"/>
  <c r="E288" i="10"/>
  <c r="P288" i="10"/>
  <c r="B305" i="10"/>
  <c r="C305" i="10"/>
  <c r="D305" i="10"/>
  <c r="E305" i="10"/>
  <c r="K305" i="10"/>
  <c r="P305" i="10"/>
  <c r="G322" i="10"/>
  <c r="B322" i="10"/>
  <c r="C322" i="10"/>
  <c r="D322" i="10"/>
  <c r="E322" i="10"/>
  <c r="F322" i="10"/>
  <c r="K322" i="10"/>
  <c r="B339" i="10"/>
  <c r="C339" i="10"/>
  <c r="D339" i="10"/>
  <c r="E339" i="10"/>
  <c r="F339" i="10"/>
  <c r="P339" i="10"/>
  <c r="B356" i="10"/>
  <c r="C356" i="10"/>
  <c r="D356" i="10"/>
  <c r="E356" i="10"/>
  <c r="F356" i="10"/>
  <c r="P356" i="10"/>
  <c r="K373" i="10"/>
  <c r="B373" i="10"/>
  <c r="C373" i="10"/>
  <c r="D373" i="10"/>
  <c r="E373" i="10"/>
  <c r="F373" i="10"/>
  <c r="P373" i="10"/>
  <c r="B390" i="10"/>
  <c r="C390" i="10"/>
  <c r="D390" i="10"/>
  <c r="E390" i="10"/>
  <c r="F390" i="10"/>
  <c r="B407" i="10"/>
  <c r="C407" i="10"/>
  <c r="D407" i="10"/>
  <c r="F407" i="10"/>
  <c r="P407" i="10"/>
  <c r="K424" i="10"/>
  <c r="P424" i="10"/>
  <c r="B441" i="10"/>
  <c r="C441" i="10"/>
  <c r="D441" i="10"/>
  <c r="E441" i="10"/>
  <c r="F441" i="10"/>
  <c r="K441" i="10"/>
  <c r="P441" i="10"/>
  <c r="B458" i="10"/>
  <c r="C458" i="10"/>
  <c r="D458" i="10"/>
  <c r="E458" i="10"/>
  <c r="F458" i="10"/>
  <c r="P475" i="10"/>
  <c r="B475" i="10"/>
  <c r="C475" i="10"/>
  <c r="D475" i="10"/>
  <c r="E475" i="10"/>
  <c r="F475" i="10"/>
  <c r="B492" i="10"/>
  <c r="C492" i="10"/>
  <c r="D492" i="10"/>
  <c r="E492" i="10"/>
  <c r="F492" i="10"/>
  <c r="K492" i="10"/>
  <c r="P492" i="10"/>
  <c r="P509" i="10"/>
  <c r="B509" i="10"/>
  <c r="C509" i="10"/>
  <c r="D509" i="10"/>
  <c r="E509" i="10"/>
  <c r="F509" i="10"/>
  <c r="B526" i="10"/>
  <c r="C526" i="10"/>
  <c r="D526" i="10"/>
  <c r="E526" i="10"/>
  <c r="F526" i="10"/>
  <c r="P526" i="10"/>
  <c r="B543" i="10"/>
  <c r="C543" i="10"/>
  <c r="D543" i="10"/>
  <c r="E543" i="10"/>
  <c r="F543" i="10"/>
  <c r="P543" i="10"/>
  <c r="B560" i="10"/>
  <c r="C560" i="10"/>
  <c r="D560" i="10"/>
  <c r="E560" i="10"/>
  <c r="F560" i="10"/>
  <c r="K560" i="10"/>
  <c r="K577" i="10"/>
  <c r="B577" i="10"/>
  <c r="C577" i="10"/>
  <c r="D577" i="10"/>
  <c r="E577" i="10"/>
  <c r="F577" i="10"/>
  <c r="P577" i="10"/>
  <c r="B594" i="10"/>
  <c r="C594" i="10"/>
  <c r="D594" i="10"/>
  <c r="E594" i="10"/>
  <c r="F594" i="10"/>
  <c r="P594" i="10"/>
  <c r="G611" i="10"/>
  <c r="B611" i="10"/>
  <c r="C611" i="10"/>
  <c r="D611" i="10"/>
  <c r="E611" i="10"/>
  <c r="F611" i="10"/>
  <c r="K611" i="10"/>
  <c r="P611" i="10"/>
  <c r="B628" i="10"/>
  <c r="C628" i="10"/>
  <c r="D628" i="10"/>
  <c r="E628" i="10"/>
  <c r="F628" i="10"/>
  <c r="K628" i="10"/>
  <c r="P628" i="10"/>
  <c r="B645" i="10"/>
  <c r="C645" i="10"/>
  <c r="D645" i="10"/>
  <c r="E645" i="10"/>
  <c r="P645" i="10"/>
  <c r="B662" i="10"/>
  <c r="C662" i="10"/>
  <c r="D662" i="10"/>
  <c r="E662" i="10"/>
  <c r="F662" i="10"/>
  <c r="K662" i="10"/>
  <c r="P662" i="10"/>
  <c r="K679" i="10"/>
  <c r="B679" i="10"/>
  <c r="C679" i="10"/>
  <c r="D679" i="10"/>
  <c r="E679" i="10"/>
  <c r="F679" i="10"/>
  <c r="P679" i="10"/>
  <c r="R684" i="10"/>
  <c r="B696" i="10"/>
  <c r="C696" i="10"/>
  <c r="D696" i="10"/>
  <c r="E696" i="10"/>
  <c r="F696" i="10"/>
  <c r="P696" i="10"/>
  <c r="R701" i="10"/>
  <c r="B713" i="10"/>
  <c r="C713" i="10"/>
  <c r="D713" i="10"/>
  <c r="E713" i="10"/>
  <c r="F713" i="10"/>
  <c r="P713" i="10"/>
  <c r="R718" i="10"/>
  <c r="K730" i="10"/>
  <c r="B730" i="10"/>
  <c r="C730" i="10"/>
  <c r="D730" i="10"/>
  <c r="E730" i="10"/>
  <c r="F730" i="10"/>
  <c r="P730" i="10"/>
  <c r="K747" i="10"/>
  <c r="B747" i="10"/>
  <c r="C747" i="10"/>
  <c r="D747" i="10"/>
  <c r="E747" i="10"/>
  <c r="F747" i="10"/>
  <c r="P747" i="10"/>
  <c r="P764" i="10"/>
  <c r="B764" i="10"/>
  <c r="C764" i="10"/>
  <c r="D764" i="10"/>
  <c r="E764" i="10"/>
  <c r="F764" i="10"/>
  <c r="R769" i="10"/>
  <c r="B781" i="10"/>
  <c r="C781" i="10"/>
  <c r="D781" i="10"/>
  <c r="E781" i="10"/>
  <c r="F781" i="10"/>
  <c r="P781" i="10"/>
  <c r="R786" i="10"/>
  <c r="J786" i="10"/>
  <c r="J787" i="10" s="1"/>
  <c r="J788" i="10" s="1"/>
  <c r="J789" i="10" s="1"/>
  <c r="J790" i="10" s="1"/>
  <c r="J791" i="10" s="1"/>
  <c r="J792" i="10" s="1"/>
  <c r="J793" i="10" s="1"/>
  <c r="J794" i="10" s="1"/>
  <c r="J795" i="10" s="1"/>
  <c r="J796" i="10" s="1"/>
  <c r="J797" i="10" s="1"/>
  <c r="B798" i="10"/>
  <c r="C798" i="10"/>
  <c r="D798" i="10"/>
  <c r="E798" i="10"/>
  <c r="F798" i="10"/>
  <c r="P798" i="10"/>
  <c r="R803" i="10"/>
  <c r="B815" i="10"/>
  <c r="C815" i="10"/>
  <c r="D815" i="10"/>
  <c r="E815" i="10"/>
  <c r="F815" i="10"/>
  <c r="P815" i="10"/>
  <c r="R820" i="10"/>
  <c r="B832" i="10"/>
  <c r="C832" i="10"/>
  <c r="D832" i="10"/>
  <c r="E832" i="10"/>
  <c r="F832" i="10"/>
  <c r="P832" i="10"/>
  <c r="R837" i="10"/>
  <c r="B849" i="10"/>
  <c r="C849" i="10"/>
  <c r="D849" i="10"/>
  <c r="E849" i="10"/>
  <c r="F849" i="10"/>
  <c r="P849" i="10"/>
  <c r="R854" i="10"/>
  <c r="B866" i="10"/>
  <c r="E866" i="10"/>
  <c r="F866" i="10"/>
  <c r="P866" i="10"/>
  <c r="R871" i="10"/>
  <c r="B883" i="10"/>
  <c r="C883" i="10"/>
  <c r="D883" i="10"/>
  <c r="E883" i="10"/>
  <c r="F883" i="10"/>
  <c r="P883" i="10"/>
  <c r="B900" i="10"/>
  <c r="C900" i="10"/>
  <c r="D900" i="10"/>
  <c r="E900" i="10"/>
  <c r="F900" i="10"/>
  <c r="P900" i="10"/>
  <c r="R905" i="10"/>
  <c r="B917" i="10"/>
  <c r="C917" i="10"/>
  <c r="D917" i="10"/>
  <c r="E917" i="10"/>
  <c r="F917" i="10"/>
  <c r="P917" i="10"/>
  <c r="R922" i="10"/>
  <c r="B934" i="10"/>
  <c r="C934" i="10"/>
  <c r="D934" i="10"/>
  <c r="E934" i="10"/>
  <c r="F934" i="10"/>
  <c r="K934" i="10"/>
  <c r="P934" i="10"/>
  <c r="K951" i="10"/>
  <c r="B951" i="10"/>
  <c r="C951" i="10"/>
  <c r="D951" i="10"/>
  <c r="E951" i="10"/>
  <c r="F951" i="10"/>
  <c r="P951" i="10"/>
  <c r="K968" i="10"/>
  <c r="B968" i="10"/>
  <c r="C968" i="10"/>
  <c r="D968" i="10"/>
  <c r="E968" i="10"/>
  <c r="F968" i="10"/>
  <c r="P968" i="10"/>
  <c r="J973" i="10"/>
  <c r="J974" i="10" s="1"/>
  <c r="J975" i="10" s="1"/>
  <c r="J976" i="10" s="1"/>
  <c r="J977" i="10" s="1"/>
  <c r="J978" i="10" s="1"/>
  <c r="J979" i="10" s="1"/>
  <c r="J980" i="10" s="1"/>
  <c r="J981" i="10" s="1"/>
  <c r="J982" i="10" s="1"/>
  <c r="J983" i="10" s="1"/>
  <c r="J984" i="10" s="1"/>
  <c r="K973" i="10"/>
  <c r="B985" i="10"/>
  <c r="C985" i="10"/>
  <c r="D985" i="10"/>
  <c r="E985" i="10"/>
  <c r="F985" i="10"/>
  <c r="P985" i="10"/>
  <c r="R990" i="10"/>
  <c r="B1002" i="10"/>
  <c r="C1002" i="10"/>
  <c r="D1002" i="10"/>
  <c r="E1002" i="10"/>
  <c r="F1002" i="10"/>
  <c r="P1002" i="10"/>
  <c r="R1007" i="10"/>
  <c r="B1019" i="10"/>
  <c r="C1019" i="10"/>
  <c r="D1019" i="10"/>
  <c r="E1019" i="10"/>
  <c r="F1019" i="10"/>
  <c r="P1019" i="10"/>
  <c r="R1024" i="10"/>
  <c r="B1036" i="10"/>
  <c r="C1036" i="10"/>
  <c r="D1036" i="10"/>
  <c r="E1036" i="10"/>
  <c r="F1036" i="10"/>
  <c r="P1036" i="10"/>
  <c r="R1041" i="10"/>
  <c r="B1053" i="10"/>
  <c r="C1053" i="10"/>
  <c r="D1053" i="10"/>
  <c r="E1053" i="10"/>
  <c r="F1053" i="10"/>
  <c r="P1053" i="10"/>
  <c r="K974" i="10" l="1"/>
  <c r="R974" i="10" s="1"/>
  <c r="K787" i="10"/>
  <c r="G1053" i="10"/>
  <c r="G1036" i="10"/>
  <c r="G1019" i="10"/>
  <c r="G1002" i="10"/>
  <c r="G985" i="10"/>
  <c r="G934" i="10"/>
  <c r="G917" i="10"/>
  <c r="G900" i="10"/>
  <c r="G883" i="10"/>
  <c r="G866" i="10"/>
  <c r="G849" i="10"/>
  <c r="G832" i="10"/>
  <c r="G815" i="10"/>
  <c r="G798" i="10"/>
  <c r="G781" i="10"/>
  <c r="G764" i="10"/>
  <c r="G747" i="10"/>
  <c r="G696" i="10"/>
  <c r="G662" i="10"/>
  <c r="G594" i="10"/>
  <c r="G577" i="10"/>
  <c r="G560" i="10"/>
  <c r="G526" i="10"/>
  <c r="G492" i="10"/>
  <c r="G475" i="10"/>
  <c r="G458" i="10"/>
  <c r="G407" i="10"/>
  <c r="G390" i="10"/>
  <c r="G373" i="10"/>
  <c r="K844" i="10"/>
  <c r="R844" i="10" s="1"/>
  <c r="K588" i="10"/>
  <c r="R588" i="10" s="1"/>
  <c r="R520" i="10"/>
  <c r="K95" i="10"/>
  <c r="K996" i="10"/>
  <c r="R996" i="10" s="1"/>
  <c r="K843" i="10"/>
  <c r="R821" i="10"/>
  <c r="R973" i="10"/>
  <c r="G628" i="10"/>
  <c r="G254" i="10"/>
  <c r="G441" i="10"/>
  <c r="G305" i="10"/>
  <c r="G713" i="10"/>
  <c r="G152" i="10"/>
  <c r="G339" i="10"/>
  <c r="G271" i="10"/>
  <c r="G84" i="10"/>
  <c r="G951" i="10"/>
  <c r="G730" i="10"/>
  <c r="G237" i="10"/>
  <c r="K696" i="10"/>
  <c r="K118" i="10"/>
  <c r="G509" i="10"/>
  <c r="K645" i="10"/>
  <c r="G356" i="10"/>
  <c r="G101" i="10"/>
  <c r="G203" i="10"/>
  <c r="G968" i="10"/>
  <c r="R872" i="10"/>
  <c r="G679" i="10"/>
  <c r="R616" i="10"/>
  <c r="J854" i="10"/>
  <c r="J855" i="10" s="1"/>
  <c r="J856" i="10" s="1"/>
  <c r="J857" i="10" s="1"/>
  <c r="J858" i="10" s="1"/>
  <c r="J859" i="10" s="1"/>
  <c r="J860" i="10" s="1"/>
  <c r="J861" i="10" s="1"/>
  <c r="J862" i="10" s="1"/>
  <c r="J863" i="10" s="1"/>
  <c r="J864" i="10" s="1"/>
  <c r="J865" i="10" s="1"/>
  <c r="K356" i="10"/>
  <c r="K855" i="10" l="1"/>
  <c r="R1042" i="10"/>
  <c r="R1025" i="10"/>
  <c r="K846" i="10"/>
  <c r="K845" i="10"/>
  <c r="R845" i="10" s="1"/>
  <c r="R912" i="10"/>
  <c r="K997" i="10"/>
  <c r="R997" i="10" s="1"/>
  <c r="R1015" i="10"/>
  <c r="R1014" i="10"/>
  <c r="K96" i="10"/>
  <c r="R96" i="10" s="1"/>
  <c r="R79" i="10"/>
  <c r="R470" i="10"/>
  <c r="R538" i="10"/>
  <c r="K589" i="10"/>
  <c r="R589" i="10" s="1"/>
  <c r="R760" i="10"/>
  <c r="R846" i="10"/>
  <c r="R911" i="10"/>
  <c r="R843" i="10"/>
  <c r="R1013" i="10"/>
  <c r="K1019" i="10"/>
  <c r="R95" i="10"/>
  <c r="R78" i="10"/>
  <c r="R469" i="10"/>
  <c r="R537" i="10"/>
  <c r="R855" i="10"/>
  <c r="R770" i="10"/>
  <c r="R873" i="10"/>
  <c r="R1043" i="10"/>
  <c r="K1026" i="10"/>
  <c r="R1026" i="10" s="1"/>
  <c r="K788" i="10"/>
  <c r="R788" i="10" s="1"/>
  <c r="R804" i="10"/>
  <c r="K975" i="10"/>
  <c r="R975" i="10" s="1"/>
  <c r="R787" i="10"/>
  <c r="K822" i="10"/>
  <c r="R822" i="10" s="1"/>
  <c r="G645" i="10"/>
  <c r="F645" i="10"/>
  <c r="K847" i="10" l="1"/>
  <c r="R762" i="10"/>
  <c r="R761" i="10"/>
  <c r="K590" i="10"/>
  <c r="K97" i="10"/>
  <c r="K998" i="10"/>
  <c r="R998" i="10" s="1"/>
  <c r="K856" i="10"/>
  <c r="R856" i="10" s="1"/>
  <c r="R703" i="10"/>
  <c r="R702" i="10"/>
  <c r="K823" i="10"/>
  <c r="R823" i="10" s="1"/>
  <c r="R805" i="10"/>
  <c r="R874" i="10"/>
  <c r="K976" i="10"/>
  <c r="R976" i="10" s="1"/>
  <c r="K789" i="10"/>
  <c r="K1027" i="10"/>
  <c r="R1027" i="10" s="1"/>
  <c r="R1044" i="10"/>
  <c r="K771" i="10"/>
  <c r="R771" i="10" s="1"/>
  <c r="A103" i="10" l="1"/>
  <c r="R847" i="10"/>
  <c r="K848" i="10"/>
  <c r="K526" i="10"/>
  <c r="R913" i="10"/>
  <c r="K999" i="10"/>
  <c r="R999" i="10" s="1"/>
  <c r="R97" i="10"/>
  <c r="K98" i="10"/>
  <c r="R80" i="10"/>
  <c r="R471" i="10"/>
  <c r="R539" i="10"/>
  <c r="K543" i="10"/>
  <c r="R590" i="10"/>
  <c r="K591" i="10"/>
  <c r="K977" i="10"/>
  <c r="R977" i="10" s="1"/>
  <c r="K790" i="10"/>
  <c r="R790" i="10" s="1"/>
  <c r="K857" i="10"/>
  <c r="R857" i="10" s="1"/>
  <c r="K824" i="10"/>
  <c r="R824" i="10" s="1"/>
  <c r="R789" i="10"/>
  <c r="K772" i="10"/>
  <c r="R772" i="10" s="1"/>
  <c r="R806" i="10"/>
  <c r="B103" i="10" l="1"/>
  <c r="A120" i="10"/>
  <c r="K1000" i="10"/>
  <c r="R1000" i="10" s="1"/>
  <c r="R915" i="10"/>
  <c r="R848" i="10"/>
  <c r="K849" i="10"/>
  <c r="R763" i="10"/>
  <c r="K764" i="10"/>
  <c r="R473" i="10"/>
  <c r="R82" i="10"/>
  <c r="K99" i="10"/>
  <c r="R99" i="10" s="1"/>
  <c r="R591" i="10"/>
  <c r="K594" i="10"/>
  <c r="R540" i="10"/>
  <c r="R472" i="10"/>
  <c r="R81" i="10"/>
  <c r="K237" i="10"/>
  <c r="R98" i="10"/>
  <c r="K254" i="10"/>
  <c r="R914" i="10"/>
  <c r="R876" i="10"/>
  <c r="K825" i="10"/>
  <c r="K900" i="10"/>
  <c r="K978" i="10"/>
  <c r="R1045" i="10"/>
  <c r="K1028" i="10"/>
  <c r="R1028" i="10" s="1"/>
  <c r="K791" i="10"/>
  <c r="R875" i="10"/>
  <c r="K773" i="10"/>
  <c r="R773" i="10" s="1"/>
  <c r="R704" i="10"/>
  <c r="R807" i="10"/>
  <c r="K858" i="10"/>
  <c r="R705" i="10"/>
  <c r="B120" i="10" l="1"/>
  <c r="A137" i="10"/>
  <c r="K1001" i="10"/>
  <c r="R1001" i="10" s="1"/>
  <c r="K186" i="10"/>
  <c r="K100" i="10"/>
  <c r="K859" i="10"/>
  <c r="R859" i="10" s="1"/>
  <c r="R858" i="10"/>
  <c r="K792" i="10"/>
  <c r="R792" i="10" s="1"/>
  <c r="K1029" i="10"/>
  <c r="R978" i="10"/>
  <c r="K979" i="10"/>
  <c r="R825" i="10"/>
  <c r="K826" i="10"/>
  <c r="R706" i="10"/>
  <c r="K774" i="10"/>
  <c r="R774" i="10" s="1"/>
  <c r="R791" i="10"/>
  <c r="B137" i="10" l="1"/>
  <c r="A154" i="10"/>
  <c r="B154" i="10" s="1"/>
  <c r="K1002" i="10"/>
  <c r="R916" i="10"/>
  <c r="K917" i="10"/>
  <c r="R474" i="10"/>
  <c r="K475" i="10"/>
  <c r="K458" i="10"/>
  <c r="K407" i="10"/>
  <c r="K339" i="10"/>
  <c r="R100" i="10"/>
  <c r="K101" i="10"/>
  <c r="R83" i="10"/>
  <c r="K84" i="10"/>
  <c r="R878" i="10"/>
  <c r="K827" i="10"/>
  <c r="R827" i="10" s="1"/>
  <c r="K980" i="10"/>
  <c r="R980" i="10" s="1"/>
  <c r="K793" i="10"/>
  <c r="K775" i="10"/>
  <c r="R775" i="10" s="1"/>
  <c r="R877" i="10"/>
  <c r="R826" i="10"/>
  <c r="R979" i="10"/>
  <c r="R1046" i="10"/>
  <c r="R1029" i="10"/>
  <c r="K1030" i="10"/>
  <c r="R1030" i="10" s="1"/>
  <c r="R809" i="10"/>
  <c r="R808" i="10"/>
  <c r="K860" i="10"/>
  <c r="K861" i="10" l="1"/>
  <c r="R861" i="10" s="1"/>
  <c r="K1031" i="10"/>
  <c r="R1031" i="10" s="1"/>
  <c r="K1048" i="10"/>
  <c r="R1048" i="10" s="1"/>
  <c r="R708" i="10"/>
  <c r="K776" i="10"/>
  <c r="R776" i="10" s="1"/>
  <c r="R793" i="10"/>
  <c r="K794" i="10"/>
  <c r="K981" i="10"/>
  <c r="K828" i="10"/>
  <c r="R860" i="10"/>
  <c r="R1047" i="10"/>
  <c r="R707" i="10"/>
  <c r="A171" i="10"/>
  <c r="B171" i="10" s="1"/>
  <c r="R879" i="10" l="1"/>
  <c r="R828" i="10"/>
  <c r="K829" i="10"/>
  <c r="R981" i="10"/>
  <c r="K982" i="10"/>
  <c r="R794" i="10"/>
  <c r="K795" i="10"/>
  <c r="K777" i="10"/>
  <c r="R777" i="10" s="1"/>
  <c r="K1049" i="10"/>
  <c r="K1032" i="10"/>
  <c r="R810" i="10"/>
  <c r="K862" i="10"/>
  <c r="A188" i="10"/>
  <c r="B188" i="10" l="1"/>
  <c r="A205" i="10"/>
  <c r="K983" i="10"/>
  <c r="R983" i="10" s="1"/>
  <c r="K796" i="10"/>
  <c r="R796" i="10" s="1"/>
  <c r="R862" i="10"/>
  <c r="K863" i="10"/>
  <c r="R811" i="10"/>
  <c r="R1032" i="10"/>
  <c r="K1033" i="10"/>
  <c r="R1049" i="10"/>
  <c r="K1050" i="10"/>
  <c r="R709" i="10"/>
  <c r="K713" i="10"/>
  <c r="K778" i="10"/>
  <c r="R795" i="10"/>
  <c r="R982" i="10"/>
  <c r="R829" i="10"/>
  <c r="K832" i="10"/>
  <c r="R880" i="10"/>
  <c r="K883" i="10"/>
  <c r="B205" i="10" l="1"/>
  <c r="A222" i="10"/>
  <c r="B222" i="10" s="1"/>
  <c r="K1051" i="10"/>
  <c r="R1051" i="10" s="1"/>
  <c r="K1034" i="10"/>
  <c r="R1034" i="10" s="1"/>
  <c r="K984" i="10"/>
  <c r="K864" i="10"/>
  <c r="R864" i="10" s="1"/>
  <c r="R813" i="10"/>
  <c r="K797" i="10"/>
  <c r="K779" i="10"/>
  <c r="R779" i="10" s="1"/>
  <c r="R778" i="10"/>
  <c r="R1050" i="10"/>
  <c r="R1033" i="10"/>
  <c r="R812" i="10"/>
  <c r="R863" i="10"/>
  <c r="K1052" i="10" l="1"/>
  <c r="K1035" i="10"/>
  <c r="R984" i="10"/>
  <c r="K985" i="10"/>
  <c r="K865" i="10"/>
  <c r="R797" i="10"/>
  <c r="K798" i="10"/>
  <c r="K780" i="10"/>
  <c r="A239" i="10"/>
  <c r="B239" i="10" s="1"/>
  <c r="R1052" i="10" l="1"/>
  <c r="K1053" i="10"/>
  <c r="R1035" i="10"/>
  <c r="K1036" i="10"/>
  <c r="R865" i="10"/>
  <c r="K866" i="10"/>
  <c r="R814" i="10"/>
  <c r="K815" i="10"/>
  <c r="R780" i="10"/>
  <c r="K781" i="10"/>
  <c r="A256" i="10"/>
  <c r="B256" i="10" l="1"/>
  <c r="A273" i="10"/>
  <c r="A290" i="10" l="1"/>
  <c r="B273" i="10"/>
  <c r="B290" i="10" l="1"/>
  <c r="A307" i="10"/>
  <c r="B307" i="10" l="1"/>
  <c r="A324" i="10"/>
  <c r="A341" i="10" l="1"/>
  <c r="B324" i="10"/>
  <c r="A358" i="10" l="1"/>
  <c r="B341" i="10"/>
  <c r="B358" i="10" l="1"/>
  <c r="A375" i="10"/>
  <c r="A392" i="10" l="1"/>
  <c r="B375" i="10"/>
  <c r="A409" i="10" l="1"/>
  <c r="B392" i="10"/>
  <c r="B409" i="10" l="1"/>
  <c r="A426" i="10"/>
  <c r="B426" i="10" l="1"/>
  <c r="A443" i="10"/>
  <c r="A460" i="10" l="1"/>
  <c r="B443" i="10"/>
  <c r="B460" i="10" l="1"/>
  <c r="A477" i="10"/>
  <c r="B477" i="10" l="1"/>
  <c r="A494" i="10"/>
  <c r="B494" i="10" l="1"/>
  <c r="A511" i="10"/>
  <c r="B511" i="10" l="1"/>
  <c r="A528" i="10"/>
  <c r="B528" i="10" l="1"/>
  <c r="A545" i="10"/>
  <c r="B545" i="10" l="1"/>
  <c r="A562" i="10"/>
  <c r="A579" i="10" l="1"/>
  <c r="B562" i="10"/>
  <c r="A596" i="10" l="1"/>
  <c r="B579" i="10"/>
  <c r="A613" i="10" l="1"/>
  <c r="A630" i="10" l="1"/>
  <c r="A647" i="10" l="1"/>
  <c r="B647" i="10" l="1"/>
  <c r="A664" i="10"/>
  <c r="A681" i="10" l="1"/>
  <c r="A698" i="10" l="1"/>
  <c r="B681" i="10"/>
  <c r="A715" i="10" l="1"/>
  <c r="A732" i="10" l="1"/>
  <c r="B732" i="10" l="1"/>
  <c r="A749" i="10"/>
  <c r="B749" i="10" l="1"/>
  <c r="A766" i="10"/>
  <c r="B766" i="10" l="1"/>
  <c r="A783" i="10"/>
  <c r="A800" i="10" l="1"/>
  <c r="B783" i="10"/>
  <c r="A817" i="10" l="1"/>
  <c r="B800" i="10"/>
  <c r="B817" i="10" l="1"/>
  <c r="A834" i="10"/>
  <c r="A851" i="10" l="1"/>
  <c r="B851" i="10" l="1"/>
  <c r="A868" i="10"/>
  <c r="A885" i="10" l="1"/>
  <c r="A902" i="10" l="1"/>
  <c r="B885" i="10"/>
  <c r="B902" i="10" l="1"/>
  <c r="A919" i="10"/>
  <c r="B919" i="10" l="1"/>
  <c r="A936" i="10"/>
  <c r="B936" i="10" l="1"/>
  <c r="A953" i="10"/>
  <c r="A970" i="10" l="1"/>
  <c r="A987" i="10" l="1"/>
  <c r="B970" i="10"/>
  <c r="B987" i="10" l="1"/>
  <c r="A1004" i="10"/>
  <c r="B1004" i="10" l="1"/>
  <c r="A1021" i="10"/>
  <c r="B1021" i="10" l="1"/>
  <c r="A1038" i="10"/>
  <c r="B1038" i="10" l="1"/>
  <c r="A1055" i="10"/>
  <c r="A1089" i="10" s="1"/>
  <c r="A1106" i="10" s="1"/>
  <c r="A1123" i="10" s="1"/>
  <c r="A1140" i="10" s="1"/>
  <c r="A1157" i="10" s="1"/>
  <c r="A1174" i="10" s="1"/>
  <c r="A1191" i="10" s="1"/>
  <c r="A1208" i="10" s="1"/>
  <c r="A1225" i="10" s="1"/>
  <c r="F186" i="10"/>
  <c r="G186" i="10" l="1"/>
  <c r="K509" i="10" l="1"/>
  <c r="P390" i="10" l="1"/>
  <c r="P458" i="10"/>
  <c r="P322" i="10"/>
  <c r="R318" i="10"/>
  <c r="P551" i="10"/>
  <c r="P560" i="10" s="1"/>
</calcChain>
</file>

<file path=xl/sharedStrings.xml><?xml version="1.0" encoding="utf-8"?>
<sst xmlns="http://schemas.openxmlformats.org/spreadsheetml/2006/main" count="3157" uniqueCount="58">
  <si>
    <t>JUMLAH</t>
  </si>
  <si>
    <t>PINJAMAN REGULER</t>
  </si>
  <si>
    <t>PINJAMAN SEBRAK</t>
  </si>
  <si>
    <t>JUMLAH 
TAGIHAN</t>
  </si>
  <si>
    <t>BULAN</t>
  </si>
  <si>
    <t>SIMPOK</t>
  </si>
  <si>
    <t>SIMWA</t>
  </si>
  <si>
    <t>SSR</t>
  </si>
  <si>
    <t>SHR</t>
  </si>
  <si>
    <t>SREK</t>
  </si>
  <si>
    <t>SIMPANAN</t>
  </si>
  <si>
    <t>KE</t>
  </si>
  <si>
    <t>SISA</t>
  </si>
  <si>
    <t>JASA</t>
  </si>
  <si>
    <t>+/-</t>
  </si>
  <si>
    <t>DES</t>
  </si>
  <si>
    <t>JAN</t>
  </si>
  <si>
    <t xml:space="preserve"> FEB</t>
  </si>
  <si>
    <t>MAR</t>
  </si>
  <si>
    <t>APR</t>
  </si>
  <si>
    <t>MEI</t>
  </si>
  <si>
    <t>JUN</t>
  </si>
  <si>
    <t>JUL</t>
  </si>
  <si>
    <t>AGUST</t>
  </si>
  <si>
    <t>SEP</t>
  </si>
  <si>
    <t>OKT</t>
  </si>
  <si>
    <t>NOP</t>
  </si>
  <si>
    <t>JUMLAH JASA REGULER</t>
  </si>
  <si>
    <t>JUMLAH JASA SEBRAK</t>
  </si>
  <si>
    <t>JUMLAH TAGIHAN</t>
  </si>
  <si>
    <t>-</t>
  </si>
  <si>
    <t>IM. MUJAHID</t>
  </si>
  <si>
    <t>PUTRI RAFLESSIA</t>
  </si>
  <si>
    <t>SITI NUNIK</t>
  </si>
  <si>
    <t>DEWI RATRI KALINGGA</t>
  </si>
  <si>
    <t xml:space="preserve"> </t>
  </si>
  <si>
    <t>SITI RODIYAH</t>
  </si>
  <si>
    <t>FAHIMAH D</t>
  </si>
  <si>
    <t>SRI WAHYUNINGSIH</t>
  </si>
  <si>
    <t>Drs. YUSUF P,M.Pd</t>
  </si>
  <si>
    <t xml:space="preserve">WAHYU SRI HANDAYANI,S.H </t>
  </si>
  <si>
    <t>NAUFARA</t>
  </si>
  <si>
    <t>SATRIA</t>
  </si>
  <si>
    <t>ADITIA</t>
  </si>
  <si>
    <t>DEWI ASTUTIK</t>
  </si>
  <si>
    <t>M.TAMZIZ</t>
  </si>
  <si>
    <t xml:space="preserve">  </t>
  </si>
  <si>
    <t>FITRIANI</t>
  </si>
  <si>
    <t>SITI NURASIH</t>
  </si>
  <si>
    <t>INDAH LESTARI</t>
  </si>
  <si>
    <t>QORINA AL AULIA</t>
  </si>
  <si>
    <t>SITI AMIN N</t>
  </si>
  <si>
    <t>FHITA MUSTIKASARI</t>
  </si>
  <si>
    <t>ANGGUN</t>
  </si>
  <si>
    <t>MAQDUM</t>
  </si>
  <si>
    <t>KRISNADI</t>
  </si>
  <si>
    <t>LUTFI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</si>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</sst>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4">
    <xf numFmtId="0" fontId="0" fillId="0" borderId="0" xfId="0"/>
    <xf numFmtId="3" fontId="0" fillId="0" borderId="0" xfId="0" applyNumberFormat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/>
    </xf>
    <xf numFmtId="164" fontId="3" fillId="0" borderId="13" xfId="1" applyFont="1" applyBorder="1" applyAlignment="1">
      <alignment horizontal="center"/>
    </xf>
    <xf numFmtId="164" fontId="3" fillId="0" borderId="13" xfId="1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5" xfId="0" applyFont="1" applyBorder="1"/>
    <xf numFmtId="3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164" fontId="4" fillId="0" borderId="12" xfId="1" applyFont="1" applyBorder="1" applyAlignment="1">
      <alignment horizontal="center"/>
    </xf>
    <xf numFmtId="164" fontId="4" fillId="0" borderId="16" xfId="1" applyFont="1" applyBorder="1" applyAlignment="1">
      <alignment horizontal="center"/>
    </xf>
    <xf numFmtId="164" fontId="5" fillId="0" borderId="17" xfId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3" fontId="6" fillId="0" borderId="13" xfId="0" applyNumberFormat="1" applyFont="1" applyBorder="1" applyAlignment="1">
      <alignment horizontal="right"/>
    </xf>
    <xf numFmtId="3" fontId="6" fillId="0" borderId="13" xfId="0" quotePrefix="1" applyNumberFormat="1" applyFont="1" applyBorder="1" applyAlignment="1">
      <alignment horizontal="center"/>
    </xf>
    <xf numFmtId="164" fontId="5" fillId="0" borderId="13" xfId="1" quotePrefix="1" applyFont="1" applyBorder="1" applyAlignment="1">
      <alignment horizontal="center"/>
    </xf>
    <xf numFmtId="164" fontId="4" fillId="0" borderId="13" xfId="1" applyFont="1" applyBorder="1" applyAlignment="1">
      <alignment horizontal="center"/>
    </xf>
    <xf numFmtId="164" fontId="5" fillId="0" borderId="13" xfId="1" applyFont="1" applyBorder="1" applyAlignment="1">
      <alignment horizontal="center"/>
    </xf>
    <xf numFmtId="164" fontId="4" fillId="0" borderId="14" xfId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0" fontId="3" fillId="0" borderId="19" xfId="0" applyFont="1" applyBorder="1"/>
    <xf numFmtId="3" fontId="3" fillId="0" borderId="20" xfId="0" applyNumberFormat="1" applyFont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164" fontId="4" fillId="0" borderId="22" xfId="1" applyFont="1" applyBorder="1"/>
    <xf numFmtId="164" fontId="3" fillId="0" borderId="25" xfId="1" applyFont="1" applyBorder="1" applyAlignment="1">
      <alignment horizontal="center"/>
    </xf>
    <xf numFmtId="164" fontId="4" fillId="0" borderId="25" xfId="1" applyFont="1" applyBorder="1" applyAlignment="1">
      <alignment horizontal="center"/>
    </xf>
    <xf numFmtId="164" fontId="4" fillId="0" borderId="27" xfId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64" fontId="4" fillId="0" borderId="0" xfId="1" applyFont="1"/>
    <xf numFmtId="3" fontId="3" fillId="0" borderId="0" xfId="0" applyNumberFormat="1" applyFont="1"/>
    <xf numFmtId="3" fontId="4" fillId="0" borderId="13" xfId="0" applyNumberFormat="1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3" fontId="5" fillId="0" borderId="13" xfId="0" applyNumberFormat="1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164" fontId="4" fillId="0" borderId="16" xfId="1" quotePrefix="1" applyFont="1" applyBorder="1" applyAlignment="1">
      <alignment horizontal="right"/>
    </xf>
    <xf numFmtId="164" fontId="4" fillId="0" borderId="13" xfId="1" quotePrefix="1" applyFont="1" applyBorder="1" applyAlignment="1">
      <alignment horizontal="right"/>
    </xf>
    <xf numFmtId="164" fontId="4" fillId="0" borderId="16" xfId="1" quotePrefix="1" applyFont="1" applyBorder="1" applyAlignment="1">
      <alignment horizontal="center"/>
    </xf>
    <xf numFmtId="164" fontId="4" fillId="0" borderId="13" xfId="1" quotePrefix="1" applyFont="1" applyBorder="1" applyAlignment="1">
      <alignment horizontal="center"/>
    </xf>
    <xf numFmtId="164" fontId="2" fillId="0" borderId="0" xfId="1" applyFont="1" applyBorder="1"/>
    <xf numFmtId="0" fontId="0" fillId="0" borderId="16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12" xfId="1" applyFont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2" fillId="0" borderId="13" xfId="1" applyFont="1" applyBorder="1"/>
    <xf numFmtId="164" fontId="4" fillId="0" borderId="12" xfId="1" applyFont="1" applyBorder="1" applyAlignment="1">
      <alignment horizontal="right"/>
    </xf>
    <xf numFmtId="164" fontId="3" fillId="0" borderId="23" xfId="1" applyFont="1" applyBorder="1" applyAlignment="1"/>
    <xf numFmtId="164" fontId="3" fillId="0" borderId="26" xfId="1" applyFont="1" applyBorder="1" applyAlignment="1"/>
    <xf numFmtId="164" fontId="4" fillId="0" borderId="0" xfId="1" applyFont="1" applyBorder="1" applyAlignment="1">
      <alignment horizontal="center"/>
    </xf>
    <xf numFmtId="164" fontId="2" fillId="0" borderId="25" xfId="1" applyFont="1" applyBorder="1"/>
    <xf numFmtId="164" fontId="7" fillId="0" borderId="13" xfId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10" fillId="0" borderId="13" xfId="0" applyNumberFormat="1" applyFont="1" applyBorder="1" applyAlignment="1">
      <alignment horizontal="right"/>
    </xf>
    <xf numFmtId="164" fontId="3" fillId="0" borderId="28" xfId="1" applyFont="1" applyBorder="1" applyAlignment="1">
      <alignment horizontal="center" wrapText="1"/>
    </xf>
    <xf numFmtId="164" fontId="3" fillId="0" borderId="11" xfId="1" applyFont="1" applyBorder="1" applyAlignment="1">
      <alignment horizontal="center" wrapText="1"/>
    </xf>
    <xf numFmtId="164" fontId="3" fillId="0" borderId="23" xfId="1" applyFont="1" applyBorder="1" applyAlignment="1">
      <alignment horizontal="center"/>
    </xf>
    <xf numFmtId="164" fontId="3" fillId="0" borderId="24" xfId="1" applyFont="1" applyBorder="1" applyAlignment="1">
      <alignment horizontal="center"/>
    </xf>
    <xf numFmtId="164" fontId="3" fillId="0" borderId="26" xfId="1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3" fillId="0" borderId="5" xfId="1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164" fontId="3" fillId="0" borderId="7" xfId="1" applyFont="1" applyBorder="1" applyAlignment="1">
      <alignment horizontal="center"/>
    </xf>
    <xf numFmtId="164" fontId="3" fillId="0" borderId="8" xfId="1" applyFont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OPERASI%20SEJAHTERA%20SIGRO%202022/Koperasi%202021/KARNING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%20DESEMBER%202024.xlsx" TargetMode="External"/><Relationship Id="rId1" Type="http://schemas.openxmlformats.org/officeDocument/2006/relationships/externalLinkPath" Target="/KOPERASI%20SEJAHTERA%202025/KARTU%20REKENING%20%20DES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DESEMBER%20NEW%202022.xlsx" TargetMode="External"/><Relationship Id="rId1" Type="http://schemas.openxmlformats.org/officeDocument/2006/relationships/externalLinkPath" Target="/KOPERASI%20SEJAHTERA%20SIGRO%202023/KARTU%20REKENING%20%20DESEMBER%20NEW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NING 2021"/>
      <sheetName val="ASLI"/>
      <sheetName val="EDIT"/>
      <sheetName val="Sheet2"/>
      <sheetName val="KARNING"/>
      <sheetName val="Sheet4"/>
      <sheetName val="TANDA TERIMA"/>
      <sheetName val="Sheet5"/>
      <sheetName val="krnmei (2)"/>
      <sheetName val="krnmei (3)"/>
      <sheetName val="Sheet6"/>
      <sheetName val="krnmei"/>
      <sheetName val="LAP.JASA"/>
      <sheetName val="LAP.KE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>
            <v>1</v>
          </cell>
          <cell r="B1" t="str">
            <v>SUMIATI,SPd</v>
          </cell>
        </row>
        <row r="2">
          <cell r="A2">
            <v>2</v>
          </cell>
          <cell r="B2" t="str">
            <v>SUTIANIK,SPd</v>
          </cell>
        </row>
        <row r="3">
          <cell r="A3">
            <v>3</v>
          </cell>
          <cell r="B3" t="str">
            <v>SRI KASMA W, S.Pd.</v>
          </cell>
        </row>
        <row r="4">
          <cell r="A4">
            <v>4</v>
          </cell>
          <cell r="B4" t="str">
            <v>TRI TITAH    R, SPd</v>
          </cell>
        </row>
        <row r="5">
          <cell r="A5">
            <v>5</v>
          </cell>
          <cell r="B5" t="str">
            <v>NASUHA</v>
          </cell>
        </row>
        <row r="6">
          <cell r="A6">
            <v>6</v>
          </cell>
          <cell r="B6" t="str">
            <v>DEOT SISWORO, S.Sn.</v>
          </cell>
        </row>
        <row r="7">
          <cell r="A7">
            <v>7</v>
          </cell>
          <cell r="B7" t="str">
            <v>ROKHMAH,SPd</v>
          </cell>
        </row>
        <row r="8">
          <cell r="A8">
            <v>8</v>
          </cell>
          <cell r="B8" t="str">
            <v>PUDJO, S.Pd</v>
          </cell>
        </row>
        <row r="9">
          <cell r="A9">
            <v>9</v>
          </cell>
          <cell r="B9" t="str">
            <v>NISWATUL A, SPd</v>
          </cell>
        </row>
        <row r="10">
          <cell r="A10">
            <v>10</v>
          </cell>
          <cell r="B10" t="str">
            <v>M.SUHUDI,SPd</v>
          </cell>
        </row>
        <row r="11">
          <cell r="A11">
            <v>11</v>
          </cell>
          <cell r="B11" t="str">
            <v>Drs.WINARTO</v>
          </cell>
        </row>
        <row r="12">
          <cell r="A12">
            <v>12</v>
          </cell>
          <cell r="B12" t="str">
            <v>Drs. NURKASAN</v>
          </cell>
        </row>
        <row r="13">
          <cell r="A13">
            <v>13</v>
          </cell>
          <cell r="B13" t="str">
            <v>JULESTARINI,SPd</v>
          </cell>
        </row>
        <row r="14">
          <cell r="A14">
            <v>14</v>
          </cell>
          <cell r="B14" t="str">
            <v>WIWIK DS,SPd</v>
          </cell>
        </row>
        <row r="15">
          <cell r="A15">
            <v>15</v>
          </cell>
          <cell r="B15" t="str">
            <v>SYAMSUL A, SPd</v>
          </cell>
        </row>
        <row r="16">
          <cell r="A16">
            <v>16</v>
          </cell>
          <cell r="B16" t="str">
            <v>M.YUSUF,SPd</v>
          </cell>
        </row>
        <row r="17">
          <cell r="A17">
            <v>17</v>
          </cell>
          <cell r="B17" t="str">
            <v>SULASTRI,SPd</v>
          </cell>
        </row>
        <row r="18">
          <cell r="A18">
            <v>18</v>
          </cell>
          <cell r="B18" t="str">
            <v>HANIK S.SPd</v>
          </cell>
        </row>
        <row r="19">
          <cell r="A19">
            <v>19</v>
          </cell>
          <cell r="B19" t="str">
            <v>GUNAWAN,SPd</v>
          </cell>
        </row>
        <row r="20">
          <cell r="A20">
            <v>20</v>
          </cell>
          <cell r="B20" t="str">
            <v>PRASTOPO, S.Pd</v>
          </cell>
        </row>
        <row r="21">
          <cell r="A21">
            <v>21</v>
          </cell>
          <cell r="B21" t="str">
            <v>NURHADI,SPd</v>
          </cell>
        </row>
        <row r="22">
          <cell r="A22">
            <v>22</v>
          </cell>
          <cell r="B22" t="str">
            <v>SUGENG H,SPd</v>
          </cell>
        </row>
        <row r="23">
          <cell r="A23">
            <v>23</v>
          </cell>
          <cell r="B23" t="str">
            <v>ANGGRAINI B,SPd</v>
          </cell>
        </row>
        <row r="24">
          <cell r="A24">
            <v>24</v>
          </cell>
          <cell r="B24" t="str">
            <v>SUYANTO,SPd</v>
          </cell>
        </row>
        <row r="25">
          <cell r="A25">
            <v>25</v>
          </cell>
          <cell r="B25" t="str">
            <v>ARIS W.,SPd</v>
          </cell>
        </row>
        <row r="26">
          <cell r="A26">
            <v>26</v>
          </cell>
          <cell r="B26" t="str">
            <v>ERNIA P,SPd</v>
          </cell>
        </row>
        <row r="27">
          <cell r="A27">
            <v>27</v>
          </cell>
          <cell r="B27" t="str">
            <v>ARINA ASWIN,SPd</v>
          </cell>
        </row>
        <row r="28">
          <cell r="A28">
            <v>28</v>
          </cell>
          <cell r="B28" t="str">
            <v>ARI NUR F,SPdI</v>
          </cell>
        </row>
        <row r="29">
          <cell r="A29">
            <v>29</v>
          </cell>
          <cell r="B29" t="str">
            <v>RINI WP,SPd</v>
          </cell>
        </row>
        <row r="30">
          <cell r="A30">
            <v>30</v>
          </cell>
          <cell r="B30" t="str">
            <v>ANDI NS</v>
          </cell>
        </row>
        <row r="31">
          <cell r="A31">
            <v>31</v>
          </cell>
          <cell r="B31" t="str">
            <v>RAHAYU SAPTO., SPd</v>
          </cell>
        </row>
        <row r="32">
          <cell r="A32">
            <v>32</v>
          </cell>
          <cell r="B32" t="str">
            <v>RAHAYUNINGSIH, S.Pd</v>
          </cell>
        </row>
        <row r="33">
          <cell r="A33">
            <v>33</v>
          </cell>
          <cell r="B33" t="str">
            <v>YULAIKAH, S.Pd</v>
          </cell>
        </row>
        <row r="34">
          <cell r="A34">
            <v>34</v>
          </cell>
          <cell r="B34" t="str">
            <v>NANIK HIDAYATI, S.Pd</v>
          </cell>
        </row>
        <row r="35">
          <cell r="A35">
            <v>35</v>
          </cell>
          <cell r="B35" t="str">
            <v>JOHAN SYAH, S.Pd</v>
          </cell>
        </row>
        <row r="36">
          <cell r="A36">
            <v>36</v>
          </cell>
          <cell r="B36" t="str">
            <v>EL YULIANIK ,SPd</v>
          </cell>
        </row>
        <row r="37">
          <cell r="A37">
            <v>37</v>
          </cell>
          <cell r="B37" t="str">
            <v>CHRISTINA PUJI</v>
          </cell>
        </row>
        <row r="38">
          <cell r="A38">
            <v>38</v>
          </cell>
          <cell r="B38" t="str">
            <v>POERHASTOETI</v>
          </cell>
        </row>
        <row r="39">
          <cell r="A39">
            <v>39</v>
          </cell>
          <cell r="B39" t="str">
            <v>EVA KUSUMA DEWI</v>
          </cell>
        </row>
        <row r="40">
          <cell r="A40">
            <v>40</v>
          </cell>
          <cell r="B40" t="str">
            <v>KASMININGTYAS</v>
          </cell>
        </row>
        <row r="41">
          <cell r="A41">
            <v>41</v>
          </cell>
          <cell r="B41" t="str">
            <v>MINTORINI,SPd</v>
          </cell>
        </row>
        <row r="42">
          <cell r="A42">
            <v>42</v>
          </cell>
          <cell r="B42" t="str">
            <v>Dra. SULISTIYAH</v>
          </cell>
        </row>
        <row r="43">
          <cell r="A43">
            <v>43</v>
          </cell>
          <cell r="B43" t="str">
            <v>LILIK S, SPd</v>
          </cell>
        </row>
        <row r="44">
          <cell r="A44">
            <v>44</v>
          </cell>
          <cell r="B44" t="str">
            <v>SUHAEBUDIN,ST</v>
          </cell>
        </row>
        <row r="45">
          <cell r="A45">
            <v>45</v>
          </cell>
          <cell r="B45" t="str">
            <v>SUGIONO</v>
          </cell>
        </row>
        <row r="46">
          <cell r="A46">
            <v>46</v>
          </cell>
          <cell r="B46" t="str">
            <v>BASUKI</v>
          </cell>
        </row>
        <row r="47">
          <cell r="A47">
            <v>47</v>
          </cell>
          <cell r="B47" t="str">
            <v>SAROPAH</v>
          </cell>
        </row>
        <row r="48">
          <cell r="A48">
            <v>48</v>
          </cell>
          <cell r="B48" t="str">
            <v>MASHURI</v>
          </cell>
        </row>
        <row r="49">
          <cell r="A49">
            <v>49</v>
          </cell>
          <cell r="B49" t="str">
            <v>JUNAIDAH</v>
          </cell>
        </row>
        <row r="50">
          <cell r="A50">
            <v>50</v>
          </cell>
          <cell r="B50" t="str">
            <v>DESY ARUM</v>
          </cell>
        </row>
        <row r="51">
          <cell r="A51">
            <v>51</v>
          </cell>
          <cell r="B51" t="str">
            <v>LATIEF Gz</v>
          </cell>
        </row>
        <row r="52">
          <cell r="A52">
            <v>52</v>
          </cell>
          <cell r="B52" t="str">
            <v>RESTU  SUSWANTO</v>
          </cell>
        </row>
        <row r="53">
          <cell r="A53">
            <v>53</v>
          </cell>
          <cell r="B53" t="str">
            <v>DIAN RIFQI E, SPdI</v>
          </cell>
        </row>
        <row r="54">
          <cell r="A54">
            <v>54</v>
          </cell>
          <cell r="B54" t="str">
            <v>ROHMADIANI R</v>
          </cell>
        </row>
        <row r="55">
          <cell r="A55">
            <v>55</v>
          </cell>
          <cell r="B55" t="str">
            <v>ZAENAL ARIFIN</v>
          </cell>
        </row>
        <row r="56">
          <cell r="A56">
            <v>56</v>
          </cell>
          <cell r="B56" t="str">
            <v>YOEDA K, SPd</v>
          </cell>
        </row>
        <row r="57">
          <cell r="A57">
            <v>57</v>
          </cell>
          <cell r="B57" t="str">
            <v>DIAN SARI</v>
          </cell>
        </row>
        <row r="58">
          <cell r="A58">
            <v>58</v>
          </cell>
          <cell r="B58" t="str">
            <v>R.TRI WIJAYANTI</v>
          </cell>
        </row>
        <row r="59">
          <cell r="A59">
            <v>59</v>
          </cell>
          <cell r="B59" t="str">
            <v>SUSANTI</v>
          </cell>
        </row>
        <row r="60">
          <cell r="A60">
            <v>60</v>
          </cell>
          <cell r="B60" t="str">
            <v>REVALDO</v>
          </cell>
        </row>
        <row r="61">
          <cell r="A61">
            <v>61</v>
          </cell>
          <cell r="B61" t="str">
            <v>KARUNIA, S.Pd</v>
          </cell>
        </row>
        <row r="62">
          <cell r="A62">
            <v>62</v>
          </cell>
          <cell r="B62" t="str">
            <v>SUGIANTO</v>
          </cell>
        </row>
      </sheetData>
      <sheetData sheetId="6" refreshError="1"/>
      <sheetData sheetId="7" refreshError="1"/>
      <sheetData sheetId="8">
        <row r="1">
          <cell r="A1">
            <v>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  <sheetName val="krnmei (2)"/>
      <sheetName val="krnmei (3)"/>
      <sheetName val="Sheet6"/>
      <sheetName val="LAP.JASA"/>
      <sheetName val="LAP.KEU"/>
      <sheetName val="Sheet3"/>
    </sheetNames>
    <sheetDataSet>
      <sheetData sheetId="0">
        <row r="151">
          <cell r="E151">
            <v>500000</v>
          </cell>
        </row>
        <row r="508">
          <cell r="J508">
            <v>36971000</v>
          </cell>
        </row>
        <row r="696">
          <cell r="E696">
            <v>1600000</v>
          </cell>
        </row>
        <row r="747">
          <cell r="E747">
            <v>1200000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69">
          <cell r="I1069">
            <v>250000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76"/>
  <sheetViews>
    <sheetView tabSelected="1" topLeftCell="A687" zoomScale="80" zoomScaleNormal="80" workbookViewId="0">
      <selection activeCell="N1149" sqref="N1149"/>
    </sheetView>
  </sheetViews>
  <sheetFormatPr defaultColWidth="13.7109375" defaultRowHeight="15" x14ac:dyDescent="0.25"/>
  <cols>
    <col min="2" max="2" width="13.7109375" customWidth="1"/>
    <col min="3" max="4" width="13.7109375" style="53"/>
    <col min="8" max="18" width="13.7109375" style="50"/>
  </cols>
  <sheetData>
    <row r="1" spans="1:22" ht="15.75" customHeight="1" thickBot="1" x14ac:dyDescent="0.3">
      <c r="A1" s="2">
        <v>1</v>
      </c>
      <c r="B1" s="74" t="s">
        <v>39</v>
      </c>
      <c r="C1" s="75"/>
      <c r="D1" s="75"/>
      <c r="E1" s="75"/>
      <c r="F1" s="76"/>
      <c r="G1" s="3" t="s">
        <v>0</v>
      </c>
      <c r="H1" s="77" t="s">
        <v>1</v>
      </c>
      <c r="I1" s="78"/>
      <c r="J1" s="78"/>
      <c r="K1" s="78"/>
      <c r="L1" s="79"/>
      <c r="M1" s="80" t="s">
        <v>2</v>
      </c>
      <c r="N1" s="78"/>
      <c r="O1" s="78"/>
      <c r="P1" s="78"/>
      <c r="Q1" s="79"/>
      <c r="R1" s="69" t="s">
        <v>3</v>
      </c>
      <c r="T1" s="1"/>
    </row>
    <row r="2" spans="1:22" x14ac:dyDescent="0.25">
      <c r="A2" s="4" t="s">
        <v>4</v>
      </c>
      <c r="B2" s="5" t="s">
        <v>5</v>
      </c>
      <c r="C2" s="6" t="s">
        <v>6</v>
      </c>
      <c r="D2" s="6" t="s">
        <v>7</v>
      </c>
      <c r="E2" s="5" t="s">
        <v>8</v>
      </c>
      <c r="F2" s="5" t="s">
        <v>9</v>
      </c>
      <c r="G2" s="7" t="s">
        <v>10</v>
      </c>
      <c r="H2" s="8" t="s">
        <v>11</v>
      </c>
      <c r="I2" s="9" t="s">
        <v>0</v>
      </c>
      <c r="J2" s="9" t="s">
        <v>12</v>
      </c>
      <c r="K2" s="9" t="s">
        <v>13</v>
      </c>
      <c r="L2" s="10" t="s">
        <v>14</v>
      </c>
      <c r="M2" s="9" t="s">
        <v>11</v>
      </c>
      <c r="N2" s="9" t="s">
        <v>0</v>
      </c>
      <c r="O2" s="9" t="s">
        <v>12</v>
      </c>
      <c r="P2" s="9" t="s">
        <v>13</v>
      </c>
      <c r="Q2" s="10" t="s">
        <v>14</v>
      </c>
      <c r="R2" s="70"/>
      <c r="S2" s="11"/>
      <c r="T2" s="1"/>
    </row>
    <row r="3" spans="1:22" x14ac:dyDescent="0.25">
      <c r="A3" s="12" t="s">
        <v>15</v>
      </c>
      <c r="B3" s="13"/>
      <c r="C3" s="14"/>
      <c r="D3" s="14"/>
      <c r="E3" s="13"/>
      <c r="F3" s="13"/>
      <c r="G3" s="15"/>
      <c r="H3" s="16"/>
      <c r="I3" s="17"/>
      <c r="J3" s="18"/>
      <c r="K3" s="17"/>
      <c r="L3" s="17"/>
      <c r="M3" s="17"/>
      <c r="N3" s="17"/>
      <c r="O3" s="17"/>
      <c r="P3" s="17"/>
      <c r="Q3" s="17"/>
      <c r="R3" s="19"/>
      <c r="T3" s="1"/>
    </row>
    <row r="4" spans="1:22" x14ac:dyDescent="0.25">
      <c r="A4" s="20" t="s">
        <v>16</v>
      </c>
      <c r="B4" s="13"/>
      <c r="C4" s="14"/>
      <c r="D4" s="22"/>
      <c r="E4" s="23"/>
      <c r="F4" s="23"/>
      <c r="G4" s="15"/>
      <c r="H4" s="16"/>
      <c r="I4" s="24">
        <v>0</v>
      </c>
      <c r="J4" s="25">
        <v>0</v>
      </c>
      <c r="K4" s="26">
        <v>0</v>
      </c>
      <c r="L4" s="26"/>
      <c r="M4" s="25"/>
      <c r="N4" s="25"/>
      <c r="O4" s="25"/>
      <c r="P4" s="25"/>
      <c r="Q4" s="25"/>
      <c r="R4" s="27">
        <f>K4+I4+G4</f>
        <v>0</v>
      </c>
      <c r="T4" s="1"/>
    </row>
    <row r="5" spans="1:22" x14ac:dyDescent="0.25">
      <c r="A5" s="20" t="s">
        <v>17</v>
      </c>
      <c r="B5" s="13"/>
      <c r="C5" s="14"/>
      <c r="D5" s="22"/>
      <c r="E5" s="23"/>
      <c r="F5" s="23"/>
      <c r="G5" s="15"/>
      <c r="H5" s="16"/>
      <c r="I5" s="26"/>
      <c r="J5" s="25"/>
      <c r="K5" s="26"/>
      <c r="L5" s="26"/>
      <c r="M5" s="25"/>
      <c r="N5" s="25"/>
      <c r="O5" s="25"/>
      <c r="P5" s="25"/>
      <c r="Q5" s="25"/>
      <c r="R5" s="27">
        <f t="shared" ref="R5:R15" si="0">K5+I5+G5</f>
        <v>0</v>
      </c>
      <c r="T5" s="1"/>
      <c r="V5" s="1"/>
    </row>
    <row r="6" spans="1:22" x14ac:dyDescent="0.25">
      <c r="A6" s="20" t="s">
        <v>18</v>
      </c>
      <c r="B6" s="21"/>
      <c r="C6" s="14"/>
      <c r="D6" s="22"/>
      <c r="E6" s="23"/>
      <c r="F6" s="23"/>
      <c r="G6" s="15"/>
      <c r="H6" s="16"/>
      <c r="I6" s="26"/>
      <c r="J6" s="25"/>
      <c r="K6" s="26"/>
      <c r="L6" s="26"/>
      <c r="M6" s="25"/>
      <c r="N6" s="25"/>
      <c r="O6" s="25"/>
      <c r="P6" s="25"/>
      <c r="Q6" s="25"/>
      <c r="R6" s="27">
        <f t="shared" si="0"/>
        <v>0</v>
      </c>
      <c r="T6" s="1"/>
    </row>
    <row r="7" spans="1:22" x14ac:dyDescent="0.25">
      <c r="A7" s="20" t="s">
        <v>19</v>
      </c>
      <c r="B7" s="21"/>
      <c r="C7" s="22"/>
      <c r="D7" s="22"/>
      <c r="E7" s="28"/>
      <c r="F7" s="28"/>
      <c r="G7" s="15">
        <f t="shared" ref="G7:G15" si="1">B7+C7+D7+E7+F7</f>
        <v>0</v>
      </c>
      <c r="H7" s="16"/>
      <c r="I7" s="26"/>
      <c r="J7" s="25"/>
      <c r="K7" s="26"/>
      <c r="L7" s="26"/>
      <c r="M7" s="25"/>
      <c r="N7" s="25"/>
      <c r="O7" s="25"/>
      <c r="P7" s="25"/>
      <c r="Q7" s="25"/>
      <c r="R7" s="27">
        <f t="shared" si="0"/>
        <v>0</v>
      </c>
      <c r="T7" s="1"/>
    </row>
    <row r="8" spans="1:22" x14ac:dyDescent="0.25">
      <c r="A8" s="20" t="s">
        <v>20</v>
      </c>
      <c r="B8" s="21"/>
      <c r="C8" s="22"/>
      <c r="D8" s="22"/>
      <c r="E8" s="28"/>
      <c r="F8" s="28"/>
      <c r="G8" s="15">
        <f t="shared" si="1"/>
        <v>0</v>
      </c>
      <c r="H8" s="16"/>
      <c r="I8" s="26"/>
      <c r="J8" s="25"/>
      <c r="K8" s="26"/>
      <c r="L8" s="26"/>
      <c r="M8" s="25"/>
      <c r="N8" s="25"/>
      <c r="P8" s="25"/>
      <c r="Q8" s="25"/>
      <c r="R8" s="27">
        <f t="shared" si="0"/>
        <v>0</v>
      </c>
      <c r="T8" s="1"/>
    </row>
    <row r="9" spans="1:22" x14ac:dyDescent="0.25">
      <c r="A9" s="20" t="s">
        <v>21</v>
      </c>
      <c r="B9" s="21"/>
      <c r="C9" s="22"/>
      <c r="D9" s="22"/>
      <c r="E9" s="28"/>
      <c r="F9" s="28"/>
      <c r="G9" s="15">
        <f t="shared" si="1"/>
        <v>0</v>
      </c>
      <c r="H9" s="16"/>
      <c r="I9" s="26"/>
      <c r="J9" s="25"/>
      <c r="K9" s="26"/>
      <c r="L9" s="26"/>
      <c r="M9" s="25"/>
      <c r="N9" s="25"/>
      <c r="O9" s="25"/>
      <c r="P9" s="25"/>
      <c r="Q9" s="25"/>
      <c r="R9" s="27">
        <f t="shared" si="0"/>
        <v>0</v>
      </c>
      <c r="T9" s="1"/>
    </row>
    <row r="10" spans="1:22" x14ac:dyDescent="0.25">
      <c r="A10" s="20" t="s">
        <v>22</v>
      </c>
      <c r="B10" s="21"/>
      <c r="C10" s="22"/>
      <c r="D10" s="22"/>
      <c r="E10" s="28"/>
      <c r="F10" s="28"/>
      <c r="G10" s="15">
        <f t="shared" si="1"/>
        <v>0</v>
      </c>
      <c r="H10" s="16"/>
      <c r="I10" s="26"/>
      <c r="J10" s="25"/>
      <c r="K10" s="26"/>
      <c r="L10" s="26"/>
      <c r="M10" s="25"/>
      <c r="N10" s="25"/>
      <c r="O10" s="25"/>
      <c r="P10" s="25"/>
      <c r="Q10" s="25"/>
      <c r="R10" s="27">
        <f t="shared" si="0"/>
        <v>0</v>
      </c>
      <c r="T10" s="1"/>
      <c r="V10" s="1"/>
    </row>
    <row r="11" spans="1:22" x14ac:dyDescent="0.25">
      <c r="A11" s="20" t="s">
        <v>23</v>
      </c>
      <c r="B11" s="21"/>
      <c r="C11" s="22"/>
      <c r="D11" s="22"/>
      <c r="E11" s="28"/>
      <c r="F11" s="28"/>
      <c r="G11" s="15">
        <f t="shared" si="1"/>
        <v>0</v>
      </c>
      <c r="H11" s="16"/>
      <c r="I11" s="26"/>
      <c r="J11" s="25"/>
      <c r="K11" s="26"/>
      <c r="L11" s="26"/>
      <c r="M11" s="25"/>
      <c r="N11" s="25"/>
      <c r="O11" s="25"/>
      <c r="P11" s="25"/>
      <c r="Q11" s="25"/>
      <c r="R11" s="27">
        <f t="shared" si="0"/>
        <v>0</v>
      </c>
      <c r="T11" s="1"/>
      <c r="V11" s="1"/>
    </row>
    <row r="12" spans="1:22" x14ac:dyDescent="0.25">
      <c r="A12" s="20" t="s">
        <v>24</v>
      </c>
      <c r="B12" s="21"/>
      <c r="C12" s="22"/>
      <c r="D12" s="22"/>
      <c r="E12" s="28"/>
      <c r="F12" s="28"/>
      <c r="G12" s="15">
        <f t="shared" si="1"/>
        <v>0</v>
      </c>
      <c r="H12" s="16"/>
      <c r="I12" s="26"/>
      <c r="J12" s="25"/>
      <c r="K12" s="26"/>
      <c r="L12" s="26"/>
      <c r="M12" s="25"/>
      <c r="N12" s="25"/>
      <c r="O12" s="25"/>
      <c r="P12" s="25"/>
      <c r="Q12" s="25"/>
      <c r="R12" s="27">
        <f t="shared" si="0"/>
        <v>0</v>
      </c>
      <c r="T12" s="1"/>
    </row>
    <row r="13" spans="1:22" x14ac:dyDescent="0.25">
      <c r="A13" s="20" t="s">
        <v>25</v>
      </c>
      <c r="B13" s="21"/>
      <c r="C13" s="22"/>
      <c r="D13" s="22"/>
      <c r="E13" s="28"/>
      <c r="F13" s="28"/>
      <c r="G13" s="15">
        <f t="shared" si="1"/>
        <v>0</v>
      </c>
      <c r="H13" s="16"/>
      <c r="I13" s="26"/>
      <c r="J13" s="25"/>
      <c r="K13" s="26"/>
      <c r="L13" s="26"/>
      <c r="M13" s="25"/>
      <c r="N13" s="25"/>
      <c r="O13" s="25"/>
      <c r="P13" s="25"/>
      <c r="Q13" s="25"/>
      <c r="R13" s="27">
        <f t="shared" si="0"/>
        <v>0</v>
      </c>
      <c r="T13" s="1"/>
    </row>
    <row r="14" spans="1:22" x14ac:dyDescent="0.25">
      <c r="A14" s="20" t="s">
        <v>26</v>
      </c>
      <c r="B14" s="21"/>
      <c r="C14" s="22"/>
      <c r="D14" s="22"/>
      <c r="E14" s="28"/>
      <c r="F14" s="28"/>
      <c r="G14" s="15">
        <f t="shared" si="1"/>
        <v>0</v>
      </c>
      <c r="H14" s="16"/>
      <c r="I14" s="26"/>
      <c r="J14" s="25"/>
      <c r="K14" s="26"/>
      <c r="L14" s="26"/>
      <c r="M14" s="25"/>
      <c r="N14" s="25"/>
      <c r="O14" s="25"/>
      <c r="P14" s="25"/>
      <c r="Q14" s="25"/>
      <c r="R14" s="27">
        <f t="shared" si="0"/>
        <v>0</v>
      </c>
    </row>
    <row r="15" spans="1:22" ht="15.75" thickBot="1" x14ac:dyDescent="0.3">
      <c r="A15" s="12" t="s">
        <v>15</v>
      </c>
      <c r="B15" s="21"/>
      <c r="C15" s="22"/>
      <c r="D15" s="22"/>
      <c r="E15" s="28"/>
      <c r="F15" s="28"/>
      <c r="G15" s="15">
        <f t="shared" si="1"/>
        <v>0</v>
      </c>
      <c r="H15" s="16"/>
      <c r="I15" s="26"/>
      <c r="J15" s="25"/>
      <c r="K15" s="26"/>
      <c r="L15" s="26"/>
      <c r="M15" s="25"/>
      <c r="N15" s="25"/>
      <c r="O15" s="25"/>
      <c r="P15" s="25"/>
      <c r="Q15" s="25"/>
      <c r="R15" s="27">
        <f t="shared" si="0"/>
        <v>0</v>
      </c>
      <c r="T15" s="1"/>
    </row>
    <row r="16" spans="1:22" ht="15.75" thickBot="1" x14ac:dyDescent="0.3">
      <c r="A16" s="29" t="s">
        <v>0</v>
      </c>
      <c r="B16" s="30">
        <f t="shared" ref="B16:G16" si="2">SUM(B3:B15)</f>
        <v>0</v>
      </c>
      <c r="C16" s="30">
        <f t="shared" si="2"/>
        <v>0</v>
      </c>
      <c r="D16" s="30">
        <f t="shared" si="2"/>
        <v>0</v>
      </c>
      <c r="E16" s="30">
        <f t="shared" si="2"/>
        <v>0</v>
      </c>
      <c r="F16" s="30">
        <f t="shared" si="2"/>
        <v>0</v>
      </c>
      <c r="G16" s="31">
        <f t="shared" si="2"/>
        <v>0</v>
      </c>
      <c r="H16" s="32"/>
      <c r="I16" s="71" t="s">
        <v>27</v>
      </c>
      <c r="J16" s="72"/>
      <c r="K16" s="33">
        <f>SUM(K3:K15)</f>
        <v>0</v>
      </c>
      <c r="L16" s="34"/>
      <c r="M16" s="71" t="s">
        <v>28</v>
      </c>
      <c r="N16" s="73"/>
      <c r="O16" s="72"/>
      <c r="P16" s="33">
        <f>SUM(P3:P15)</f>
        <v>0</v>
      </c>
      <c r="Q16" s="34"/>
      <c r="R16" s="35"/>
      <c r="T16" s="1"/>
    </row>
    <row r="17" spans="1:22" s="36" customFormat="1" ht="15.75" thickBot="1" x14ac:dyDescent="0.3">
      <c r="C17" s="37"/>
      <c r="D17" s="37"/>
      <c r="F17" s="38"/>
      <c r="G17" s="3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T17" s="40"/>
    </row>
    <row r="18" spans="1:22" ht="15.75" customHeight="1" thickBot="1" x14ac:dyDescent="0.3">
      <c r="A18" s="2">
        <f>A1+1</f>
        <v>2</v>
      </c>
      <c r="B18" s="74" t="s">
        <v>40</v>
      </c>
      <c r="C18" s="75"/>
      <c r="D18" s="75"/>
      <c r="E18" s="75"/>
      <c r="F18" s="76"/>
      <c r="G18" s="3" t="s">
        <v>0</v>
      </c>
      <c r="H18" s="77" t="s">
        <v>1</v>
      </c>
      <c r="I18" s="78"/>
      <c r="J18" s="78"/>
      <c r="K18" s="78"/>
      <c r="L18" s="79"/>
      <c r="M18" s="80" t="s">
        <v>2</v>
      </c>
      <c r="N18" s="78"/>
      <c r="O18" s="78"/>
      <c r="P18" s="78"/>
      <c r="Q18" s="79"/>
      <c r="R18" s="69" t="s">
        <v>29</v>
      </c>
      <c r="T18" s="1"/>
    </row>
    <row r="19" spans="1:22" x14ac:dyDescent="0.25">
      <c r="A19" s="4" t="s">
        <v>4</v>
      </c>
      <c r="B19" s="5" t="s">
        <v>5</v>
      </c>
      <c r="C19" s="6" t="s">
        <v>6</v>
      </c>
      <c r="D19" s="6" t="s">
        <v>7</v>
      </c>
      <c r="E19" s="5" t="s">
        <v>8</v>
      </c>
      <c r="F19" s="5" t="s">
        <v>9</v>
      </c>
      <c r="G19" s="7" t="s">
        <v>10</v>
      </c>
      <c r="H19" s="8" t="s">
        <v>11</v>
      </c>
      <c r="I19" s="9" t="s">
        <v>0</v>
      </c>
      <c r="J19" s="9" t="s">
        <v>12</v>
      </c>
      <c r="K19" s="9" t="s">
        <v>13</v>
      </c>
      <c r="L19" s="10" t="s">
        <v>14</v>
      </c>
      <c r="M19" s="9" t="s">
        <v>11</v>
      </c>
      <c r="N19" s="9" t="s">
        <v>0</v>
      </c>
      <c r="O19" s="9" t="s">
        <v>12</v>
      </c>
      <c r="P19" s="9" t="s">
        <v>13</v>
      </c>
      <c r="Q19" s="10" t="s">
        <v>14</v>
      </c>
      <c r="R19" s="70"/>
      <c r="S19" s="11"/>
      <c r="T19" s="1"/>
    </row>
    <row r="20" spans="1:22" x14ac:dyDescent="0.25">
      <c r="A20" s="12" t="s">
        <v>15</v>
      </c>
      <c r="B20" s="41">
        <v>100000</v>
      </c>
      <c r="C20" s="41">
        <v>2300000</v>
      </c>
      <c r="D20" s="41">
        <v>575000</v>
      </c>
      <c r="E20" s="41">
        <v>400000</v>
      </c>
      <c r="F20" s="41">
        <v>575000</v>
      </c>
      <c r="G20" s="15">
        <f>F20+E20+D20+C20+B20</f>
        <v>3950000</v>
      </c>
      <c r="H20" s="16"/>
      <c r="I20" s="17"/>
      <c r="J20" s="18">
        <v>0</v>
      </c>
      <c r="K20" s="17"/>
      <c r="L20" s="17"/>
      <c r="M20" s="17"/>
      <c r="N20" s="17"/>
      <c r="O20" s="17">
        <v>0</v>
      </c>
      <c r="P20" s="17"/>
      <c r="Q20" s="17"/>
      <c r="R20" s="19"/>
      <c r="T20" s="1"/>
    </row>
    <row r="21" spans="1:22" x14ac:dyDescent="0.25">
      <c r="A21" s="20" t="s">
        <v>16</v>
      </c>
      <c r="B21" s="41"/>
      <c r="C21" s="43">
        <v>100000</v>
      </c>
      <c r="D21" s="43">
        <v>25000</v>
      </c>
      <c r="E21" s="43">
        <v>50000</v>
      </c>
      <c r="F21" s="43">
        <v>25000</v>
      </c>
      <c r="G21" s="15">
        <f>F21+E21+D21+C21+B21</f>
        <v>200000</v>
      </c>
      <c r="H21" s="16"/>
      <c r="I21" s="26"/>
      <c r="J21" s="25"/>
      <c r="K21" s="26"/>
      <c r="L21" s="26"/>
      <c r="M21" s="25"/>
      <c r="N21" s="25"/>
      <c r="O21" s="25"/>
      <c r="P21" s="25"/>
      <c r="Q21" s="25"/>
      <c r="R21" s="27">
        <f>G21</f>
        <v>200000</v>
      </c>
      <c r="T21" s="1"/>
    </row>
    <row r="22" spans="1:22" x14ac:dyDescent="0.25">
      <c r="A22" s="20" t="s">
        <v>17</v>
      </c>
      <c r="B22" s="41"/>
      <c r="C22" s="43">
        <v>100000</v>
      </c>
      <c r="D22" s="43">
        <v>25000</v>
      </c>
      <c r="E22" s="43">
        <v>50000</v>
      </c>
      <c r="F22" s="43">
        <v>25000</v>
      </c>
      <c r="G22" s="15">
        <f>F22+E22+D22+C22+B22</f>
        <v>200000</v>
      </c>
      <c r="H22" s="16"/>
      <c r="I22" s="26"/>
      <c r="J22" s="25"/>
      <c r="K22" s="26"/>
      <c r="L22" s="26"/>
      <c r="M22" s="25"/>
      <c r="N22" s="25"/>
      <c r="O22" s="25"/>
      <c r="P22" s="25"/>
      <c r="Q22" s="25"/>
      <c r="R22" s="27">
        <f>G22</f>
        <v>200000</v>
      </c>
      <c r="T22" s="1"/>
      <c r="V22" s="1"/>
    </row>
    <row r="23" spans="1:22" x14ac:dyDescent="0.25">
      <c r="A23" s="20" t="s">
        <v>18</v>
      </c>
      <c r="B23" s="42"/>
      <c r="C23" s="43">
        <v>100000</v>
      </c>
      <c r="D23" s="43">
        <v>25000</v>
      </c>
      <c r="E23" s="43">
        <v>50000</v>
      </c>
      <c r="F23" s="43">
        <v>25000</v>
      </c>
      <c r="G23" s="15">
        <f t="shared" ref="G23:G32" si="3">F23+E23+D23+C23+B23</f>
        <v>200000</v>
      </c>
      <c r="H23" s="16"/>
      <c r="I23" s="26"/>
      <c r="J23" s="25"/>
      <c r="K23" s="26"/>
      <c r="L23" s="26"/>
      <c r="M23" s="25"/>
      <c r="N23" s="25"/>
      <c r="O23" s="25"/>
      <c r="P23" s="25"/>
      <c r="Q23" s="25"/>
      <c r="R23" s="27">
        <f t="shared" ref="R23:R32" si="4">G23</f>
        <v>200000</v>
      </c>
      <c r="T23" s="1"/>
    </row>
    <row r="24" spans="1:22" x14ac:dyDescent="0.25">
      <c r="A24" s="20" t="s">
        <v>19</v>
      </c>
      <c r="B24" s="42"/>
      <c r="C24" s="43">
        <v>100000</v>
      </c>
      <c r="D24" s="43">
        <v>25000</v>
      </c>
      <c r="E24" s="43">
        <v>-550000</v>
      </c>
      <c r="F24" s="43">
        <v>25000</v>
      </c>
      <c r="G24" s="15">
        <f t="shared" si="3"/>
        <v>-400000</v>
      </c>
      <c r="H24" s="16"/>
      <c r="I24" s="26"/>
      <c r="J24" s="25"/>
      <c r="K24" s="26"/>
      <c r="L24" s="26"/>
      <c r="M24" s="25"/>
      <c r="N24" s="25"/>
      <c r="O24" s="25"/>
      <c r="P24" s="25"/>
      <c r="Q24" s="25"/>
      <c r="R24" s="27">
        <f t="shared" si="4"/>
        <v>-400000</v>
      </c>
      <c r="T24" s="1"/>
    </row>
    <row r="25" spans="1:22" x14ac:dyDescent="0.25">
      <c r="A25" s="20" t="s">
        <v>20</v>
      </c>
      <c r="B25" s="42"/>
      <c r="C25" s="43">
        <v>100000</v>
      </c>
      <c r="D25" s="43">
        <v>25000</v>
      </c>
      <c r="E25" s="43">
        <v>50000</v>
      </c>
      <c r="F25" s="43">
        <v>25000</v>
      </c>
      <c r="G25" s="15">
        <f t="shared" si="3"/>
        <v>200000</v>
      </c>
      <c r="H25" s="16"/>
      <c r="I25" s="26"/>
      <c r="J25" s="25"/>
      <c r="K25" s="26"/>
      <c r="L25" s="26"/>
      <c r="M25" s="25"/>
      <c r="N25" s="25"/>
      <c r="O25" s="25"/>
      <c r="P25" s="25"/>
      <c r="Q25" s="25"/>
      <c r="R25" s="27">
        <f t="shared" si="4"/>
        <v>200000</v>
      </c>
      <c r="T25" s="1"/>
    </row>
    <row r="26" spans="1:22" x14ac:dyDescent="0.25">
      <c r="A26" s="20" t="s">
        <v>21</v>
      </c>
      <c r="B26" s="42"/>
      <c r="C26" s="43">
        <v>100000</v>
      </c>
      <c r="D26" s="43">
        <v>25000</v>
      </c>
      <c r="E26" s="43">
        <v>50000</v>
      </c>
      <c r="F26" s="43">
        <v>25000</v>
      </c>
      <c r="G26" s="15">
        <f t="shared" si="3"/>
        <v>200000</v>
      </c>
      <c r="H26" s="16"/>
      <c r="I26" s="26"/>
      <c r="J26" s="25"/>
      <c r="K26" s="26"/>
      <c r="L26" s="26"/>
      <c r="M26" s="25"/>
      <c r="N26" s="25"/>
      <c r="O26" s="25"/>
      <c r="P26" s="25"/>
      <c r="Q26" s="25"/>
      <c r="R26" s="27">
        <f t="shared" si="4"/>
        <v>200000</v>
      </c>
      <c r="T26" s="1"/>
    </row>
    <row r="27" spans="1:22" x14ac:dyDescent="0.25">
      <c r="A27" s="20" t="s">
        <v>22</v>
      </c>
      <c r="B27" s="42"/>
      <c r="C27" s="43">
        <v>100000</v>
      </c>
      <c r="D27" s="43">
        <v>25000</v>
      </c>
      <c r="E27" s="43">
        <v>50000</v>
      </c>
      <c r="F27" s="43">
        <v>25000</v>
      </c>
      <c r="G27" s="15">
        <f t="shared" si="3"/>
        <v>200000</v>
      </c>
      <c r="H27" s="16"/>
      <c r="I27" s="26"/>
      <c r="J27" s="25"/>
      <c r="K27" s="26"/>
      <c r="M27" s="25"/>
      <c r="N27" s="25"/>
      <c r="O27" s="25"/>
      <c r="P27" s="25"/>
      <c r="Q27" s="25"/>
      <c r="R27" s="27">
        <f t="shared" si="4"/>
        <v>200000</v>
      </c>
      <c r="T27" s="1"/>
      <c r="V27" s="1"/>
    </row>
    <row r="28" spans="1:22" x14ac:dyDescent="0.25">
      <c r="A28" s="20" t="s">
        <v>23</v>
      </c>
      <c r="B28" s="42"/>
      <c r="C28" s="43">
        <v>100000</v>
      </c>
      <c r="D28" s="43">
        <v>25000</v>
      </c>
      <c r="E28" s="43">
        <v>50000</v>
      </c>
      <c r="F28" s="43">
        <v>25000</v>
      </c>
      <c r="G28" s="15">
        <f t="shared" si="3"/>
        <v>200000</v>
      </c>
      <c r="H28" s="16"/>
      <c r="I28" s="26"/>
      <c r="J28" s="25"/>
      <c r="K28" s="26"/>
      <c r="L28" s="26"/>
      <c r="M28" s="25"/>
      <c r="N28" s="25"/>
      <c r="O28" s="25"/>
      <c r="P28" s="25"/>
      <c r="Q28" s="25"/>
      <c r="R28" s="27">
        <f t="shared" si="4"/>
        <v>200000</v>
      </c>
      <c r="T28" s="1"/>
      <c r="V28" s="1"/>
    </row>
    <row r="29" spans="1:22" x14ac:dyDescent="0.25">
      <c r="A29" s="20" t="s">
        <v>24</v>
      </c>
      <c r="B29" s="42"/>
      <c r="C29" s="43">
        <v>100000</v>
      </c>
      <c r="D29" s="43">
        <v>25000</v>
      </c>
      <c r="E29" s="43">
        <v>50000</v>
      </c>
      <c r="F29" s="43">
        <v>25000</v>
      </c>
      <c r="G29" s="15">
        <f t="shared" si="3"/>
        <v>200000</v>
      </c>
      <c r="H29" s="16"/>
      <c r="I29" s="26"/>
      <c r="J29" s="25"/>
      <c r="K29" s="26"/>
      <c r="L29" s="26"/>
      <c r="M29" s="25"/>
      <c r="N29" s="26"/>
      <c r="O29" s="25"/>
      <c r="P29" s="25"/>
      <c r="Q29" s="25"/>
      <c r="R29" s="27">
        <f t="shared" si="4"/>
        <v>200000</v>
      </c>
      <c r="T29" s="1"/>
    </row>
    <row r="30" spans="1:22" x14ac:dyDescent="0.25">
      <c r="A30" s="20" t="s">
        <v>25</v>
      </c>
      <c r="B30" s="42"/>
      <c r="C30" s="43">
        <v>100000</v>
      </c>
      <c r="D30" s="43">
        <v>25000</v>
      </c>
      <c r="E30" s="43">
        <v>50000</v>
      </c>
      <c r="F30" s="43">
        <v>25000</v>
      </c>
      <c r="G30" s="15">
        <f t="shared" si="3"/>
        <v>200000</v>
      </c>
      <c r="H30" s="16"/>
      <c r="I30" s="26"/>
      <c r="J30" s="25"/>
      <c r="K30" s="26"/>
      <c r="L30" s="26"/>
      <c r="M30" s="25"/>
      <c r="N30" s="25"/>
      <c r="O30" s="25"/>
      <c r="P30" s="25"/>
      <c r="Q30" s="25"/>
      <c r="R30" s="27">
        <f t="shared" si="4"/>
        <v>200000</v>
      </c>
      <c r="T30" s="1"/>
    </row>
    <row r="31" spans="1:22" x14ac:dyDescent="0.25">
      <c r="A31" s="20" t="s">
        <v>26</v>
      </c>
      <c r="B31" s="42"/>
      <c r="C31" s="43">
        <v>100000</v>
      </c>
      <c r="D31" s="43">
        <v>25000</v>
      </c>
      <c r="E31" s="43">
        <v>50000</v>
      </c>
      <c r="F31" s="43">
        <v>25000</v>
      </c>
      <c r="G31" s="15">
        <f t="shared" si="3"/>
        <v>200000</v>
      </c>
      <c r="H31" s="16"/>
      <c r="I31" s="26"/>
      <c r="J31" s="25"/>
      <c r="K31" s="26"/>
      <c r="L31" s="26"/>
      <c r="M31" s="25"/>
      <c r="N31" s="25"/>
      <c r="O31" s="25"/>
      <c r="P31" s="25"/>
      <c r="Q31" s="25"/>
      <c r="R31" s="27">
        <f t="shared" si="4"/>
        <v>200000</v>
      </c>
    </row>
    <row r="32" spans="1:22" ht="15.75" thickBot="1" x14ac:dyDescent="0.3">
      <c r="A32" s="12" t="s">
        <v>15</v>
      </c>
      <c r="B32" s="44"/>
      <c r="C32" s="43">
        <v>100000</v>
      </c>
      <c r="D32" s="43">
        <v>25000</v>
      </c>
      <c r="E32" s="43">
        <v>50000</v>
      </c>
      <c r="F32" s="43">
        <v>25000</v>
      </c>
      <c r="G32" s="15">
        <f t="shared" si="3"/>
        <v>200000</v>
      </c>
      <c r="H32" s="16"/>
      <c r="I32" s="26"/>
      <c r="J32" s="25"/>
      <c r="K32" s="26"/>
      <c r="L32" s="26"/>
      <c r="M32" s="25"/>
      <c r="N32" s="25"/>
      <c r="O32" s="25"/>
      <c r="P32" s="25"/>
      <c r="Q32" s="25"/>
      <c r="R32" s="27">
        <f t="shared" si="4"/>
        <v>200000</v>
      </c>
      <c r="T32" s="1"/>
    </row>
    <row r="33" spans="1:22" ht="15.75" thickBot="1" x14ac:dyDescent="0.3">
      <c r="A33" s="29" t="s">
        <v>0</v>
      </c>
      <c r="B33" s="30">
        <f t="shared" ref="B33:F33" si="5">SUM(B20:B32)</f>
        <v>100000</v>
      </c>
      <c r="C33" s="30">
        <f t="shared" si="5"/>
        <v>3500000</v>
      </c>
      <c r="D33" s="30">
        <f t="shared" si="5"/>
        <v>875000</v>
      </c>
      <c r="E33" s="30">
        <f t="shared" si="5"/>
        <v>400000</v>
      </c>
      <c r="F33" s="30">
        <f t="shared" si="5"/>
        <v>875000</v>
      </c>
      <c r="G33" s="15">
        <f t="shared" ref="G33" si="6">F33+E33+D33+C33+B33</f>
        <v>5750000</v>
      </c>
      <c r="H33" s="32"/>
      <c r="I33" s="71" t="s">
        <v>27</v>
      </c>
      <c r="J33" s="72"/>
      <c r="K33" s="33">
        <f>SUM(K20:K32)</f>
        <v>0</v>
      </c>
      <c r="L33" s="34"/>
      <c r="M33" s="71" t="s">
        <v>28</v>
      </c>
      <c r="N33" s="73"/>
      <c r="O33" s="72"/>
      <c r="P33" s="33">
        <f>SUM(P20:P32)</f>
        <v>0</v>
      </c>
      <c r="Q33" s="34"/>
      <c r="R33" s="35"/>
      <c r="T33" s="1"/>
    </row>
    <row r="34" spans="1:22" s="36" customFormat="1" ht="15.75" thickBot="1" x14ac:dyDescent="0.3">
      <c r="C34" s="37"/>
      <c r="D34" s="37"/>
      <c r="F34" s="38"/>
      <c r="G34" s="3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T34" s="40"/>
    </row>
    <row r="35" spans="1:22" ht="15.75" customHeight="1" thickBot="1" x14ac:dyDescent="0.3">
      <c r="A35" s="2">
        <f>A18+1</f>
        <v>3</v>
      </c>
      <c r="B35" s="74" t="str">
        <f>VLOOKUP(A35,NAMA,2)</f>
        <v>SRI KASMA W, S.Pd.</v>
      </c>
      <c r="C35" s="75"/>
      <c r="D35" s="75"/>
      <c r="E35" s="75"/>
      <c r="F35" s="76"/>
      <c r="G35" s="3" t="s">
        <v>0</v>
      </c>
      <c r="H35" s="77" t="s">
        <v>1</v>
      </c>
      <c r="I35" s="78"/>
      <c r="J35" s="78"/>
      <c r="K35" s="78"/>
      <c r="L35" s="79"/>
      <c r="M35" s="80" t="s">
        <v>2</v>
      </c>
      <c r="N35" s="78"/>
      <c r="O35" s="78"/>
      <c r="P35" s="78"/>
      <c r="Q35" s="79"/>
      <c r="R35" s="69" t="s">
        <v>29</v>
      </c>
      <c r="T35" s="1"/>
    </row>
    <row r="36" spans="1:22" x14ac:dyDescent="0.25">
      <c r="A36" s="4" t="s">
        <v>4</v>
      </c>
      <c r="B36" s="5" t="s">
        <v>5</v>
      </c>
      <c r="C36" s="6" t="s">
        <v>6</v>
      </c>
      <c r="D36" s="6" t="s">
        <v>7</v>
      </c>
      <c r="E36" s="5" t="s">
        <v>8</v>
      </c>
      <c r="F36" s="5" t="s">
        <v>9</v>
      </c>
      <c r="G36" s="7" t="s">
        <v>10</v>
      </c>
      <c r="H36" s="8" t="s">
        <v>11</v>
      </c>
      <c r="I36" s="9" t="s">
        <v>0</v>
      </c>
      <c r="J36" s="9" t="s">
        <v>12</v>
      </c>
      <c r="K36" s="9" t="s">
        <v>13</v>
      </c>
      <c r="L36" s="10" t="s">
        <v>14</v>
      </c>
      <c r="M36" s="9" t="s">
        <v>11</v>
      </c>
      <c r="N36" s="9" t="s">
        <v>0</v>
      </c>
      <c r="O36" s="9" t="s">
        <v>12</v>
      </c>
      <c r="P36" s="9" t="s">
        <v>13</v>
      </c>
      <c r="Q36" s="10" t="s">
        <v>14</v>
      </c>
      <c r="R36" s="70"/>
      <c r="S36" s="11"/>
      <c r="T36" s="1"/>
    </row>
    <row r="37" spans="1:22" x14ac:dyDescent="0.25">
      <c r="A37" s="12" t="s">
        <v>15</v>
      </c>
      <c r="B37" s="41"/>
      <c r="C37" s="41"/>
      <c r="D37" s="41"/>
      <c r="E37" s="41"/>
      <c r="F37" s="41"/>
      <c r="G37" s="15"/>
      <c r="H37" s="16"/>
      <c r="I37" s="17"/>
      <c r="J37" s="18">
        <v>0</v>
      </c>
      <c r="K37" s="17"/>
      <c r="L37" s="17"/>
      <c r="M37" s="17"/>
      <c r="N37" s="17"/>
      <c r="O37" s="17">
        <v>0</v>
      </c>
      <c r="P37" s="17"/>
      <c r="Q37" s="17"/>
      <c r="R37" s="19"/>
      <c r="T37" s="1"/>
    </row>
    <row r="38" spans="1:22" x14ac:dyDescent="0.25">
      <c r="A38" s="20" t="s">
        <v>16</v>
      </c>
      <c r="B38" s="42"/>
      <c r="C38" s="43"/>
      <c r="D38" s="43"/>
      <c r="E38" s="43"/>
      <c r="F38" s="43"/>
      <c r="G38" s="15"/>
      <c r="H38" s="16"/>
      <c r="I38" s="26"/>
      <c r="J38" s="25"/>
      <c r="K38" s="26"/>
      <c r="L38" s="26"/>
      <c r="M38" s="25"/>
      <c r="N38" s="25"/>
      <c r="O38" s="25"/>
      <c r="P38" s="25"/>
      <c r="Q38" s="25"/>
      <c r="R38" s="27">
        <f>G38</f>
        <v>0</v>
      </c>
      <c r="T38" s="1"/>
    </row>
    <row r="39" spans="1:22" x14ac:dyDescent="0.25">
      <c r="A39" s="20" t="s">
        <v>17</v>
      </c>
      <c r="B39" s="42"/>
      <c r="C39" s="43"/>
      <c r="D39" s="43"/>
      <c r="E39" s="43"/>
      <c r="F39" s="43"/>
      <c r="G39" s="15"/>
      <c r="H39" s="16"/>
      <c r="I39" s="26"/>
      <c r="J39" s="25"/>
      <c r="K39" s="26"/>
      <c r="L39" s="26"/>
      <c r="M39" s="25"/>
      <c r="N39" s="25"/>
      <c r="O39" s="25"/>
      <c r="P39" s="25"/>
      <c r="Q39" s="25"/>
      <c r="R39" s="27">
        <f t="shared" ref="R39:R49" si="7">G39</f>
        <v>0</v>
      </c>
      <c r="T39" s="1"/>
      <c r="V39" s="1"/>
    </row>
    <row r="40" spans="1:22" x14ac:dyDescent="0.25">
      <c r="A40" s="20" t="s">
        <v>18</v>
      </c>
      <c r="B40" s="42"/>
      <c r="C40" s="43"/>
      <c r="D40" s="43"/>
      <c r="E40" s="43"/>
      <c r="F40" s="43"/>
      <c r="G40" s="15"/>
      <c r="H40" s="16"/>
      <c r="I40" s="26"/>
      <c r="J40" s="25"/>
      <c r="K40" s="26"/>
      <c r="L40" s="26"/>
      <c r="M40" s="25"/>
      <c r="N40" s="25"/>
      <c r="O40" s="25"/>
      <c r="P40" s="25"/>
      <c r="Q40" s="25"/>
      <c r="R40" s="27">
        <f t="shared" si="7"/>
        <v>0</v>
      </c>
      <c r="T40" s="1"/>
    </row>
    <row r="41" spans="1:22" x14ac:dyDescent="0.25">
      <c r="A41" s="20" t="s">
        <v>19</v>
      </c>
      <c r="B41" s="42"/>
      <c r="C41" s="43"/>
      <c r="D41" s="43"/>
      <c r="E41" s="43"/>
      <c r="F41" s="43"/>
      <c r="G41" s="15"/>
      <c r="H41" s="16"/>
      <c r="I41" s="26"/>
      <c r="J41" s="25"/>
      <c r="K41" s="26"/>
      <c r="L41" s="26"/>
      <c r="M41" s="25"/>
      <c r="N41" s="25"/>
      <c r="O41" s="25"/>
      <c r="P41" s="25"/>
      <c r="Q41" s="25"/>
      <c r="R41" s="27">
        <f t="shared" si="7"/>
        <v>0</v>
      </c>
      <c r="T41" s="1"/>
    </row>
    <row r="42" spans="1:22" x14ac:dyDescent="0.25">
      <c r="A42" s="20" t="s">
        <v>20</v>
      </c>
      <c r="B42" s="42"/>
      <c r="C42" s="43"/>
      <c r="D42" s="43"/>
      <c r="E42" s="43"/>
      <c r="F42" s="43"/>
      <c r="G42" s="15"/>
      <c r="H42" s="16"/>
      <c r="I42" s="26"/>
      <c r="J42" s="25"/>
      <c r="K42" s="26"/>
      <c r="L42" s="26"/>
      <c r="M42" s="25"/>
      <c r="N42" s="25"/>
      <c r="O42" s="25"/>
      <c r="P42" s="25"/>
      <c r="Q42" s="25"/>
      <c r="R42" s="27">
        <f t="shared" si="7"/>
        <v>0</v>
      </c>
      <c r="T42" s="1"/>
    </row>
    <row r="43" spans="1:22" x14ac:dyDescent="0.25">
      <c r="A43" s="20" t="s">
        <v>21</v>
      </c>
      <c r="B43" s="42"/>
      <c r="C43" s="43"/>
      <c r="D43" s="43"/>
      <c r="E43" s="43"/>
      <c r="F43" s="43"/>
      <c r="G43" s="15"/>
      <c r="H43" s="16"/>
      <c r="I43" s="26"/>
      <c r="J43" s="25"/>
      <c r="K43" s="26"/>
      <c r="L43" s="26"/>
      <c r="M43" s="25"/>
      <c r="N43" s="25"/>
      <c r="O43" s="25"/>
      <c r="P43" s="25"/>
      <c r="Q43" s="25"/>
      <c r="R43" s="27">
        <f t="shared" si="7"/>
        <v>0</v>
      </c>
      <c r="T43" s="1"/>
    </row>
    <row r="44" spans="1:22" x14ac:dyDescent="0.25">
      <c r="A44" s="20" t="s">
        <v>22</v>
      </c>
      <c r="B44" s="42"/>
      <c r="C44" s="43"/>
      <c r="D44" s="43"/>
      <c r="E44" s="43"/>
      <c r="F44" s="43"/>
      <c r="G44" s="15"/>
      <c r="H44" s="16"/>
      <c r="I44" s="26"/>
      <c r="J44" s="25"/>
      <c r="K44" s="26"/>
      <c r="L44" s="26"/>
      <c r="M44" s="25"/>
      <c r="N44" s="25"/>
      <c r="O44" s="25"/>
      <c r="P44" s="25"/>
      <c r="Q44" s="25"/>
      <c r="R44" s="27">
        <f t="shared" si="7"/>
        <v>0</v>
      </c>
      <c r="T44" s="1"/>
      <c r="V44" s="1"/>
    </row>
    <row r="45" spans="1:22" x14ac:dyDescent="0.25">
      <c r="A45" s="20" t="s">
        <v>23</v>
      </c>
      <c r="B45" s="42"/>
      <c r="C45" s="43"/>
      <c r="D45" s="43"/>
      <c r="E45" s="43"/>
      <c r="F45" s="43"/>
      <c r="G45" s="15"/>
      <c r="H45" s="16"/>
      <c r="I45" s="26"/>
      <c r="J45" s="25"/>
      <c r="K45" s="26"/>
      <c r="L45" s="26"/>
      <c r="M45" s="25"/>
      <c r="N45" s="25"/>
      <c r="O45" s="25"/>
      <c r="P45" s="25"/>
      <c r="Q45" s="25"/>
      <c r="R45" s="27">
        <f t="shared" si="7"/>
        <v>0</v>
      </c>
      <c r="T45" s="1"/>
      <c r="V45" s="1"/>
    </row>
    <row r="46" spans="1:22" x14ac:dyDescent="0.25">
      <c r="A46" s="20" t="s">
        <v>24</v>
      </c>
      <c r="B46" s="42"/>
      <c r="C46" s="43"/>
      <c r="D46" s="43"/>
      <c r="E46" s="43"/>
      <c r="F46" s="43"/>
      <c r="G46" s="15"/>
      <c r="H46" s="16"/>
      <c r="I46" s="26"/>
      <c r="J46" s="25"/>
      <c r="K46" s="26"/>
      <c r="L46" s="26"/>
      <c r="M46" s="25"/>
      <c r="N46" s="25"/>
      <c r="O46" s="25"/>
      <c r="P46" s="25"/>
      <c r="Q46" s="25"/>
      <c r="R46" s="27">
        <f t="shared" si="7"/>
        <v>0</v>
      </c>
      <c r="T46" s="1"/>
    </row>
    <row r="47" spans="1:22" x14ac:dyDescent="0.25">
      <c r="A47" s="20" t="s">
        <v>25</v>
      </c>
      <c r="B47" s="42"/>
      <c r="C47" s="43"/>
      <c r="D47" s="43"/>
      <c r="E47" s="43"/>
      <c r="F47" s="43"/>
      <c r="G47" s="15"/>
      <c r="H47" s="16"/>
      <c r="I47" s="26"/>
      <c r="J47" s="25"/>
      <c r="K47" s="26"/>
      <c r="L47" s="26"/>
      <c r="M47" s="25"/>
      <c r="N47" s="25"/>
      <c r="O47" s="25"/>
      <c r="P47" s="25"/>
      <c r="Q47" s="25"/>
      <c r="R47" s="27">
        <f t="shared" si="7"/>
        <v>0</v>
      </c>
      <c r="T47" s="1"/>
      <c r="V47" t="s">
        <v>46</v>
      </c>
    </row>
    <row r="48" spans="1:22" x14ac:dyDescent="0.25">
      <c r="A48" s="20" t="s">
        <v>26</v>
      </c>
      <c r="B48" s="42"/>
      <c r="C48" s="43"/>
      <c r="D48" s="43"/>
      <c r="E48" s="43"/>
      <c r="F48" s="43"/>
      <c r="G48" s="15"/>
      <c r="H48" s="16"/>
      <c r="I48" s="26"/>
      <c r="J48" s="25"/>
      <c r="K48" s="26"/>
      <c r="L48" s="26"/>
      <c r="M48" s="25"/>
      <c r="N48" s="25"/>
      <c r="O48" s="25"/>
      <c r="P48" s="25"/>
      <c r="Q48" s="25"/>
      <c r="R48" s="27">
        <f t="shared" si="7"/>
        <v>0</v>
      </c>
    </row>
    <row r="49" spans="1:22" ht="15.75" thickBot="1" x14ac:dyDescent="0.3">
      <c r="A49" s="12" t="s">
        <v>15</v>
      </c>
      <c r="B49" s="44"/>
      <c r="C49" s="43"/>
      <c r="D49" s="43"/>
      <c r="E49" s="43"/>
      <c r="F49" s="43"/>
      <c r="G49" s="15"/>
      <c r="H49" s="16"/>
      <c r="I49" s="26"/>
      <c r="J49" s="25"/>
      <c r="K49" s="26"/>
      <c r="L49" s="26"/>
      <c r="M49" s="25"/>
      <c r="N49" s="25"/>
      <c r="O49" s="25"/>
      <c r="P49" s="25"/>
      <c r="Q49" s="25"/>
      <c r="R49" s="27">
        <f t="shared" si="7"/>
        <v>0</v>
      </c>
      <c r="T49" s="1"/>
    </row>
    <row r="50" spans="1:22" ht="15.75" thickBot="1" x14ac:dyDescent="0.3">
      <c r="A50" s="29" t="s">
        <v>0</v>
      </c>
      <c r="B50" s="30"/>
      <c r="C50" s="30"/>
      <c r="D50" s="30"/>
      <c r="E50" s="30"/>
      <c r="F50" s="30"/>
      <c r="G50" s="31"/>
      <c r="H50" s="32"/>
      <c r="I50" s="71" t="s">
        <v>27</v>
      </c>
      <c r="J50" s="72"/>
      <c r="K50" s="33">
        <f>SUM(K37:K49)</f>
        <v>0</v>
      </c>
      <c r="L50" s="34"/>
      <c r="M50" s="71" t="s">
        <v>28</v>
      </c>
      <c r="N50" s="73"/>
      <c r="O50" s="72"/>
      <c r="P50" s="33">
        <f>SUM(P37:P49)</f>
        <v>0</v>
      </c>
      <c r="Q50" s="34"/>
      <c r="R50" s="35"/>
      <c r="T50" s="1"/>
    </row>
    <row r="51" spans="1:22" s="36" customFormat="1" ht="15.75" thickBot="1" x14ac:dyDescent="0.3">
      <c r="C51" s="37"/>
      <c r="D51" s="37"/>
      <c r="F51" s="38"/>
      <c r="G51" s="38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T51" s="40"/>
    </row>
    <row r="52" spans="1:22" ht="15.75" customHeight="1" thickBot="1" x14ac:dyDescent="0.3">
      <c r="A52" s="2">
        <f>A35+1</f>
        <v>4</v>
      </c>
      <c r="B52" s="74" t="str">
        <f>VLOOKUP(A52,NAMA,2)</f>
        <v>TRI TITAH    R, SPd</v>
      </c>
      <c r="C52" s="75"/>
      <c r="D52" s="75"/>
      <c r="E52" s="75"/>
      <c r="F52" s="76"/>
      <c r="G52" s="3" t="s">
        <v>0</v>
      </c>
      <c r="H52" s="77" t="s">
        <v>1</v>
      </c>
      <c r="I52" s="78"/>
      <c r="J52" s="78"/>
      <c r="K52" s="78"/>
      <c r="L52" s="79"/>
      <c r="M52" s="80" t="s">
        <v>2</v>
      </c>
      <c r="N52" s="78"/>
      <c r="O52" s="78"/>
      <c r="P52" s="78"/>
      <c r="Q52" s="79"/>
      <c r="R52" s="69" t="s">
        <v>29</v>
      </c>
      <c r="T52" s="1"/>
    </row>
    <row r="53" spans="1:22" x14ac:dyDescent="0.25">
      <c r="A53" s="4" t="s">
        <v>4</v>
      </c>
      <c r="B53" s="5" t="s">
        <v>5</v>
      </c>
      <c r="C53" s="6" t="s">
        <v>6</v>
      </c>
      <c r="D53" s="6" t="s">
        <v>7</v>
      </c>
      <c r="E53" s="5" t="s">
        <v>8</v>
      </c>
      <c r="F53" s="5" t="s">
        <v>9</v>
      </c>
      <c r="G53" s="7" t="s">
        <v>10</v>
      </c>
      <c r="H53" s="8" t="s">
        <v>11</v>
      </c>
      <c r="I53" s="9" t="s">
        <v>0</v>
      </c>
      <c r="J53" s="9" t="s">
        <v>12</v>
      </c>
      <c r="K53" s="9" t="s">
        <v>13</v>
      </c>
      <c r="L53" s="10" t="s">
        <v>14</v>
      </c>
      <c r="M53" s="9" t="s">
        <v>11</v>
      </c>
      <c r="N53" s="9" t="s">
        <v>0</v>
      </c>
      <c r="O53" s="9" t="s">
        <v>12</v>
      </c>
      <c r="P53" s="9" t="s">
        <v>13</v>
      </c>
      <c r="Q53" s="10" t="s">
        <v>14</v>
      </c>
      <c r="R53" s="70"/>
      <c r="S53" s="11"/>
      <c r="T53" s="1"/>
    </row>
    <row r="54" spans="1:22" x14ac:dyDescent="0.25">
      <c r="A54" s="12" t="s">
        <v>15</v>
      </c>
      <c r="B54" s="41"/>
      <c r="C54" s="41"/>
      <c r="D54" s="41"/>
      <c r="E54" s="41"/>
      <c r="F54" s="41">
        <v>0</v>
      </c>
      <c r="G54" s="15">
        <f>SUM(B54:F54)</f>
        <v>0</v>
      </c>
      <c r="H54" s="16"/>
      <c r="I54" s="17"/>
      <c r="J54" s="18">
        <v>0</v>
      </c>
      <c r="K54" s="17"/>
      <c r="L54" s="17"/>
      <c r="M54" s="17"/>
      <c r="N54" s="17"/>
      <c r="O54" s="17">
        <v>0</v>
      </c>
      <c r="P54" s="17"/>
      <c r="Q54" s="17"/>
      <c r="R54" s="19"/>
      <c r="T54" s="1"/>
    </row>
    <row r="55" spans="1:22" x14ac:dyDescent="0.25">
      <c r="A55" s="20" t="s">
        <v>16</v>
      </c>
      <c r="B55" s="42"/>
      <c r="C55" s="43"/>
      <c r="D55" s="43"/>
      <c r="E55" s="43"/>
      <c r="F55" s="43">
        <v>0</v>
      </c>
      <c r="G55" s="15">
        <f t="shared" ref="G55:G60" si="8">SUM(B55:F55)</f>
        <v>0</v>
      </c>
      <c r="H55" s="16"/>
      <c r="I55" s="26"/>
      <c r="J55" s="25"/>
      <c r="K55" s="26"/>
      <c r="L55" s="26"/>
      <c r="M55" s="25"/>
      <c r="N55" s="25"/>
      <c r="O55" s="25"/>
      <c r="P55" s="25"/>
      <c r="Q55" s="25"/>
      <c r="R55" s="27">
        <f>G55</f>
        <v>0</v>
      </c>
      <c r="T55" s="1"/>
    </row>
    <row r="56" spans="1:22" x14ac:dyDescent="0.25">
      <c r="A56" s="20" t="s">
        <v>17</v>
      </c>
      <c r="B56" s="42"/>
      <c r="C56" s="43"/>
      <c r="D56" s="43"/>
      <c r="E56" s="43"/>
      <c r="F56" s="43">
        <v>0</v>
      </c>
      <c r="G56" s="15">
        <f t="shared" si="8"/>
        <v>0</v>
      </c>
      <c r="H56" s="16"/>
      <c r="I56" s="26"/>
      <c r="J56" s="25"/>
      <c r="K56" s="26"/>
      <c r="L56" s="26"/>
      <c r="M56" s="25"/>
      <c r="N56" s="25"/>
      <c r="O56" s="25"/>
      <c r="P56" s="25"/>
      <c r="Q56" s="25"/>
      <c r="R56" s="27">
        <f t="shared" ref="R56:R59" si="9">G56</f>
        <v>0</v>
      </c>
      <c r="T56" s="1"/>
      <c r="V56" s="1"/>
    </row>
    <row r="57" spans="1:22" x14ac:dyDescent="0.25">
      <c r="A57" s="20" t="s">
        <v>18</v>
      </c>
      <c r="B57" s="42"/>
      <c r="C57" s="43"/>
      <c r="D57" s="43"/>
      <c r="E57" s="43"/>
      <c r="F57" s="43">
        <v>0</v>
      </c>
      <c r="G57" s="15">
        <f t="shared" si="8"/>
        <v>0</v>
      </c>
      <c r="H57" s="16"/>
      <c r="I57" s="26"/>
      <c r="J57" s="25"/>
      <c r="K57" s="26"/>
      <c r="L57" s="26"/>
      <c r="M57" s="25"/>
      <c r="N57" s="25"/>
      <c r="O57" s="25"/>
      <c r="P57" s="25"/>
      <c r="Q57" s="25"/>
      <c r="R57" s="27">
        <f t="shared" si="9"/>
        <v>0</v>
      </c>
      <c r="T57" s="1"/>
    </row>
    <row r="58" spans="1:22" x14ac:dyDescent="0.25">
      <c r="A58" s="20" t="s">
        <v>19</v>
      </c>
      <c r="B58" s="42"/>
      <c r="C58" s="43"/>
      <c r="D58" s="43"/>
      <c r="E58" s="43"/>
      <c r="F58" s="43">
        <v>0</v>
      </c>
      <c r="G58" s="15">
        <f t="shared" si="8"/>
        <v>0</v>
      </c>
      <c r="H58" s="16"/>
      <c r="I58" s="26"/>
      <c r="J58" s="25"/>
      <c r="K58" s="26"/>
      <c r="L58" s="26"/>
      <c r="M58" s="25"/>
      <c r="N58" s="25"/>
      <c r="O58" s="25"/>
      <c r="P58" s="25"/>
      <c r="Q58" s="25"/>
      <c r="R58" s="27">
        <f t="shared" si="9"/>
        <v>0</v>
      </c>
      <c r="T58" s="1"/>
    </row>
    <row r="59" spans="1:22" x14ac:dyDescent="0.25">
      <c r="A59" s="20" t="s">
        <v>20</v>
      </c>
      <c r="B59" s="42"/>
      <c r="C59" s="43"/>
      <c r="D59" s="43"/>
      <c r="E59" s="43"/>
      <c r="F59" s="43">
        <v>0</v>
      </c>
      <c r="G59" s="15">
        <f t="shared" si="8"/>
        <v>0</v>
      </c>
      <c r="H59" s="16"/>
      <c r="I59" s="26"/>
      <c r="J59" s="25"/>
      <c r="K59" s="26"/>
      <c r="L59" s="26"/>
      <c r="M59" s="25"/>
      <c r="N59" s="25"/>
      <c r="O59" s="25"/>
      <c r="P59" s="25"/>
      <c r="Q59" s="25"/>
      <c r="R59" s="27">
        <f t="shared" si="9"/>
        <v>0</v>
      </c>
      <c r="T59" s="1"/>
    </row>
    <row r="60" spans="1:22" x14ac:dyDescent="0.25">
      <c r="A60" s="20" t="s">
        <v>21</v>
      </c>
      <c r="B60" s="42"/>
      <c r="C60" s="43">
        <v>0</v>
      </c>
      <c r="D60" s="43">
        <v>0</v>
      </c>
      <c r="E60" s="43">
        <v>0</v>
      </c>
      <c r="F60" s="43">
        <v>0</v>
      </c>
      <c r="G60" s="15">
        <f t="shared" si="8"/>
        <v>0</v>
      </c>
      <c r="H60" s="16"/>
      <c r="I60" s="26"/>
      <c r="J60" s="25"/>
      <c r="K60" s="26"/>
      <c r="L60" s="26"/>
      <c r="M60" s="25"/>
      <c r="N60" s="25"/>
      <c r="O60" s="25"/>
      <c r="P60" s="25"/>
      <c r="Q60" s="25"/>
      <c r="R60" s="27">
        <v>0</v>
      </c>
      <c r="T60" s="1"/>
    </row>
    <row r="61" spans="1:22" x14ac:dyDescent="0.25">
      <c r="A61" s="20" t="s">
        <v>22</v>
      </c>
      <c r="B61" s="42"/>
      <c r="C61" s="43">
        <v>0</v>
      </c>
      <c r="D61" s="43">
        <v>0</v>
      </c>
      <c r="E61" s="43">
        <v>0</v>
      </c>
      <c r="F61" s="43">
        <v>0</v>
      </c>
      <c r="G61" s="15">
        <f t="shared" ref="G61:G66" si="10">SUM(B61:F61)</f>
        <v>0</v>
      </c>
      <c r="H61" s="16"/>
      <c r="I61" s="26"/>
      <c r="J61" s="25"/>
      <c r="K61" s="26"/>
      <c r="L61" s="26"/>
      <c r="M61" s="25"/>
      <c r="N61" s="25"/>
      <c r="O61" s="25"/>
      <c r="P61" s="25"/>
      <c r="Q61" s="25"/>
      <c r="R61" s="27"/>
      <c r="T61" s="1"/>
      <c r="V61" s="1"/>
    </row>
    <row r="62" spans="1:22" x14ac:dyDescent="0.25">
      <c r="A62" s="20" t="s">
        <v>23</v>
      </c>
      <c r="B62" s="42"/>
      <c r="C62" s="43">
        <v>0</v>
      </c>
      <c r="D62" s="43">
        <v>0</v>
      </c>
      <c r="E62" s="43">
        <v>0</v>
      </c>
      <c r="F62" s="43">
        <v>0</v>
      </c>
      <c r="G62" s="15">
        <f t="shared" si="10"/>
        <v>0</v>
      </c>
      <c r="H62" s="16"/>
      <c r="I62" s="26"/>
      <c r="J62" s="25"/>
      <c r="K62" s="26"/>
      <c r="L62" s="26"/>
      <c r="M62" s="25"/>
      <c r="N62" s="25"/>
      <c r="O62" s="25"/>
      <c r="P62" s="25"/>
      <c r="Q62" s="25"/>
      <c r="R62" s="27"/>
      <c r="T62" s="1"/>
      <c r="V62" s="1"/>
    </row>
    <row r="63" spans="1:22" x14ac:dyDescent="0.25">
      <c r="A63" s="20" t="s">
        <v>24</v>
      </c>
      <c r="B63" s="42"/>
      <c r="C63" s="43">
        <v>0</v>
      </c>
      <c r="D63" s="43">
        <v>0</v>
      </c>
      <c r="E63" s="43">
        <v>0</v>
      </c>
      <c r="F63" s="43">
        <v>0</v>
      </c>
      <c r="G63" s="15">
        <f t="shared" si="10"/>
        <v>0</v>
      </c>
      <c r="H63" s="16"/>
      <c r="I63" s="26"/>
      <c r="J63" s="25"/>
      <c r="K63" s="26"/>
      <c r="L63" s="26"/>
      <c r="M63" s="25"/>
      <c r="N63" s="25"/>
      <c r="O63" s="25"/>
      <c r="P63" s="25"/>
      <c r="Q63" s="25"/>
      <c r="R63" s="27"/>
      <c r="T63" s="1"/>
    </row>
    <row r="64" spans="1:22" x14ac:dyDescent="0.25">
      <c r="A64" s="20" t="s">
        <v>25</v>
      </c>
      <c r="B64" s="42"/>
      <c r="C64" s="43">
        <v>0</v>
      </c>
      <c r="D64" s="43">
        <v>0</v>
      </c>
      <c r="E64" s="43">
        <v>0</v>
      </c>
      <c r="F64" s="43">
        <v>0</v>
      </c>
      <c r="G64" s="15">
        <f t="shared" si="10"/>
        <v>0</v>
      </c>
      <c r="H64" s="16"/>
      <c r="I64" s="26"/>
      <c r="J64" s="25"/>
      <c r="K64" s="26"/>
      <c r="L64" s="26"/>
      <c r="M64" s="25"/>
      <c r="N64" s="25"/>
      <c r="O64" s="25"/>
      <c r="P64" s="25"/>
      <c r="Q64" s="25"/>
      <c r="R64" s="27"/>
      <c r="T64" s="1"/>
    </row>
    <row r="65" spans="1:22" x14ac:dyDescent="0.25">
      <c r="A65" s="20" t="s">
        <v>26</v>
      </c>
      <c r="B65" s="42"/>
      <c r="C65" s="43">
        <v>0</v>
      </c>
      <c r="D65" s="43">
        <v>0</v>
      </c>
      <c r="E65" s="43">
        <v>0</v>
      </c>
      <c r="F65" s="43">
        <v>0</v>
      </c>
      <c r="G65" s="15">
        <f t="shared" si="10"/>
        <v>0</v>
      </c>
      <c r="H65" s="16"/>
      <c r="I65" s="26"/>
      <c r="J65" s="25"/>
      <c r="K65" s="26"/>
      <c r="L65" s="26"/>
      <c r="M65" s="25"/>
      <c r="N65" s="25"/>
      <c r="O65" s="25"/>
      <c r="P65" s="25"/>
      <c r="Q65" s="25"/>
      <c r="R65" s="27"/>
    </row>
    <row r="66" spans="1:22" ht="15.75" thickBot="1" x14ac:dyDescent="0.3">
      <c r="A66" s="12" t="s">
        <v>15</v>
      </c>
      <c r="B66" s="44"/>
      <c r="C66" s="43">
        <v>0</v>
      </c>
      <c r="D66" s="43">
        <v>0</v>
      </c>
      <c r="E66" s="43">
        <v>0</v>
      </c>
      <c r="F66" s="43">
        <v>0</v>
      </c>
      <c r="G66" s="15">
        <f t="shared" si="10"/>
        <v>0</v>
      </c>
      <c r="H66" s="16"/>
      <c r="I66" s="26"/>
      <c r="J66" s="25"/>
      <c r="K66" s="26"/>
      <c r="L66" s="26"/>
      <c r="M66" s="25"/>
      <c r="N66" s="25"/>
      <c r="O66" s="25"/>
      <c r="P66" s="25"/>
      <c r="Q66" s="25"/>
      <c r="R66" s="27"/>
      <c r="T66" s="1"/>
    </row>
    <row r="67" spans="1:22" ht="15.75" thickBot="1" x14ac:dyDescent="0.3">
      <c r="A67" s="29" t="s">
        <v>0</v>
      </c>
      <c r="B67" s="30">
        <f t="shared" ref="B67:F67" si="11">SUM(B54:B66)</f>
        <v>0</v>
      </c>
      <c r="C67" s="30">
        <f t="shared" si="11"/>
        <v>0</v>
      </c>
      <c r="D67" s="30">
        <f t="shared" si="11"/>
        <v>0</v>
      </c>
      <c r="E67" s="30">
        <f t="shared" si="11"/>
        <v>0</v>
      </c>
      <c r="F67" s="30">
        <f t="shared" si="11"/>
        <v>0</v>
      </c>
      <c r="G67" s="31"/>
      <c r="H67" s="32"/>
      <c r="I67" s="71" t="s">
        <v>27</v>
      </c>
      <c r="J67" s="72"/>
      <c r="K67" s="33">
        <f>SUM(K54:K66)</f>
        <v>0</v>
      </c>
      <c r="L67" s="34"/>
      <c r="M67" s="71" t="s">
        <v>28</v>
      </c>
      <c r="N67" s="73"/>
      <c r="O67" s="72"/>
      <c r="P67" s="33">
        <f>SUM(P54:P66)</f>
        <v>0</v>
      </c>
      <c r="Q67" s="34"/>
      <c r="R67" s="35"/>
      <c r="T67" s="1"/>
    </row>
    <row r="68" spans="1:22" s="36" customFormat="1" ht="15.75" thickBot="1" x14ac:dyDescent="0.3">
      <c r="C68" s="37"/>
      <c r="D68" s="37"/>
      <c r="F68" s="38"/>
      <c r="G68" s="38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T68" s="40"/>
    </row>
    <row r="69" spans="1:22" ht="15.75" customHeight="1" thickBot="1" x14ac:dyDescent="0.3">
      <c r="A69" s="2">
        <f>A52+1</f>
        <v>5</v>
      </c>
      <c r="B69" s="74" t="str">
        <f>VLOOKUP(A69,NAMA,2)</f>
        <v>NASUHA</v>
      </c>
      <c r="C69" s="75"/>
      <c r="D69" s="75"/>
      <c r="E69" s="75"/>
      <c r="F69" s="76"/>
      <c r="G69" s="3" t="s">
        <v>0</v>
      </c>
      <c r="H69" s="77" t="s">
        <v>1</v>
      </c>
      <c r="I69" s="78"/>
      <c r="J69" s="78"/>
      <c r="K69" s="78"/>
      <c r="L69" s="79"/>
      <c r="M69" s="80" t="s">
        <v>2</v>
      </c>
      <c r="N69" s="78"/>
      <c r="O69" s="78"/>
      <c r="P69" s="78"/>
      <c r="Q69" s="79"/>
      <c r="R69" s="69" t="s">
        <v>29</v>
      </c>
      <c r="T69" s="1"/>
    </row>
    <row r="70" spans="1:22" x14ac:dyDescent="0.25">
      <c r="A70" s="4" t="s">
        <v>4</v>
      </c>
      <c r="B70" s="5" t="s">
        <v>5</v>
      </c>
      <c r="C70" s="6" t="s">
        <v>6</v>
      </c>
      <c r="D70" s="6" t="s">
        <v>7</v>
      </c>
      <c r="E70" s="5" t="s">
        <v>8</v>
      </c>
      <c r="F70" s="5" t="s">
        <v>9</v>
      </c>
      <c r="G70" s="7" t="s">
        <v>10</v>
      </c>
      <c r="H70" s="8" t="s">
        <v>11</v>
      </c>
      <c r="I70" s="9" t="s">
        <v>0</v>
      </c>
      <c r="J70" s="9" t="s">
        <v>12</v>
      </c>
      <c r="K70" s="9" t="s">
        <v>13</v>
      </c>
      <c r="L70" s="10" t="s">
        <v>14</v>
      </c>
      <c r="M70" s="9" t="s">
        <v>11</v>
      </c>
      <c r="N70" s="9" t="s">
        <v>0</v>
      </c>
      <c r="O70" s="9" t="s">
        <v>12</v>
      </c>
      <c r="P70" s="9" t="s">
        <v>13</v>
      </c>
      <c r="Q70" s="10" t="s">
        <v>14</v>
      </c>
      <c r="R70" s="70"/>
      <c r="S70" s="11"/>
      <c r="T70" s="1"/>
    </row>
    <row r="71" spans="1:22" x14ac:dyDescent="0.25">
      <c r="A71" s="12" t="s">
        <v>15</v>
      </c>
      <c r="B71" s="41"/>
      <c r="C71" s="41"/>
      <c r="D71" s="41"/>
      <c r="E71" s="41"/>
      <c r="F71" s="41"/>
      <c r="G71" s="15"/>
      <c r="H71" s="16"/>
      <c r="I71" s="17"/>
      <c r="J71" s="18"/>
      <c r="K71" s="17"/>
      <c r="L71" s="17"/>
      <c r="M71" s="17"/>
      <c r="N71" s="17"/>
      <c r="O71" s="46" t="s">
        <v>30</v>
      </c>
      <c r="P71" s="17"/>
      <c r="Q71" s="17"/>
      <c r="R71" s="19"/>
      <c r="T71" s="1"/>
    </row>
    <row r="72" spans="1:22" x14ac:dyDescent="0.25">
      <c r="A72" s="20" t="s">
        <v>16</v>
      </c>
      <c r="B72" s="42"/>
      <c r="C72" s="43"/>
      <c r="D72" s="43"/>
      <c r="E72" s="43"/>
      <c r="F72" s="43"/>
      <c r="G72" s="15"/>
      <c r="H72" s="16"/>
      <c r="I72" s="26"/>
      <c r="J72" s="25"/>
      <c r="K72" s="26"/>
      <c r="L72" s="26"/>
      <c r="M72" s="25"/>
      <c r="N72" s="25"/>
      <c r="O72" s="46"/>
      <c r="P72" s="47"/>
      <c r="Q72" s="25"/>
      <c r="R72" s="27">
        <f>K72+I72+G72</f>
        <v>0</v>
      </c>
      <c r="T72" s="1"/>
    </row>
    <row r="73" spans="1:22" x14ac:dyDescent="0.25">
      <c r="A73" s="20" t="s">
        <v>17</v>
      </c>
      <c r="B73" s="42"/>
      <c r="C73" s="43"/>
      <c r="D73" s="43"/>
      <c r="E73" s="43"/>
      <c r="F73" s="43"/>
      <c r="G73" s="15"/>
      <c r="H73" s="16"/>
      <c r="I73" s="26"/>
      <c r="J73" s="25"/>
      <c r="K73" s="26"/>
      <c r="L73" s="26"/>
      <c r="M73" s="25"/>
      <c r="N73" s="25"/>
      <c r="O73" s="46"/>
      <c r="P73" s="47"/>
      <c r="Q73" s="25"/>
      <c r="R73" s="27">
        <f t="shared" ref="R73:R83" si="12">K73+I73+G73</f>
        <v>0</v>
      </c>
      <c r="T73" s="1"/>
      <c r="V73" s="1"/>
    </row>
    <row r="74" spans="1:22" x14ac:dyDescent="0.25">
      <c r="A74" s="20" t="s">
        <v>18</v>
      </c>
      <c r="B74" s="42"/>
      <c r="C74" s="43"/>
      <c r="D74" s="43"/>
      <c r="E74" s="43"/>
      <c r="F74" s="43"/>
      <c r="G74" s="15"/>
      <c r="H74" s="16"/>
      <c r="I74" s="26"/>
      <c r="J74" s="25"/>
      <c r="K74" s="26"/>
      <c r="L74" s="26"/>
      <c r="M74" s="25"/>
      <c r="N74" s="25"/>
      <c r="O74" s="46"/>
      <c r="P74" s="47"/>
      <c r="Q74" s="25"/>
      <c r="R74" s="27">
        <f t="shared" si="12"/>
        <v>0</v>
      </c>
      <c r="T74" s="1"/>
    </row>
    <row r="75" spans="1:22" x14ac:dyDescent="0.25">
      <c r="A75" s="20" t="s">
        <v>19</v>
      </c>
      <c r="B75" s="42"/>
      <c r="C75" s="43"/>
      <c r="D75" s="43"/>
      <c r="E75" s="43"/>
      <c r="F75" s="43"/>
      <c r="G75" s="15"/>
      <c r="H75" s="16"/>
      <c r="I75" s="26"/>
      <c r="J75" s="25"/>
      <c r="K75" s="26"/>
      <c r="L75" s="26"/>
      <c r="M75" s="25"/>
      <c r="N75" s="25"/>
      <c r="O75" s="46"/>
      <c r="P75" s="47"/>
      <c r="Q75" s="25"/>
      <c r="R75" s="27">
        <f t="shared" si="12"/>
        <v>0</v>
      </c>
      <c r="T75" s="1"/>
    </row>
    <row r="76" spans="1:22" x14ac:dyDescent="0.25">
      <c r="A76" s="20" t="s">
        <v>20</v>
      </c>
      <c r="B76" s="42"/>
      <c r="C76" s="43"/>
      <c r="D76" s="43"/>
      <c r="E76" s="43"/>
      <c r="F76" s="43"/>
      <c r="G76" s="15"/>
      <c r="H76" s="16"/>
      <c r="I76" s="26"/>
      <c r="J76" s="25"/>
      <c r="K76" s="26"/>
      <c r="L76" s="26"/>
      <c r="M76" s="25"/>
      <c r="N76" s="25"/>
      <c r="O76" s="46"/>
      <c r="P76" s="47"/>
      <c r="Q76" s="25"/>
      <c r="R76" s="27">
        <f t="shared" si="12"/>
        <v>0</v>
      </c>
      <c r="T76" s="1"/>
    </row>
    <row r="77" spans="1:22" x14ac:dyDescent="0.25">
      <c r="A77" s="20" t="s">
        <v>21</v>
      </c>
      <c r="B77" s="42"/>
      <c r="C77" s="43"/>
      <c r="D77" s="43"/>
      <c r="E77" s="43"/>
      <c r="F77" s="43"/>
      <c r="G77" s="15"/>
      <c r="H77" s="16"/>
      <c r="I77" s="26"/>
      <c r="J77" s="25"/>
      <c r="K77" s="26"/>
      <c r="L77" s="26"/>
      <c r="M77" s="25"/>
      <c r="N77" s="25"/>
      <c r="O77" s="46"/>
      <c r="P77" s="47"/>
      <c r="Q77" s="25"/>
      <c r="R77" s="27">
        <f t="shared" si="12"/>
        <v>0</v>
      </c>
      <c r="T77" s="1"/>
    </row>
    <row r="78" spans="1:22" x14ac:dyDescent="0.25">
      <c r="A78" s="20" t="s">
        <v>22</v>
      </c>
      <c r="B78" s="42"/>
      <c r="C78" s="43"/>
      <c r="D78" s="43"/>
      <c r="E78" s="43"/>
      <c r="F78" s="43"/>
      <c r="G78" s="15"/>
      <c r="H78" s="16"/>
      <c r="I78" s="26"/>
      <c r="J78" s="25"/>
      <c r="K78" s="26"/>
      <c r="L78" s="26"/>
      <c r="M78" s="25"/>
      <c r="N78" s="25"/>
      <c r="O78" s="25"/>
      <c r="P78" s="47"/>
      <c r="Q78" s="25"/>
      <c r="R78" s="27">
        <f t="shared" si="12"/>
        <v>0</v>
      </c>
      <c r="T78" s="1"/>
      <c r="V78" s="1"/>
    </row>
    <row r="79" spans="1:22" x14ac:dyDescent="0.25">
      <c r="A79" s="20" t="s">
        <v>23</v>
      </c>
      <c r="B79" s="42"/>
      <c r="C79" s="43"/>
      <c r="D79" s="43"/>
      <c r="E79" s="43"/>
      <c r="F79" s="43"/>
      <c r="G79" s="15"/>
      <c r="H79" s="16"/>
      <c r="I79" s="26"/>
      <c r="J79" s="25"/>
      <c r="K79" s="26"/>
      <c r="L79" s="26"/>
      <c r="M79" s="25"/>
      <c r="N79" s="25"/>
      <c r="O79" s="25"/>
      <c r="P79" s="25"/>
      <c r="Q79" s="25"/>
      <c r="R79" s="27">
        <f t="shared" si="12"/>
        <v>0</v>
      </c>
      <c r="T79" s="1"/>
      <c r="V79" s="1"/>
    </row>
    <row r="80" spans="1:22" x14ac:dyDescent="0.25">
      <c r="A80" s="20" t="s">
        <v>24</v>
      </c>
      <c r="B80" s="42"/>
      <c r="C80" s="43"/>
      <c r="D80" s="43"/>
      <c r="E80" s="43"/>
      <c r="F80" s="43"/>
      <c r="G80" s="15"/>
      <c r="H80" s="16"/>
      <c r="I80" s="26"/>
      <c r="J80" s="25"/>
      <c r="K80" s="26"/>
      <c r="L80" s="26"/>
      <c r="M80" s="25"/>
      <c r="N80" s="25"/>
      <c r="O80" s="25"/>
      <c r="P80" s="25"/>
      <c r="Q80" s="25"/>
      <c r="R80" s="27">
        <f t="shared" si="12"/>
        <v>0</v>
      </c>
      <c r="T80" s="1"/>
    </row>
    <row r="81" spans="1:22" x14ac:dyDescent="0.25">
      <c r="A81" s="20" t="s">
        <v>25</v>
      </c>
      <c r="B81" s="42"/>
      <c r="C81" s="43"/>
      <c r="D81" s="43"/>
      <c r="E81" s="43"/>
      <c r="F81" s="43"/>
      <c r="G81" s="15"/>
      <c r="H81" s="16"/>
      <c r="I81" s="26"/>
      <c r="J81" s="25"/>
      <c r="K81" s="26"/>
      <c r="L81" s="26"/>
      <c r="M81" s="25"/>
      <c r="N81" s="25"/>
      <c r="O81" s="25"/>
      <c r="P81" s="25"/>
      <c r="Q81" s="25"/>
      <c r="R81" s="27">
        <f t="shared" si="12"/>
        <v>0</v>
      </c>
      <c r="T81" s="1"/>
    </row>
    <row r="82" spans="1:22" x14ac:dyDescent="0.25">
      <c r="A82" s="20" t="s">
        <v>26</v>
      </c>
      <c r="B82" s="42"/>
      <c r="C82" s="43"/>
      <c r="D82" s="43"/>
      <c r="E82" s="43"/>
      <c r="F82" s="43"/>
      <c r="G82" s="15"/>
      <c r="H82" s="16"/>
      <c r="I82" s="26"/>
      <c r="J82" s="25"/>
      <c r="K82" s="26"/>
      <c r="L82" s="26"/>
      <c r="M82" s="25"/>
      <c r="N82" s="25"/>
      <c r="O82" s="25"/>
      <c r="P82" s="25"/>
      <c r="Q82" s="25"/>
      <c r="R82" s="27">
        <f t="shared" si="12"/>
        <v>0</v>
      </c>
    </row>
    <row r="83" spans="1:22" ht="15.75" thickBot="1" x14ac:dyDescent="0.3">
      <c r="A83" s="12" t="s">
        <v>15</v>
      </c>
      <c r="B83" s="44"/>
      <c r="C83" s="43"/>
      <c r="D83" s="43"/>
      <c r="E83" s="43"/>
      <c r="F83" s="43"/>
      <c r="G83" s="15"/>
      <c r="H83" s="16"/>
      <c r="I83" s="26"/>
      <c r="J83" s="25"/>
      <c r="K83" s="26"/>
      <c r="L83" s="26"/>
      <c r="M83" s="25"/>
      <c r="N83" s="25"/>
      <c r="O83" s="25"/>
      <c r="P83" s="25"/>
      <c r="Q83" s="25"/>
      <c r="R83" s="27">
        <f t="shared" si="12"/>
        <v>0</v>
      </c>
      <c r="T83" s="1"/>
    </row>
    <row r="84" spans="1:22" ht="15.75" thickBot="1" x14ac:dyDescent="0.3">
      <c r="A84" s="29" t="s">
        <v>0</v>
      </c>
      <c r="B84" s="30">
        <f t="shared" ref="B84:G84" si="13">SUM(B71:B83)</f>
        <v>0</v>
      </c>
      <c r="C84" s="30">
        <f t="shared" si="13"/>
        <v>0</v>
      </c>
      <c r="D84" s="30">
        <f t="shared" si="13"/>
        <v>0</v>
      </c>
      <c r="E84" s="30">
        <f t="shared" si="13"/>
        <v>0</v>
      </c>
      <c r="F84" s="30">
        <f t="shared" si="13"/>
        <v>0</v>
      </c>
      <c r="G84" s="31">
        <f t="shared" si="13"/>
        <v>0</v>
      </c>
      <c r="H84" s="32"/>
      <c r="I84" s="71" t="s">
        <v>27</v>
      </c>
      <c r="J84" s="72"/>
      <c r="K84" s="33">
        <f>SUM(K71:K83)</f>
        <v>0</v>
      </c>
      <c r="L84" s="34"/>
      <c r="M84" s="71" t="s">
        <v>28</v>
      </c>
      <c r="N84" s="73"/>
      <c r="O84" s="72"/>
      <c r="P84" s="33">
        <f>SUM(P71:P83)</f>
        <v>0</v>
      </c>
      <c r="Q84" s="34"/>
      <c r="R84" s="35"/>
      <c r="T84" s="1"/>
    </row>
    <row r="85" spans="1:22" s="36" customFormat="1" ht="15.75" thickBot="1" x14ac:dyDescent="0.3">
      <c r="C85" s="37"/>
      <c r="D85" s="37"/>
      <c r="F85" s="38"/>
      <c r="G85" s="38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T85" s="40"/>
    </row>
    <row r="86" spans="1:22" ht="15.75" customHeight="1" thickBot="1" x14ac:dyDescent="0.3">
      <c r="A86" s="2">
        <f>A69+1</f>
        <v>6</v>
      </c>
      <c r="B86" s="74" t="str">
        <f>VLOOKUP(A86,NAMA,2)</f>
        <v>DEOT SISWORO, S.Sn.</v>
      </c>
      <c r="C86" s="75"/>
      <c r="D86" s="75"/>
      <c r="E86" s="75"/>
      <c r="F86" s="76"/>
      <c r="G86" s="3" t="s">
        <v>0</v>
      </c>
      <c r="H86" s="77" t="s">
        <v>1</v>
      </c>
      <c r="I86" s="78"/>
      <c r="J86" s="78"/>
      <c r="K86" s="78"/>
      <c r="L86" s="79"/>
      <c r="M86" s="80" t="s">
        <v>2</v>
      </c>
      <c r="N86" s="78"/>
      <c r="O86" s="78"/>
      <c r="P86" s="78"/>
      <c r="Q86" s="79"/>
      <c r="R86" s="69" t="s">
        <v>29</v>
      </c>
      <c r="T86" s="1"/>
    </row>
    <row r="87" spans="1:22" x14ac:dyDescent="0.25">
      <c r="A87" s="4" t="s">
        <v>4</v>
      </c>
      <c r="B87" s="5" t="s">
        <v>5</v>
      </c>
      <c r="C87" s="6" t="s">
        <v>6</v>
      </c>
      <c r="D87" s="6" t="s">
        <v>7</v>
      </c>
      <c r="E87" s="5" t="s">
        <v>8</v>
      </c>
      <c r="F87" s="5" t="s">
        <v>9</v>
      </c>
      <c r="G87" s="7" t="s">
        <v>10</v>
      </c>
      <c r="H87" s="8" t="s">
        <v>11</v>
      </c>
      <c r="I87" s="9" t="s">
        <v>0</v>
      </c>
      <c r="J87" s="9" t="s">
        <v>12</v>
      </c>
      <c r="K87" s="9" t="s">
        <v>13</v>
      </c>
      <c r="L87" s="10" t="s">
        <v>14</v>
      </c>
      <c r="M87" s="9" t="s">
        <v>11</v>
      </c>
      <c r="N87" s="9" t="s">
        <v>0</v>
      </c>
      <c r="O87" s="9" t="s">
        <v>12</v>
      </c>
      <c r="P87" s="9" t="s">
        <v>13</v>
      </c>
      <c r="Q87" s="10" t="s">
        <v>14</v>
      </c>
      <c r="R87" s="70"/>
      <c r="S87" s="11"/>
      <c r="T87" s="1"/>
    </row>
    <row r="88" spans="1:22" x14ac:dyDescent="0.25">
      <c r="A88" s="12" t="s">
        <v>15</v>
      </c>
      <c r="B88" s="41"/>
      <c r="C88" s="41"/>
      <c r="D88" s="41"/>
      <c r="E88" s="41"/>
      <c r="F88" s="41"/>
      <c r="G88" s="15"/>
      <c r="H88" s="16"/>
      <c r="I88" s="17"/>
      <c r="J88" s="18"/>
      <c r="K88" s="17"/>
      <c r="L88" s="17"/>
      <c r="M88" s="17"/>
      <c r="N88" s="17"/>
      <c r="O88" s="17"/>
      <c r="P88" s="17"/>
      <c r="Q88" s="17"/>
      <c r="R88" s="19"/>
      <c r="T88" s="1"/>
    </row>
    <row r="89" spans="1:22" x14ac:dyDescent="0.25">
      <c r="A89" s="20" t="s">
        <v>16</v>
      </c>
      <c r="B89" s="42"/>
      <c r="C89" s="45"/>
      <c r="D89" s="45"/>
      <c r="E89" s="45"/>
      <c r="F89" s="45"/>
      <c r="G89" s="15"/>
      <c r="H89" s="16"/>
      <c r="I89" s="26"/>
      <c r="J89" s="25"/>
      <c r="K89" s="26"/>
      <c r="L89" s="26"/>
      <c r="M89" s="25"/>
      <c r="N89" s="25"/>
      <c r="O89" s="25"/>
      <c r="P89" s="25"/>
      <c r="Q89" s="25"/>
      <c r="R89" s="27">
        <f>K89+I89+G89</f>
        <v>0</v>
      </c>
      <c r="T89" s="1"/>
    </row>
    <row r="90" spans="1:22" x14ac:dyDescent="0.25">
      <c r="A90" s="20" t="s">
        <v>17</v>
      </c>
      <c r="B90" s="42"/>
      <c r="C90" s="45"/>
      <c r="D90" s="45"/>
      <c r="E90" s="45"/>
      <c r="F90" s="45"/>
      <c r="G90" s="15"/>
      <c r="H90" s="16"/>
      <c r="I90" s="26">
        <v>0</v>
      </c>
      <c r="J90" s="25">
        <v>0</v>
      </c>
      <c r="K90" s="26"/>
      <c r="L90" s="26"/>
      <c r="M90" s="25"/>
      <c r="N90" s="25"/>
      <c r="O90" s="25"/>
      <c r="P90" s="25"/>
      <c r="Q90" s="25"/>
      <c r="R90" s="27">
        <f t="shared" ref="R90:R100" si="14">K90+I90+G90</f>
        <v>0</v>
      </c>
      <c r="T90" s="1"/>
      <c r="V90" s="1"/>
    </row>
    <row r="91" spans="1:22" x14ac:dyDescent="0.25">
      <c r="A91" s="20" t="s">
        <v>18</v>
      </c>
      <c r="B91" s="42"/>
      <c r="C91" s="45">
        <v>0</v>
      </c>
      <c r="D91" s="45">
        <v>0</v>
      </c>
      <c r="E91" s="45">
        <v>0</v>
      </c>
      <c r="F91" s="45">
        <v>0</v>
      </c>
      <c r="G91" s="15">
        <f t="shared" ref="G91:G100" si="15">C91+D91+E91+F91</f>
        <v>0</v>
      </c>
      <c r="H91" s="16"/>
      <c r="I91" s="26"/>
      <c r="J91" s="25"/>
      <c r="K91" s="26">
        <f t="shared" ref="K91:K94" si="16">0.015*J90</f>
        <v>0</v>
      </c>
      <c r="L91" s="26"/>
      <c r="M91" s="25"/>
      <c r="N91" s="25"/>
      <c r="O91" s="25"/>
      <c r="P91" s="25"/>
      <c r="Q91" s="25"/>
      <c r="R91" s="27">
        <f t="shared" si="14"/>
        <v>0</v>
      </c>
      <c r="T91" s="1"/>
    </row>
    <row r="92" spans="1:22" x14ac:dyDescent="0.25">
      <c r="A92" s="20" t="s">
        <v>19</v>
      </c>
      <c r="B92" s="42"/>
      <c r="C92" s="45">
        <v>0</v>
      </c>
      <c r="D92" s="45">
        <v>0</v>
      </c>
      <c r="E92" s="45">
        <v>0</v>
      </c>
      <c r="F92" s="45">
        <v>0</v>
      </c>
      <c r="G92" s="15">
        <f t="shared" si="15"/>
        <v>0</v>
      </c>
      <c r="H92" s="16"/>
      <c r="I92" s="26"/>
      <c r="J92" s="25"/>
      <c r="K92" s="26">
        <f t="shared" si="16"/>
        <v>0</v>
      </c>
      <c r="L92" s="26"/>
      <c r="M92" s="25"/>
      <c r="N92" s="25"/>
      <c r="O92" s="25"/>
      <c r="P92" s="25"/>
      <c r="Q92" s="25"/>
      <c r="R92" s="27">
        <f t="shared" si="14"/>
        <v>0</v>
      </c>
      <c r="T92" s="1"/>
    </row>
    <row r="93" spans="1:22" x14ac:dyDescent="0.25">
      <c r="A93" s="20" t="s">
        <v>20</v>
      </c>
      <c r="B93" s="42"/>
      <c r="C93" s="45">
        <v>0</v>
      </c>
      <c r="D93" s="45">
        <v>0</v>
      </c>
      <c r="E93" s="45">
        <v>0</v>
      </c>
      <c r="F93" s="45">
        <v>0</v>
      </c>
      <c r="G93" s="15">
        <f t="shared" si="15"/>
        <v>0</v>
      </c>
      <c r="H93" s="16"/>
      <c r="I93" s="26"/>
      <c r="J93" s="25"/>
      <c r="K93" s="26">
        <f t="shared" si="16"/>
        <v>0</v>
      </c>
      <c r="L93" s="26"/>
      <c r="M93" s="25"/>
      <c r="N93" s="25"/>
      <c r="O93" s="25"/>
      <c r="P93" s="25"/>
      <c r="Q93" s="25"/>
      <c r="R93" s="27">
        <f t="shared" si="14"/>
        <v>0</v>
      </c>
      <c r="T93" s="1"/>
    </row>
    <row r="94" spans="1:22" x14ac:dyDescent="0.25">
      <c r="A94" s="20" t="s">
        <v>21</v>
      </c>
      <c r="B94" s="42"/>
      <c r="C94" s="45">
        <v>0</v>
      </c>
      <c r="D94" s="45">
        <v>0</v>
      </c>
      <c r="E94" s="45">
        <v>0</v>
      </c>
      <c r="F94" s="45">
        <v>0</v>
      </c>
      <c r="G94" s="15">
        <f t="shared" si="15"/>
        <v>0</v>
      </c>
      <c r="H94" s="16"/>
      <c r="I94" s="26"/>
      <c r="J94" s="25"/>
      <c r="K94" s="26">
        <f t="shared" si="16"/>
        <v>0</v>
      </c>
      <c r="L94" s="26"/>
      <c r="M94" s="25"/>
      <c r="N94" s="25"/>
      <c r="O94" s="25"/>
      <c r="P94" s="25"/>
      <c r="Q94" s="25"/>
      <c r="R94" s="27">
        <f t="shared" si="14"/>
        <v>0</v>
      </c>
      <c r="T94" s="1"/>
    </row>
    <row r="95" spans="1:22" x14ac:dyDescent="0.25">
      <c r="A95" s="20" t="s">
        <v>22</v>
      </c>
      <c r="B95" s="42"/>
      <c r="C95" s="45">
        <v>0</v>
      </c>
      <c r="D95" s="45">
        <v>0</v>
      </c>
      <c r="E95" s="45">
        <v>0</v>
      </c>
      <c r="F95" s="45">
        <v>0</v>
      </c>
      <c r="G95" s="15">
        <f t="shared" si="15"/>
        <v>0</v>
      </c>
      <c r="H95" s="16"/>
      <c r="I95" s="26"/>
      <c r="J95" s="25"/>
      <c r="K95" s="26">
        <f t="shared" ref="K95" si="17">0.015*J94</f>
        <v>0</v>
      </c>
      <c r="L95" s="26"/>
      <c r="M95" s="25"/>
      <c r="N95" s="25"/>
      <c r="O95" s="25"/>
      <c r="P95" s="25"/>
      <c r="Q95" s="25"/>
      <c r="R95" s="27">
        <f t="shared" si="14"/>
        <v>0</v>
      </c>
      <c r="T95" s="1"/>
      <c r="V95" s="1"/>
    </row>
    <row r="96" spans="1:22" x14ac:dyDescent="0.25">
      <c r="A96" s="20" t="s">
        <v>23</v>
      </c>
      <c r="B96" s="42"/>
      <c r="C96" s="45">
        <v>0</v>
      </c>
      <c r="D96" s="45">
        <v>0</v>
      </c>
      <c r="E96" s="45">
        <v>0</v>
      </c>
      <c r="F96" s="45">
        <v>0</v>
      </c>
      <c r="G96" s="15">
        <f t="shared" si="15"/>
        <v>0</v>
      </c>
      <c r="H96" s="16"/>
      <c r="I96" s="26"/>
      <c r="J96" s="25"/>
      <c r="K96" s="26">
        <f t="shared" ref="K96" si="18">0.015*J95</f>
        <v>0</v>
      </c>
      <c r="L96" s="26"/>
      <c r="M96" s="25"/>
      <c r="N96" s="25"/>
      <c r="O96" s="25"/>
      <c r="P96" s="25"/>
      <c r="Q96" s="25"/>
      <c r="R96" s="27">
        <f t="shared" si="14"/>
        <v>0</v>
      </c>
      <c r="T96" s="1"/>
      <c r="V96" s="1"/>
    </row>
    <row r="97" spans="1:22" x14ac:dyDescent="0.25">
      <c r="A97" s="20" t="s">
        <v>24</v>
      </c>
      <c r="B97" s="42"/>
      <c r="C97" s="45">
        <v>0</v>
      </c>
      <c r="D97" s="45">
        <v>0</v>
      </c>
      <c r="E97" s="45">
        <v>0</v>
      </c>
      <c r="F97" s="45">
        <v>0</v>
      </c>
      <c r="G97" s="15">
        <f t="shared" si="15"/>
        <v>0</v>
      </c>
      <c r="H97" s="16"/>
      <c r="I97" s="26"/>
      <c r="J97" s="25"/>
      <c r="K97" s="26">
        <f t="shared" ref="K97" si="19">0.015*J96</f>
        <v>0</v>
      </c>
      <c r="L97" s="26"/>
      <c r="M97" s="25"/>
      <c r="N97" s="25"/>
      <c r="O97" s="25"/>
      <c r="P97" s="25"/>
      <c r="Q97" s="25"/>
      <c r="R97" s="27">
        <f t="shared" si="14"/>
        <v>0</v>
      </c>
      <c r="T97" s="1"/>
    </row>
    <row r="98" spans="1:22" x14ac:dyDescent="0.25">
      <c r="A98" s="20" t="s">
        <v>25</v>
      </c>
      <c r="B98" s="42"/>
      <c r="C98" s="45">
        <v>0</v>
      </c>
      <c r="D98" s="45">
        <v>0</v>
      </c>
      <c r="E98" s="45">
        <v>0</v>
      </c>
      <c r="F98" s="45">
        <v>0</v>
      </c>
      <c r="G98" s="15">
        <f t="shared" si="15"/>
        <v>0</v>
      </c>
      <c r="H98" s="16"/>
      <c r="I98" s="26"/>
      <c r="J98" s="25"/>
      <c r="K98" s="26">
        <f t="shared" ref="K98:K99" si="20">0.015*J97</f>
        <v>0</v>
      </c>
      <c r="L98" s="26"/>
      <c r="M98" s="25"/>
      <c r="N98" s="25"/>
      <c r="O98" s="25"/>
      <c r="P98" s="25"/>
      <c r="Q98" s="25"/>
      <c r="R98" s="27">
        <f t="shared" si="14"/>
        <v>0</v>
      </c>
      <c r="T98" s="1"/>
    </row>
    <row r="99" spans="1:22" x14ac:dyDescent="0.25">
      <c r="A99" s="20" t="s">
        <v>26</v>
      </c>
      <c r="B99" s="42"/>
      <c r="C99" s="45">
        <v>0</v>
      </c>
      <c r="D99" s="45">
        <v>0</v>
      </c>
      <c r="E99" s="45">
        <v>0</v>
      </c>
      <c r="F99" s="45">
        <v>0</v>
      </c>
      <c r="G99" s="15">
        <f t="shared" si="15"/>
        <v>0</v>
      </c>
      <c r="H99" s="16"/>
      <c r="I99" s="26"/>
      <c r="J99" s="25"/>
      <c r="K99" s="26">
        <f t="shared" si="20"/>
        <v>0</v>
      </c>
      <c r="L99" s="26"/>
      <c r="M99" s="25"/>
      <c r="N99" s="25"/>
      <c r="O99" s="25"/>
      <c r="P99" s="25"/>
      <c r="Q99" s="25"/>
      <c r="R99" s="27">
        <f t="shared" si="14"/>
        <v>0</v>
      </c>
    </row>
    <row r="100" spans="1:22" ht="15.75" thickBot="1" x14ac:dyDescent="0.3">
      <c r="A100" s="12" t="s">
        <v>15</v>
      </c>
      <c r="B100" s="44"/>
      <c r="C100" s="45">
        <v>0</v>
      </c>
      <c r="D100" s="45">
        <v>0</v>
      </c>
      <c r="E100" s="45">
        <v>0</v>
      </c>
      <c r="F100" s="45">
        <v>0</v>
      </c>
      <c r="G100" s="15">
        <f t="shared" si="15"/>
        <v>0</v>
      </c>
      <c r="H100" s="16"/>
      <c r="I100" s="26"/>
      <c r="J100" s="25"/>
      <c r="K100" s="26">
        <f t="shared" ref="K100" si="21">0.015*J99</f>
        <v>0</v>
      </c>
      <c r="L100" s="26"/>
      <c r="M100" s="25"/>
      <c r="N100" s="25"/>
      <c r="O100" s="25"/>
      <c r="P100" s="25"/>
      <c r="Q100" s="25"/>
      <c r="R100" s="27">
        <f t="shared" si="14"/>
        <v>0</v>
      </c>
      <c r="T100" s="1"/>
    </row>
    <row r="101" spans="1:22" ht="15.75" thickBot="1" x14ac:dyDescent="0.3">
      <c r="A101" s="29" t="s">
        <v>0</v>
      </c>
      <c r="B101" s="30">
        <f t="shared" ref="B101:G101" si="22">SUM(B88:B100)</f>
        <v>0</v>
      </c>
      <c r="C101" s="30">
        <f t="shared" si="22"/>
        <v>0</v>
      </c>
      <c r="D101" s="30">
        <f t="shared" si="22"/>
        <v>0</v>
      </c>
      <c r="E101" s="30">
        <f t="shared" si="22"/>
        <v>0</v>
      </c>
      <c r="F101" s="30">
        <f t="shared" si="22"/>
        <v>0</v>
      </c>
      <c r="G101" s="31">
        <f t="shared" si="22"/>
        <v>0</v>
      </c>
      <c r="H101" s="32"/>
      <c r="I101" s="71" t="s">
        <v>27</v>
      </c>
      <c r="J101" s="72"/>
      <c r="K101" s="33">
        <f>SUM(K88:K100)</f>
        <v>0</v>
      </c>
      <c r="L101" s="34"/>
      <c r="M101" s="71" t="s">
        <v>28</v>
      </c>
      <c r="N101" s="73"/>
      <c r="O101" s="72"/>
      <c r="P101" s="33">
        <f>SUM(P88:P100)</f>
        <v>0</v>
      </c>
      <c r="Q101" s="34"/>
      <c r="R101" s="35"/>
      <c r="T101" s="1"/>
    </row>
    <row r="102" spans="1:22" s="36" customFormat="1" ht="15.75" thickBot="1" x14ac:dyDescent="0.3">
      <c r="C102" s="37"/>
      <c r="D102" s="37"/>
      <c r="F102" s="38"/>
      <c r="G102" s="38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T102" s="40"/>
    </row>
    <row r="103" spans="1:22" ht="15.75" customHeight="1" thickBot="1" x14ac:dyDescent="0.3">
      <c r="A103" s="2">
        <f>A86+1</f>
        <v>7</v>
      </c>
      <c r="B103" s="74" t="str">
        <f>VLOOKUP(A103,NAMA,2)</f>
        <v>ROKHMAH,SPd</v>
      </c>
      <c r="C103" s="75"/>
      <c r="D103" s="75"/>
      <c r="E103" s="75"/>
      <c r="F103" s="76"/>
      <c r="G103" s="3" t="s">
        <v>0</v>
      </c>
      <c r="H103" s="77" t="s">
        <v>1</v>
      </c>
      <c r="I103" s="78"/>
      <c r="J103" s="78"/>
      <c r="K103" s="78"/>
      <c r="L103" s="79"/>
      <c r="M103" s="80" t="s">
        <v>2</v>
      </c>
      <c r="N103" s="78"/>
      <c r="O103" s="78"/>
      <c r="P103" s="78"/>
      <c r="Q103" s="79"/>
      <c r="R103" s="69" t="s">
        <v>29</v>
      </c>
      <c r="T103" s="1"/>
    </row>
    <row r="104" spans="1:22" x14ac:dyDescent="0.25">
      <c r="A104" s="4" t="s">
        <v>4</v>
      </c>
      <c r="B104" s="5" t="s">
        <v>5</v>
      </c>
      <c r="C104" s="6" t="s">
        <v>6</v>
      </c>
      <c r="D104" s="6" t="s">
        <v>7</v>
      </c>
      <c r="E104" s="5" t="s">
        <v>8</v>
      </c>
      <c r="F104" s="5" t="s">
        <v>9</v>
      </c>
      <c r="G104" s="7" t="s">
        <v>10</v>
      </c>
      <c r="H104" s="8" t="s">
        <v>11</v>
      </c>
      <c r="I104" s="9" t="s">
        <v>0</v>
      </c>
      <c r="J104" s="9" t="s">
        <v>12</v>
      </c>
      <c r="K104" s="9" t="s">
        <v>13</v>
      </c>
      <c r="L104" s="10" t="s">
        <v>14</v>
      </c>
      <c r="M104" s="9" t="s">
        <v>11</v>
      </c>
      <c r="N104" s="9" t="s">
        <v>0</v>
      </c>
      <c r="O104" s="9" t="s">
        <v>12</v>
      </c>
      <c r="P104" s="9" t="s">
        <v>13</v>
      </c>
      <c r="Q104" s="10" t="s">
        <v>14</v>
      </c>
      <c r="R104" s="70"/>
      <c r="S104" s="11"/>
      <c r="T104" s="1"/>
    </row>
    <row r="105" spans="1:22" x14ac:dyDescent="0.25">
      <c r="A105" s="12" t="s">
        <v>15</v>
      </c>
      <c r="H105" s="16"/>
      <c r="I105" s="17"/>
      <c r="J105" s="18"/>
      <c r="K105" s="17"/>
      <c r="L105" s="17"/>
      <c r="M105" s="17"/>
      <c r="N105" s="17"/>
      <c r="O105" s="48"/>
      <c r="P105" s="17"/>
      <c r="Q105" s="17"/>
      <c r="R105" s="19"/>
      <c r="T105" s="1"/>
    </row>
    <row r="106" spans="1:22" x14ac:dyDescent="0.25">
      <c r="A106" s="20" t="s">
        <v>16</v>
      </c>
      <c r="B106" s="42"/>
      <c r="C106" s="41">
        <v>0</v>
      </c>
      <c r="D106" s="41">
        <v>0</v>
      </c>
      <c r="E106" s="41">
        <v>0</v>
      </c>
      <c r="F106" s="41">
        <v>0</v>
      </c>
      <c r="G106" s="41">
        <v>0</v>
      </c>
      <c r="H106" s="15"/>
      <c r="I106" s="26"/>
      <c r="J106" s="25"/>
      <c r="K106" s="26"/>
      <c r="L106" s="26"/>
      <c r="M106" s="25"/>
      <c r="N106" s="25"/>
      <c r="O106" s="48"/>
      <c r="P106" s="49"/>
      <c r="Q106" s="25"/>
      <c r="R106" s="27" t="e">
        <f>#REF!+K106+I106</f>
        <v>#REF!</v>
      </c>
      <c r="T106" s="1"/>
    </row>
    <row r="107" spans="1:22" x14ac:dyDescent="0.25">
      <c r="A107" s="20" t="s">
        <v>17</v>
      </c>
      <c r="B107" s="42"/>
      <c r="C107" s="43"/>
      <c r="D107" s="43"/>
      <c r="E107" s="43"/>
      <c r="F107" s="43"/>
      <c r="G107" s="15"/>
      <c r="H107" s="16"/>
      <c r="I107" s="26"/>
      <c r="J107" s="25"/>
      <c r="K107" s="26"/>
      <c r="L107" s="26"/>
      <c r="M107" s="25"/>
      <c r="N107" s="25"/>
      <c r="O107" s="48"/>
      <c r="P107" s="49"/>
      <c r="Q107" s="25"/>
      <c r="R107" s="27">
        <f t="shared" ref="R107:R117" si="23">G107+K107+I107</f>
        <v>0</v>
      </c>
      <c r="T107" s="1"/>
      <c r="V107" s="1"/>
    </row>
    <row r="108" spans="1:22" x14ac:dyDescent="0.25">
      <c r="A108" s="20" t="s">
        <v>18</v>
      </c>
      <c r="B108" s="42"/>
      <c r="C108" s="43"/>
      <c r="D108" s="43"/>
      <c r="E108" s="43"/>
      <c r="F108" s="43"/>
      <c r="G108" s="15"/>
      <c r="H108" s="16"/>
      <c r="I108" s="26"/>
      <c r="J108" s="25"/>
      <c r="K108" s="26"/>
      <c r="L108" s="26"/>
      <c r="M108" s="25"/>
      <c r="N108" s="25"/>
      <c r="O108" s="48"/>
      <c r="P108" s="49"/>
      <c r="Q108" s="25"/>
      <c r="R108" s="27">
        <f t="shared" si="23"/>
        <v>0</v>
      </c>
      <c r="T108" s="1"/>
    </row>
    <row r="109" spans="1:22" x14ac:dyDescent="0.25">
      <c r="A109" s="20" t="s">
        <v>19</v>
      </c>
      <c r="B109" s="42"/>
      <c r="C109" s="43"/>
      <c r="D109" s="43"/>
      <c r="E109" s="43"/>
      <c r="F109" s="43"/>
      <c r="G109" s="15"/>
      <c r="H109" s="16"/>
      <c r="I109" s="26"/>
      <c r="J109" s="25"/>
      <c r="K109" s="26"/>
      <c r="L109" s="26"/>
      <c r="M109" s="25"/>
      <c r="N109" s="25"/>
      <c r="O109" s="48"/>
      <c r="P109" s="49"/>
      <c r="Q109" s="25"/>
      <c r="R109" s="27">
        <f t="shared" si="23"/>
        <v>0</v>
      </c>
      <c r="T109" s="1"/>
    </row>
    <row r="110" spans="1:22" x14ac:dyDescent="0.25">
      <c r="A110" s="20" t="s">
        <v>20</v>
      </c>
      <c r="B110" s="42"/>
      <c r="C110" s="43"/>
      <c r="D110" s="43"/>
      <c r="E110" s="43"/>
      <c r="F110" s="43"/>
      <c r="G110" s="15"/>
      <c r="H110" s="16"/>
      <c r="I110" s="26"/>
      <c r="J110" s="25"/>
      <c r="K110" s="26"/>
      <c r="L110" s="26"/>
      <c r="M110" s="25"/>
      <c r="N110" s="25"/>
      <c r="O110" s="48"/>
      <c r="P110" s="49"/>
      <c r="Q110" s="25"/>
      <c r="R110" s="27">
        <f t="shared" si="23"/>
        <v>0</v>
      </c>
      <c r="T110" s="1"/>
    </row>
    <row r="111" spans="1:22" x14ac:dyDescent="0.25">
      <c r="A111" s="20" t="s">
        <v>21</v>
      </c>
      <c r="B111" s="42"/>
      <c r="C111" s="43"/>
      <c r="D111" s="43"/>
      <c r="E111" s="43"/>
      <c r="F111" s="43"/>
      <c r="G111" s="15"/>
      <c r="H111" s="16"/>
      <c r="I111" s="26"/>
      <c r="J111" s="25"/>
      <c r="K111" s="26"/>
      <c r="L111" s="26"/>
      <c r="M111" s="25"/>
      <c r="N111" s="25"/>
      <c r="O111" s="25"/>
      <c r="P111" s="49"/>
      <c r="Q111" s="25"/>
      <c r="R111" s="27">
        <f t="shared" si="23"/>
        <v>0</v>
      </c>
      <c r="T111" s="1"/>
    </row>
    <row r="112" spans="1:22" x14ac:dyDescent="0.25">
      <c r="A112" s="20" t="s">
        <v>22</v>
      </c>
      <c r="B112" s="42"/>
      <c r="C112" s="43"/>
      <c r="D112" s="43"/>
      <c r="E112" s="43"/>
      <c r="F112" s="43"/>
      <c r="G112" s="15"/>
      <c r="H112" s="16"/>
      <c r="I112" s="26"/>
      <c r="J112" s="25"/>
      <c r="K112" s="26"/>
      <c r="L112" s="26"/>
      <c r="M112" s="25"/>
      <c r="N112" s="25"/>
      <c r="P112" s="25"/>
      <c r="Q112" s="25"/>
      <c r="R112" s="27">
        <f t="shared" si="23"/>
        <v>0</v>
      </c>
      <c r="T112" s="1"/>
      <c r="V112" s="1"/>
    </row>
    <row r="113" spans="1:22" x14ac:dyDescent="0.25">
      <c r="A113" s="20" t="s">
        <v>23</v>
      </c>
      <c r="B113" s="42"/>
      <c r="C113" s="43"/>
      <c r="D113" s="43"/>
      <c r="E113" s="43"/>
      <c r="F113" s="43"/>
      <c r="G113" s="15"/>
      <c r="H113" s="16"/>
      <c r="I113" s="26"/>
      <c r="J113" s="25"/>
      <c r="K113" s="26"/>
      <c r="L113" s="26"/>
      <c r="M113" s="25"/>
      <c r="N113" s="25"/>
      <c r="O113" s="48"/>
      <c r="P113" s="49"/>
      <c r="Q113" s="25"/>
      <c r="R113" s="27">
        <f t="shared" si="23"/>
        <v>0</v>
      </c>
      <c r="T113" s="1"/>
      <c r="V113" s="1"/>
    </row>
    <row r="114" spans="1:22" x14ac:dyDescent="0.25">
      <c r="A114" s="20" t="s">
        <v>24</v>
      </c>
      <c r="B114" s="42"/>
      <c r="C114" s="43"/>
      <c r="D114" s="43"/>
      <c r="E114" s="43"/>
      <c r="F114" s="43"/>
      <c r="G114" s="15"/>
      <c r="H114" s="16"/>
      <c r="I114" s="26"/>
      <c r="J114" s="25"/>
      <c r="K114" s="26"/>
      <c r="L114" s="26"/>
      <c r="M114" s="25"/>
      <c r="N114" s="25"/>
      <c r="O114" s="48"/>
      <c r="P114" s="49"/>
      <c r="Q114" s="25"/>
      <c r="R114" s="27">
        <f t="shared" si="23"/>
        <v>0</v>
      </c>
      <c r="T114" s="1"/>
    </row>
    <row r="115" spans="1:22" x14ac:dyDescent="0.25">
      <c r="A115" s="20" t="s">
        <v>25</v>
      </c>
      <c r="B115" s="42"/>
      <c r="C115" s="43"/>
      <c r="D115" s="43"/>
      <c r="E115" s="43"/>
      <c r="F115" s="43"/>
      <c r="G115" s="15"/>
      <c r="H115" s="16"/>
      <c r="I115" s="26"/>
      <c r="J115" s="25"/>
      <c r="K115" s="26"/>
      <c r="L115" s="26"/>
      <c r="M115" s="25"/>
      <c r="N115" s="25"/>
      <c r="O115" s="25"/>
      <c r="P115" s="25"/>
      <c r="Q115" s="25"/>
      <c r="R115" s="27">
        <f t="shared" si="23"/>
        <v>0</v>
      </c>
      <c r="T115" s="1"/>
    </row>
    <row r="116" spans="1:22" x14ac:dyDescent="0.25">
      <c r="A116" s="20" t="s">
        <v>26</v>
      </c>
      <c r="B116" s="42"/>
      <c r="C116" s="43"/>
      <c r="D116" s="43"/>
      <c r="E116" s="43"/>
      <c r="F116" s="43"/>
      <c r="G116" s="15"/>
      <c r="H116" s="16"/>
      <c r="I116" s="26"/>
      <c r="J116" s="25"/>
      <c r="K116" s="26"/>
      <c r="L116" s="26"/>
      <c r="M116" s="25"/>
      <c r="N116" s="25"/>
      <c r="O116" s="25"/>
      <c r="P116" s="25"/>
      <c r="Q116" s="25"/>
      <c r="R116" s="27">
        <f t="shared" si="23"/>
        <v>0</v>
      </c>
    </row>
    <row r="117" spans="1:22" ht="15.75" thickBot="1" x14ac:dyDescent="0.3">
      <c r="A117" s="12" t="s">
        <v>15</v>
      </c>
      <c r="B117" s="44"/>
      <c r="C117" s="43"/>
      <c r="D117" s="43"/>
      <c r="E117" s="43"/>
      <c r="F117" s="43"/>
      <c r="G117" s="15"/>
      <c r="H117" s="16"/>
      <c r="I117" s="26"/>
      <c r="J117" s="25"/>
      <c r="K117" s="26"/>
      <c r="L117" s="26"/>
      <c r="M117" s="25"/>
      <c r="N117" s="25"/>
      <c r="O117" s="25"/>
      <c r="P117" s="25"/>
      <c r="Q117" s="25"/>
      <c r="R117" s="27">
        <f t="shared" si="23"/>
        <v>0</v>
      </c>
      <c r="T117" s="1"/>
    </row>
    <row r="118" spans="1:22" ht="15.75" thickBot="1" x14ac:dyDescent="0.3">
      <c r="A118" s="29" t="s">
        <v>0</v>
      </c>
      <c r="B118" s="31">
        <f t="shared" ref="B118:C118" si="24">SUM(B105:B117)</f>
        <v>0</v>
      </c>
      <c r="C118" s="31">
        <f t="shared" si="24"/>
        <v>0</v>
      </c>
      <c r="D118" s="31">
        <f t="shared" ref="D118" si="25">SUM(D105:D117)</f>
        <v>0</v>
      </c>
      <c r="E118" s="30">
        <v>0</v>
      </c>
      <c r="F118" s="30">
        <v>0</v>
      </c>
      <c r="G118" s="31">
        <f t="shared" ref="G118" si="26">SUM(G105:G117)</f>
        <v>0</v>
      </c>
      <c r="H118" s="32"/>
      <c r="I118" s="71" t="s">
        <v>27</v>
      </c>
      <c r="J118" s="72"/>
      <c r="K118" s="33">
        <f>SUM(K105:K117)</f>
        <v>0</v>
      </c>
      <c r="L118" s="34"/>
      <c r="M118" s="71" t="s">
        <v>28</v>
      </c>
      <c r="N118" s="73"/>
      <c r="O118" s="72"/>
      <c r="P118" s="33">
        <f>SUM(P105:P117)</f>
        <v>0</v>
      </c>
      <c r="Q118" s="34"/>
      <c r="R118" s="35"/>
      <c r="T118" s="1"/>
    </row>
    <row r="119" spans="1:22" s="36" customFormat="1" ht="15.75" thickBot="1" x14ac:dyDescent="0.3">
      <c r="C119" s="37"/>
      <c r="D119" s="37"/>
      <c r="F119" s="38"/>
      <c r="G119" s="38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T119" s="40"/>
    </row>
    <row r="120" spans="1:22" ht="15.75" customHeight="1" thickBot="1" x14ac:dyDescent="0.3">
      <c r="A120" s="2">
        <f>A103+1</f>
        <v>8</v>
      </c>
      <c r="B120" s="74" t="str">
        <f>VLOOKUP(A120,NAMA,2)</f>
        <v>PUDJO, S.Pd</v>
      </c>
      <c r="C120" s="75"/>
      <c r="D120" s="75"/>
      <c r="E120" s="75"/>
      <c r="F120" s="76"/>
      <c r="G120" s="3" t="s">
        <v>0</v>
      </c>
      <c r="H120" s="77" t="s">
        <v>1</v>
      </c>
      <c r="I120" s="78"/>
      <c r="J120" s="78"/>
      <c r="K120" s="78"/>
      <c r="L120" s="79"/>
      <c r="M120" s="80" t="s">
        <v>2</v>
      </c>
      <c r="N120" s="78"/>
      <c r="O120" s="78"/>
      <c r="P120" s="78"/>
      <c r="Q120" s="79"/>
      <c r="R120" s="69" t="s">
        <v>29</v>
      </c>
      <c r="T120" s="1"/>
    </row>
    <row r="121" spans="1:22" x14ac:dyDescent="0.25">
      <c r="A121" s="4" t="s">
        <v>4</v>
      </c>
      <c r="B121" s="5" t="s">
        <v>5</v>
      </c>
      <c r="C121" s="6" t="s">
        <v>6</v>
      </c>
      <c r="D121" s="6" t="s">
        <v>7</v>
      </c>
      <c r="E121" s="5" t="s">
        <v>8</v>
      </c>
      <c r="F121" s="5" t="s">
        <v>9</v>
      </c>
      <c r="G121" s="7" t="s">
        <v>10</v>
      </c>
      <c r="H121" s="8" t="s">
        <v>11</v>
      </c>
      <c r="I121" s="9" t="s">
        <v>0</v>
      </c>
      <c r="J121" s="9" t="s">
        <v>12</v>
      </c>
      <c r="K121" s="9" t="s">
        <v>13</v>
      </c>
      <c r="L121" s="10" t="s">
        <v>14</v>
      </c>
      <c r="M121" s="9" t="s">
        <v>11</v>
      </c>
      <c r="N121" s="9" t="s">
        <v>0</v>
      </c>
      <c r="O121" s="9" t="s">
        <v>12</v>
      </c>
      <c r="P121" s="9" t="s">
        <v>13</v>
      </c>
      <c r="Q121" s="10" t="s">
        <v>14</v>
      </c>
      <c r="R121" s="70"/>
      <c r="S121" s="11"/>
      <c r="T121" s="1"/>
    </row>
    <row r="122" spans="1:22" x14ac:dyDescent="0.25">
      <c r="A122" s="12" t="s">
        <v>15</v>
      </c>
      <c r="B122" s="41"/>
      <c r="C122" s="41"/>
      <c r="D122" s="41"/>
      <c r="E122" s="41"/>
      <c r="F122" s="41"/>
      <c r="G122" s="15"/>
      <c r="H122" s="16"/>
      <c r="I122" s="17"/>
      <c r="J122" s="18"/>
      <c r="K122" s="17"/>
      <c r="L122" s="17"/>
      <c r="M122" s="17"/>
      <c r="N122" s="17"/>
      <c r="O122" s="17"/>
      <c r="P122" s="17"/>
      <c r="Q122" s="17"/>
      <c r="R122" s="19"/>
      <c r="T122" s="1"/>
    </row>
    <row r="123" spans="1:22" x14ac:dyDescent="0.25">
      <c r="A123" s="20" t="s">
        <v>16</v>
      </c>
      <c r="B123" s="42"/>
      <c r="C123" s="43"/>
      <c r="D123" s="43"/>
      <c r="E123" s="43"/>
      <c r="F123" s="43"/>
      <c r="G123" s="15"/>
      <c r="H123" s="16"/>
      <c r="I123" s="26"/>
      <c r="J123" s="25"/>
      <c r="K123" s="26"/>
      <c r="L123" s="26"/>
      <c r="M123" s="25"/>
      <c r="N123" s="25"/>
      <c r="O123" s="25"/>
      <c r="P123" s="25"/>
      <c r="Q123" s="25"/>
      <c r="R123" s="27">
        <f>G123</f>
        <v>0</v>
      </c>
      <c r="T123" s="1"/>
    </row>
    <row r="124" spans="1:22" x14ac:dyDescent="0.25">
      <c r="A124" s="20" t="s">
        <v>17</v>
      </c>
      <c r="B124" s="42"/>
      <c r="C124" s="43"/>
      <c r="D124" s="43"/>
      <c r="E124" s="43"/>
      <c r="F124" s="43"/>
      <c r="G124" s="15"/>
      <c r="H124" s="16"/>
      <c r="I124" s="26"/>
      <c r="J124" s="25"/>
      <c r="K124" s="26"/>
      <c r="L124" s="26"/>
      <c r="M124" s="25"/>
      <c r="N124" s="25"/>
      <c r="O124" s="25"/>
      <c r="P124" s="25"/>
      <c r="Q124" s="25"/>
      <c r="R124" s="27"/>
      <c r="T124" s="1"/>
      <c r="V124" s="1"/>
    </row>
    <row r="125" spans="1:22" x14ac:dyDescent="0.25">
      <c r="A125" s="20" t="s">
        <v>18</v>
      </c>
      <c r="B125" s="42"/>
      <c r="C125" s="43"/>
      <c r="D125" s="43"/>
      <c r="E125" s="43"/>
      <c r="F125" s="43"/>
      <c r="G125" s="15"/>
      <c r="H125" s="16"/>
      <c r="I125" s="26"/>
      <c r="J125" s="25"/>
      <c r="K125" s="26"/>
      <c r="L125" s="26"/>
      <c r="M125" s="25"/>
      <c r="N125" s="25"/>
      <c r="O125" s="25"/>
      <c r="P125" s="25"/>
      <c r="Q125" s="25"/>
      <c r="R125" s="27"/>
      <c r="T125" s="1"/>
    </row>
    <row r="126" spans="1:22" x14ac:dyDescent="0.25">
      <c r="A126" s="20" t="s">
        <v>19</v>
      </c>
      <c r="B126" s="42"/>
      <c r="C126" s="43"/>
      <c r="D126" s="43"/>
      <c r="E126" s="43"/>
      <c r="F126" s="43"/>
      <c r="G126" s="15"/>
      <c r="H126" s="16"/>
      <c r="I126" s="26"/>
      <c r="J126" s="25"/>
      <c r="K126" s="26"/>
      <c r="L126" s="26"/>
      <c r="M126" s="25"/>
      <c r="N126" s="25"/>
      <c r="O126" s="25"/>
      <c r="P126" s="25"/>
      <c r="Q126" s="25"/>
      <c r="R126" s="27"/>
      <c r="T126" s="1"/>
    </row>
    <row r="127" spans="1:22" x14ac:dyDescent="0.25">
      <c r="A127" s="20" t="s">
        <v>20</v>
      </c>
      <c r="B127" s="42"/>
      <c r="C127" s="43"/>
      <c r="D127" s="43"/>
      <c r="E127" s="43"/>
      <c r="F127" s="43"/>
      <c r="G127" s="15"/>
      <c r="H127" s="16"/>
      <c r="I127" s="26"/>
      <c r="J127" s="25"/>
      <c r="K127" s="26"/>
      <c r="L127" s="26"/>
      <c r="M127" s="25"/>
      <c r="N127" s="25"/>
      <c r="O127" s="25"/>
      <c r="P127" s="25"/>
      <c r="Q127" s="25"/>
      <c r="R127" s="27"/>
      <c r="T127" s="1"/>
    </row>
    <row r="128" spans="1:22" x14ac:dyDescent="0.25">
      <c r="A128" s="20" t="s">
        <v>21</v>
      </c>
      <c r="B128" s="42"/>
      <c r="C128" s="43"/>
      <c r="D128" s="43"/>
      <c r="E128" s="43"/>
      <c r="F128" s="43"/>
      <c r="G128" s="15"/>
      <c r="H128" s="16"/>
      <c r="I128" s="26"/>
      <c r="J128" s="25"/>
      <c r="K128" s="26"/>
      <c r="L128" s="26"/>
      <c r="M128" s="25"/>
      <c r="N128" s="25"/>
      <c r="O128" s="25"/>
      <c r="P128" s="25"/>
      <c r="Q128" s="25"/>
      <c r="R128" s="27"/>
      <c r="T128" s="1"/>
    </row>
    <row r="129" spans="1:22" x14ac:dyDescent="0.25">
      <c r="A129" s="20" t="s">
        <v>22</v>
      </c>
      <c r="B129" s="42"/>
      <c r="C129" s="43"/>
      <c r="D129" s="43"/>
      <c r="E129" s="43"/>
      <c r="F129" s="43"/>
      <c r="G129" s="15"/>
      <c r="H129" s="16"/>
      <c r="I129" s="26"/>
      <c r="J129" s="25"/>
      <c r="K129" s="26"/>
      <c r="L129" s="26"/>
      <c r="M129" s="25"/>
      <c r="N129" s="25"/>
      <c r="O129" s="25"/>
      <c r="P129" s="25"/>
      <c r="Q129" s="25"/>
      <c r="R129" s="27"/>
      <c r="T129" s="1"/>
      <c r="V129" s="1"/>
    </row>
    <row r="130" spans="1:22" x14ac:dyDescent="0.25">
      <c r="A130" s="20" t="s">
        <v>23</v>
      </c>
      <c r="B130" s="42"/>
      <c r="C130" s="43"/>
      <c r="D130" s="43"/>
      <c r="E130" s="43"/>
      <c r="F130" s="43"/>
      <c r="G130" s="15"/>
      <c r="H130" s="16"/>
      <c r="I130" s="26"/>
      <c r="J130" s="25"/>
      <c r="K130" s="26"/>
      <c r="L130" s="26"/>
      <c r="M130" s="25"/>
      <c r="N130" s="25"/>
      <c r="O130" s="25"/>
      <c r="P130" s="25"/>
      <c r="Q130" s="25"/>
      <c r="R130" s="27"/>
      <c r="T130" s="1"/>
      <c r="V130" s="1"/>
    </row>
    <row r="131" spans="1:22" x14ac:dyDescent="0.25">
      <c r="A131" s="20" t="s">
        <v>24</v>
      </c>
      <c r="B131" s="42"/>
      <c r="C131" s="43"/>
      <c r="D131" s="43"/>
      <c r="E131" s="43"/>
      <c r="F131" s="43"/>
      <c r="G131" s="15"/>
      <c r="H131" s="16"/>
      <c r="I131" s="26"/>
      <c r="J131" s="25"/>
      <c r="K131" s="26"/>
      <c r="L131" s="26"/>
      <c r="M131" s="25"/>
      <c r="N131" s="25"/>
      <c r="O131" s="25"/>
      <c r="P131" s="25"/>
      <c r="Q131" s="25"/>
      <c r="R131" s="27"/>
      <c r="T131" s="1"/>
    </row>
    <row r="132" spans="1:22" x14ac:dyDescent="0.25">
      <c r="A132" s="20" t="s">
        <v>25</v>
      </c>
      <c r="B132" s="42"/>
      <c r="C132" s="43"/>
      <c r="D132" s="43"/>
      <c r="E132" s="43"/>
      <c r="F132" s="43"/>
      <c r="G132" s="15"/>
      <c r="H132" s="16"/>
      <c r="I132" s="26"/>
      <c r="J132" s="25"/>
      <c r="K132" s="26"/>
      <c r="L132" s="26"/>
      <c r="M132" s="25"/>
      <c r="N132" s="25"/>
      <c r="O132" s="25"/>
      <c r="P132" s="25"/>
      <c r="Q132" s="25"/>
      <c r="R132" s="27"/>
      <c r="T132" s="1"/>
    </row>
    <row r="133" spans="1:22" x14ac:dyDescent="0.25">
      <c r="A133" s="20" t="s">
        <v>26</v>
      </c>
      <c r="B133" s="42"/>
      <c r="C133" s="43"/>
      <c r="D133" s="43"/>
      <c r="E133" s="43"/>
      <c r="F133" s="43"/>
      <c r="G133" s="15"/>
      <c r="H133" s="16"/>
      <c r="I133" s="26"/>
      <c r="J133" s="25"/>
      <c r="K133" s="26"/>
      <c r="L133" s="26"/>
      <c r="M133" s="25"/>
      <c r="N133" s="25"/>
      <c r="O133" s="25"/>
      <c r="P133" s="25"/>
      <c r="Q133" s="25"/>
      <c r="R133" s="27"/>
    </row>
    <row r="134" spans="1:22" ht="15.75" thickBot="1" x14ac:dyDescent="0.3">
      <c r="A134" s="12" t="s">
        <v>15</v>
      </c>
      <c r="B134" s="44"/>
      <c r="C134" s="45"/>
      <c r="D134" s="45"/>
      <c r="E134" s="45"/>
      <c r="F134" s="45"/>
      <c r="G134" s="15"/>
      <c r="H134" s="16"/>
      <c r="I134" s="26"/>
      <c r="J134" s="25"/>
      <c r="K134" s="26"/>
      <c r="L134" s="26"/>
      <c r="M134" s="25"/>
      <c r="N134" s="25"/>
      <c r="O134" s="25"/>
      <c r="P134" s="25"/>
      <c r="Q134" s="25"/>
      <c r="R134" s="27"/>
      <c r="T134" s="1"/>
    </row>
    <row r="135" spans="1:22" ht="15.75" thickBot="1" x14ac:dyDescent="0.3">
      <c r="A135" s="29" t="s">
        <v>0</v>
      </c>
      <c r="B135" s="30">
        <f t="shared" ref="B135:G135" si="27">SUM(B122:B134)</f>
        <v>0</v>
      </c>
      <c r="C135" s="30">
        <f t="shared" si="27"/>
        <v>0</v>
      </c>
      <c r="D135" s="30">
        <v>8521031</v>
      </c>
      <c r="E135" s="30">
        <f t="shared" si="27"/>
        <v>0</v>
      </c>
      <c r="F135" s="30">
        <f t="shared" si="27"/>
        <v>0</v>
      </c>
      <c r="G135" s="31">
        <f t="shared" si="27"/>
        <v>0</v>
      </c>
      <c r="H135" s="32"/>
      <c r="I135" s="71" t="s">
        <v>27</v>
      </c>
      <c r="J135" s="72"/>
      <c r="K135" s="33">
        <f>SUM(K122:K134)</f>
        <v>0</v>
      </c>
      <c r="L135" s="34"/>
      <c r="M135" s="71" t="s">
        <v>28</v>
      </c>
      <c r="N135" s="73"/>
      <c r="O135" s="72"/>
      <c r="P135" s="33">
        <f>SUM(P122:P134)</f>
        <v>0</v>
      </c>
      <c r="Q135" s="34"/>
      <c r="R135" s="35"/>
      <c r="T135" s="1"/>
    </row>
    <row r="136" spans="1:22" s="36" customFormat="1" ht="15.75" thickBot="1" x14ac:dyDescent="0.3">
      <c r="C136" s="37"/>
      <c r="D136" s="37"/>
      <c r="F136" s="38"/>
      <c r="G136" s="38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T136" s="40"/>
    </row>
    <row r="137" spans="1:22" ht="15.75" customHeight="1" thickBot="1" x14ac:dyDescent="0.3">
      <c r="A137" s="2">
        <f>A120+1</f>
        <v>9</v>
      </c>
      <c r="B137" s="74" t="str">
        <f>VLOOKUP(A137,NAMA,2)</f>
        <v>NISWATUL A, SPd</v>
      </c>
      <c r="C137" s="75"/>
      <c r="D137" s="75"/>
      <c r="E137" s="75"/>
      <c r="F137" s="76"/>
      <c r="G137" s="3" t="s">
        <v>0</v>
      </c>
      <c r="H137" s="77" t="s">
        <v>1</v>
      </c>
      <c r="I137" s="78"/>
      <c r="J137" s="78"/>
      <c r="K137" s="78"/>
      <c r="L137" s="79"/>
      <c r="M137" s="80" t="s">
        <v>2</v>
      </c>
      <c r="N137" s="78"/>
      <c r="O137" s="78"/>
      <c r="P137" s="78"/>
      <c r="Q137" s="79"/>
      <c r="R137" s="69" t="s">
        <v>29</v>
      </c>
      <c r="T137" s="1"/>
    </row>
    <row r="138" spans="1:22" x14ac:dyDescent="0.25">
      <c r="A138" s="4" t="s">
        <v>4</v>
      </c>
      <c r="B138" s="5" t="s">
        <v>5</v>
      </c>
      <c r="C138" s="6" t="s">
        <v>6</v>
      </c>
      <c r="D138" s="6" t="s">
        <v>7</v>
      </c>
      <c r="E138" s="5" t="s">
        <v>8</v>
      </c>
      <c r="F138" s="5" t="s">
        <v>9</v>
      </c>
      <c r="G138" s="7" t="s">
        <v>10</v>
      </c>
      <c r="H138" s="8" t="s">
        <v>11</v>
      </c>
      <c r="I138" s="9" t="s">
        <v>0</v>
      </c>
      <c r="J138" s="9" t="s">
        <v>12</v>
      </c>
      <c r="K138" s="9" t="s">
        <v>13</v>
      </c>
      <c r="L138" s="10" t="s">
        <v>14</v>
      </c>
      <c r="M138" s="9" t="s">
        <v>11</v>
      </c>
      <c r="N138" s="9" t="s">
        <v>0</v>
      </c>
      <c r="O138" s="9" t="s">
        <v>12</v>
      </c>
      <c r="P138" s="9" t="s">
        <v>13</v>
      </c>
      <c r="Q138" s="10" t="s">
        <v>14</v>
      </c>
      <c r="R138" s="70"/>
      <c r="S138" s="11"/>
      <c r="T138" s="1"/>
    </row>
    <row r="139" spans="1:22" x14ac:dyDescent="0.25">
      <c r="A139" s="12" t="s">
        <v>15</v>
      </c>
      <c r="B139" s="41">
        <v>100000</v>
      </c>
      <c r="C139" s="41">
        <v>20175000</v>
      </c>
      <c r="D139" s="41">
        <v>5720985</v>
      </c>
      <c r="E139" s="41">
        <v>4000000</v>
      </c>
      <c r="F139" s="41">
        <v>5800000</v>
      </c>
      <c r="G139" s="15">
        <v>35795985</v>
      </c>
      <c r="H139" s="16"/>
      <c r="I139" s="17"/>
      <c r="J139" s="18"/>
      <c r="K139" s="17"/>
      <c r="L139" s="17"/>
      <c r="M139" s="17"/>
      <c r="N139" s="17"/>
      <c r="O139" s="17"/>
      <c r="P139" s="17"/>
      <c r="Q139" s="17"/>
      <c r="R139" s="19"/>
      <c r="T139" s="1"/>
    </row>
    <row r="140" spans="1:22" x14ac:dyDescent="0.25">
      <c r="A140" s="20" t="s">
        <v>16</v>
      </c>
      <c r="B140" s="42"/>
      <c r="C140" s="45">
        <v>100000</v>
      </c>
      <c r="D140" s="45">
        <v>300000</v>
      </c>
      <c r="E140" s="45">
        <f>[2]krnmei!$E$151</f>
        <v>500000</v>
      </c>
      <c r="F140" s="45">
        <v>250000</v>
      </c>
      <c r="G140" s="15">
        <f>C140+D140+E140+F140</f>
        <v>1150000</v>
      </c>
      <c r="H140" s="16"/>
      <c r="I140" s="26"/>
      <c r="J140" s="25"/>
      <c r="K140" s="26"/>
      <c r="L140" s="26"/>
      <c r="M140" s="25"/>
      <c r="N140" s="25"/>
      <c r="O140" s="25"/>
      <c r="P140" s="25"/>
      <c r="Q140" s="25"/>
      <c r="R140" s="27">
        <f t="shared" ref="R140:R147" si="28">K140+I140+G140</f>
        <v>1150000</v>
      </c>
      <c r="T140" s="1"/>
    </row>
    <row r="141" spans="1:22" x14ac:dyDescent="0.25">
      <c r="A141" s="20" t="s">
        <v>17</v>
      </c>
      <c r="B141" s="42"/>
      <c r="C141" s="45">
        <v>100000</v>
      </c>
      <c r="D141" s="45">
        <v>300000</v>
      </c>
      <c r="E141" s="45">
        <f>[2]krnmei!$E$151</f>
        <v>500000</v>
      </c>
      <c r="F141" s="45">
        <v>250000</v>
      </c>
      <c r="G141" s="15">
        <f>C141+D141+E141+F141</f>
        <v>1150000</v>
      </c>
      <c r="H141" s="16"/>
      <c r="I141" s="26"/>
      <c r="J141" s="25"/>
      <c r="K141" s="26"/>
      <c r="L141" s="26"/>
      <c r="M141" s="25"/>
      <c r="N141" s="25"/>
      <c r="O141" s="25"/>
      <c r="P141" s="25"/>
      <c r="Q141" s="25"/>
      <c r="R141" s="27">
        <f t="shared" si="28"/>
        <v>1150000</v>
      </c>
      <c r="T141" s="1"/>
      <c r="V141" s="1"/>
    </row>
    <row r="142" spans="1:22" x14ac:dyDescent="0.25">
      <c r="A142" s="20" t="s">
        <v>18</v>
      </c>
      <c r="B142" s="42"/>
      <c r="C142" s="45">
        <v>100000</v>
      </c>
      <c r="D142" s="45">
        <v>300000</v>
      </c>
      <c r="E142" s="45">
        <f>[2]krnmei!$E$151</f>
        <v>500000</v>
      </c>
      <c r="F142" s="45">
        <v>250000</v>
      </c>
      <c r="G142" s="15">
        <f t="shared" ref="G142:G151" si="29">C142+D142+E142+F142</f>
        <v>1150000</v>
      </c>
      <c r="H142" s="16"/>
      <c r="I142" s="26"/>
      <c r="J142" s="25"/>
      <c r="K142" s="26"/>
      <c r="L142" s="26"/>
      <c r="M142" s="25"/>
      <c r="N142" s="25"/>
      <c r="O142" s="25"/>
      <c r="P142" s="25"/>
      <c r="Q142" s="25"/>
      <c r="R142" s="27">
        <f t="shared" si="28"/>
        <v>1150000</v>
      </c>
      <c r="T142" s="1"/>
    </row>
    <row r="143" spans="1:22" x14ac:dyDescent="0.25">
      <c r="A143" s="20" t="s">
        <v>19</v>
      </c>
      <c r="B143" s="42"/>
      <c r="C143" s="45">
        <v>100000</v>
      </c>
      <c r="D143" s="45">
        <v>300000</v>
      </c>
      <c r="E143" s="45">
        <f>[2]krnmei!$E$151-6000000</f>
        <v>-5500000</v>
      </c>
      <c r="F143" s="45">
        <v>250000</v>
      </c>
      <c r="G143" s="15">
        <f t="shared" si="29"/>
        <v>-4850000</v>
      </c>
      <c r="H143" s="16"/>
      <c r="I143" s="26"/>
      <c r="J143" s="25"/>
      <c r="K143" s="26"/>
      <c r="L143" s="26"/>
      <c r="M143" s="25"/>
      <c r="N143" s="25"/>
      <c r="O143" s="25"/>
      <c r="P143" s="25"/>
      <c r="Q143" s="25"/>
      <c r="R143" s="27">
        <f t="shared" si="28"/>
        <v>-4850000</v>
      </c>
      <c r="T143" s="1"/>
    </row>
    <row r="144" spans="1:22" x14ac:dyDescent="0.25">
      <c r="A144" s="20" t="s">
        <v>20</v>
      </c>
      <c r="B144" s="42"/>
      <c r="C144" s="45">
        <v>100000</v>
      </c>
      <c r="D144" s="45">
        <v>300000</v>
      </c>
      <c r="E144" s="45">
        <v>500000</v>
      </c>
      <c r="F144" s="45">
        <v>250000</v>
      </c>
      <c r="G144" s="15">
        <f t="shared" si="29"/>
        <v>1150000</v>
      </c>
      <c r="H144" s="16"/>
      <c r="I144" s="26"/>
      <c r="J144" s="25"/>
      <c r="K144" s="26"/>
      <c r="L144" s="26"/>
      <c r="M144" s="25"/>
      <c r="N144" s="25"/>
      <c r="O144" s="25"/>
      <c r="P144" s="25"/>
      <c r="Q144" s="25"/>
      <c r="R144" s="27">
        <f t="shared" si="28"/>
        <v>1150000</v>
      </c>
      <c r="T144" s="1"/>
    </row>
    <row r="145" spans="1:22" x14ac:dyDescent="0.25">
      <c r="A145" s="20" t="s">
        <v>21</v>
      </c>
      <c r="B145" s="42"/>
      <c r="C145" s="45">
        <v>100000</v>
      </c>
      <c r="D145" s="45">
        <v>300000</v>
      </c>
      <c r="E145" s="45">
        <v>500000</v>
      </c>
      <c r="F145" s="45">
        <v>250000</v>
      </c>
      <c r="G145" s="15">
        <f t="shared" si="29"/>
        <v>1150000</v>
      </c>
      <c r="H145" s="16"/>
      <c r="I145" s="26"/>
      <c r="J145" s="25"/>
      <c r="K145" s="26"/>
      <c r="L145" s="26"/>
      <c r="M145" s="25"/>
      <c r="N145" s="25"/>
      <c r="O145" s="25"/>
      <c r="P145" s="25"/>
      <c r="Q145" s="25"/>
      <c r="R145" s="27">
        <f t="shared" si="28"/>
        <v>1150000</v>
      </c>
      <c r="T145" s="1"/>
    </row>
    <row r="146" spans="1:22" x14ac:dyDescent="0.25">
      <c r="A146" s="20" t="s">
        <v>22</v>
      </c>
      <c r="B146" s="42"/>
      <c r="C146" s="45">
        <v>100000</v>
      </c>
      <c r="D146" s="45">
        <v>300000</v>
      </c>
      <c r="E146" s="45">
        <v>500000</v>
      </c>
      <c r="F146" s="45">
        <v>250000</v>
      </c>
      <c r="G146" s="15">
        <f t="shared" si="29"/>
        <v>1150000</v>
      </c>
      <c r="H146" s="16"/>
      <c r="I146" s="26"/>
      <c r="J146" s="25"/>
      <c r="K146" s="26"/>
      <c r="L146" s="26"/>
      <c r="M146" s="25"/>
      <c r="N146" s="25"/>
      <c r="O146" s="25"/>
      <c r="P146" s="25"/>
      <c r="Q146" s="25"/>
      <c r="R146" s="27">
        <f t="shared" si="28"/>
        <v>1150000</v>
      </c>
      <c r="T146" s="1"/>
      <c r="V146" s="1"/>
    </row>
    <row r="147" spans="1:22" x14ac:dyDescent="0.25">
      <c r="A147" s="20" t="s">
        <v>23</v>
      </c>
      <c r="B147" s="42"/>
      <c r="C147" s="45">
        <v>100000</v>
      </c>
      <c r="D147" s="45">
        <v>300000</v>
      </c>
      <c r="E147" s="45">
        <v>500000</v>
      </c>
      <c r="F147" s="45">
        <v>250000</v>
      </c>
      <c r="G147" s="15">
        <f t="shared" si="29"/>
        <v>1150000</v>
      </c>
      <c r="H147" s="16"/>
      <c r="I147" s="26"/>
      <c r="J147" s="25"/>
      <c r="K147" s="26"/>
      <c r="L147" s="26"/>
      <c r="M147" s="25"/>
      <c r="N147" s="25">
        <v>4000000</v>
      </c>
      <c r="O147" s="25">
        <v>4000000</v>
      </c>
      <c r="P147" s="25"/>
      <c r="Q147" s="25"/>
      <c r="R147" s="27">
        <f t="shared" si="28"/>
        <v>1150000</v>
      </c>
      <c r="T147" s="1"/>
      <c r="V147" s="1"/>
    </row>
    <row r="148" spans="1:22" x14ac:dyDescent="0.25">
      <c r="A148" s="20" t="s">
        <v>24</v>
      </c>
      <c r="B148" s="42"/>
      <c r="C148" s="45">
        <v>100000</v>
      </c>
      <c r="D148" s="45">
        <v>300000</v>
      </c>
      <c r="E148" s="45">
        <v>500000</v>
      </c>
      <c r="F148" s="45">
        <v>250000</v>
      </c>
      <c r="G148" s="15">
        <f t="shared" si="29"/>
        <v>1150000</v>
      </c>
      <c r="H148" s="16"/>
      <c r="I148" s="26"/>
      <c r="J148" s="25"/>
      <c r="K148" s="26"/>
      <c r="L148" s="26"/>
      <c r="M148" s="25"/>
      <c r="N148" s="25"/>
      <c r="O148" s="25">
        <v>4000000</v>
      </c>
      <c r="P148" s="26">
        <f>0.02*O147</f>
        <v>80000</v>
      </c>
      <c r="Q148" s="25"/>
      <c r="R148" s="27">
        <f>K148+I148+G148+P148</f>
        <v>1230000</v>
      </c>
      <c r="T148" s="1"/>
    </row>
    <row r="149" spans="1:22" x14ac:dyDescent="0.25">
      <c r="A149" s="20" t="s">
        <v>25</v>
      </c>
      <c r="B149" s="42"/>
      <c r="C149" s="45">
        <v>100000</v>
      </c>
      <c r="D149" s="45">
        <v>300000</v>
      </c>
      <c r="E149" s="45">
        <v>500000</v>
      </c>
      <c r="F149" s="45">
        <v>-2750000</v>
      </c>
      <c r="G149" s="15">
        <f t="shared" si="29"/>
        <v>-1850000</v>
      </c>
      <c r="H149" s="16"/>
      <c r="I149" s="26"/>
      <c r="J149" s="25"/>
      <c r="K149" s="26"/>
      <c r="L149" s="26"/>
      <c r="M149" s="25"/>
      <c r="N149" s="25"/>
      <c r="O149" s="25">
        <v>4000000</v>
      </c>
      <c r="P149" s="26">
        <f>0.02*O148</f>
        <v>80000</v>
      </c>
      <c r="Q149" s="25"/>
      <c r="R149" s="27">
        <f t="shared" ref="R149:R151" si="30">K149+I149+G149+P149</f>
        <v>-1770000</v>
      </c>
      <c r="T149" s="1"/>
    </row>
    <row r="150" spans="1:22" x14ac:dyDescent="0.25">
      <c r="A150" s="20" t="s">
        <v>26</v>
      </c>
      <c r="B150" s="42"/>
      <c r="C150" s="45">
        <v>100000</v>
      </c>
      <c r="D150" s="45">
        <v>300000</v>
      </c>
      <c r="E150" s="45">
        <v>500000</v>
      </c>
      <c r="F150" s="45">
        <v>250000</v>
      </c>
      <c r="G150" s="15">
        <f t="shared" si="29"/>
        <v>1150000</v>
      </c>
      <c r="H150" s="16"/>
      <c r="I150" s="26"/>
      <c r="J150" s="25"/>
      <c r="K150" s="26"/>
      <c r="L150" s="26"/>
      <c r="M150" s="25"/>
      <c r="N150" s="25"/>
      <c r="O150" s="25">
        <v>4000000</v>
      </c>
      <c r="P150" s="26">
        <f t="shared" ref="P150:P151" si="31">0.02*O149</f>
        <v>80000</v>
      </c>
      <c r="Q150" s="25"/>
      <c r="R150" s="27">
        <f t="shared" si="30"/>
        <v>1230000</v>
      </c>
    </row>
    <row r="151" spans="1:22" ht="15.75" thickBot="1" x14ac:dyDescent="0.3">
      <c r="A151" s="12" t="s">
        <v>15</v>
      </c>
      <c r="B151" s="44"/>
      <c r="C151" s="45">
        <v>100000</v>
      </c>
      <c r="D151" s="45">
        <v>300000</v>
      </c>
      <c r="E151" s="45">
        <v>500000</v>
      </c>
      <c r="F151" s="45">
        <v>250000</v>
      </c>
      <c r="G151" s="15">
        <f t="shared" si="29"/>
        <v>1150000</v>
      </c>
      <c r="H151" s="16"/>
      <c r="I151" s="26"/>
      <c r="J151" s="25"/>
      <c r="K151" s="26"/>
      <c r="L151" s="26"/>
      <c r="M151" s="25"/>
      <c r="N151" s="25"/>
      <c r="O151" s="25">
        <v>4000000</v>
      </c>
      <c r="P151" s="26">
        <f t="shared" si="31"/>
        <v>80000</v>
      </c>
      <c r="Q151" s="25"/>
      <c r="R151" s="27">
        <f t="shared" si="30"/>
        <v>1230000</v>
      </c>
      <c r="T151" s="1"/>
    </row>
    <row r="152" spans="1:22" ht="15.75" thickBot="1" x14ac:dyDescent="0.3">
      <c r="A152" s="29" t="s">
        <v>0</v>
      </c>
      <c r="B152" s="30">
        <f t="shared" ref="B152:G152" si="32">SUM(B139:B151)</f>
        <v>100000</v>
      </c>
      <c r="C152" s="30">
        <f t="shared" si="32"/>
        <v>21375000</v>
      </c>
      <c r="D152" s="30">
        <f t="shared" si="32"/>
        <v>9320985</v>
      </c>
      <c r="E152" s="30">
        <f t="shared" si="32"/>
        <v>4000000</v>
      </c>
      <c r="F152" s="30">
        <f t="shared" si="32"/>
        <v>5800000</v>
      </c>
      <c r="G152" s="31">
        <f t="shared" si="32"/>
        <v>40595985</v>
      </c>
      <c r="H152" s="32"/>
      <c r="I152" s="71" t="s">
        <v>27</v>
      </c>
      <c r="J152" s="72"/>
      <c r="K152" s="33">
        <f>SUM(K139:K151)</f>
        <v>0</v>
      </c>
      <c r="L152" s="34"/>
      <c r="M152" s="71" t="s">
        <v>28</v>
      </c>
      <c r="N152" s="73"/>
      <c r="O152" s="72"/>
      <c r="P152" s="33">
        <f>SUM(P139:P151)</f>
        <v>320000</v>
      </c>
      <c r="Q152" s="34"/>
      <c r="R152" s="35"/>
      <c r="T152" s="1"/>
    </row>
    <row r="153" spans="1:22" s="36" customFormat="1" ht="15.75" thickBot="1" x14ac:dyDescent="0.3">
      <c r="C153" s="37"/>
      <c r="D153" s="37"/>
      <c r="F153" s="38"/>
      <c r="G153" s="38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T153" s="40"/>
    </row>
    <row r="154" spans="1:22" ht="15.75" customHeight="1" thickBot="1" x14ac:dyDescent="0.3">
      <c r="A154" s="2">
        <f>A137+1</f>
        <v>10</v>
      </c>
      <c r="B154" s="74" t="str">
        <f>VLOOKUP(A154,NAMA,2)</f>
        <v>M.SUHUDI,SPd</v>
      </c>
      <c r="C154" s="75"/>
      <c r="D154" s="75"/>
      <c r="E154" s="75"/>
      <c r="F154" s="76"/>
      <c r="G154" s="3" t="s">
        <v>0</v>
      </c>
      <c r="H154" s="77" t="s">
        <v>1</v>
      </c>
      <c r="I154" s="78"/>
      <c r="J154" s="78"/>
      <c r="K154" s="78"/>
      <c r="L154" s="79"/>
      <c r="M154" s="80" t="s">
        <v>2</v>
      </c>
      <c r="N154" s="78"/>
      <c r="O154" s="78"/>
      <c r="P154" s="78"/>
      <c r="Q154" s="79"/>
      <c r="R154" s="69" t="s">
        <v>29</v>
      </c>
      <c r="T154" s="1"/>
    </row>
    <row r="155" spans="1:22" ht="15.75" thickBot="1" x14ac:dyDescent="0.3">
      <c r="A155" s="4" t="s">
        <v>4</v>
      </c>
      <c r="B155" s="5" t="s">
        <v>5</v>
      </c>
      <c r="C155" s="6" t="s">
        <v>6</v>
      </c>
      <c r="D155" s="6" t="s">
        <v>7</v>
      </c>
      <c r="E155" s="5" t="s">
        <v>8</v>
      </c>
      <c r="F155" s="5" t="s">
        <v>9</v>
      </c>
      <c r="G155" s="7" t="s">
        <v>10</v>
      </c>
      <c r="H155" s="8" t="s">
        <v>11</v>
      </c>
      <c r="I155" s="9" t="s">
        <v>0</v>
      </c>
      <c r="J155" s="9" t="s">
        <v>12</v>
      </c>
      <c r="K155" s="9" t="s">
        <v>13</v>
      </c>
      <c r="L155" s="10" t="s">
        <v>14</v>
      </c>
      <c r="M155" s="9" t="s">
        <v>11</v>
      </c>
      <c r="N155" s="9" t="s">
        <v>0</v>
      </c>
      <c r="O155" s="9" t="s">
        <v>12</v>
      </c>
      <c r="P155" s="9" t="s">
        <v>13</v>
      </c>
      <c r="Q155" s="10" t="s">
        <v>14</v>
      </c>
      <c r="R155" s="70"/>
      <c r="S155" s="11"/>
      <c r="T155" s="1"/>
    </row>
    <row r="156" spans="1:22" ht="15.75" thickBot="1" x14ac:dyDescent="0.3">
      <c r="A156" s="12" t="s">
        <v>15</v>
      </c>
      <c r="B156" s="41"/>
      <c r="C156" s="41"/>
      <c r="D156" s="41"/>
      <c r="E156" s="41"/>
      <c r="F156" s="41"/>
      <c r="G156" s="31"/>
      <c r="H156" s="16"/>
      <c r="I156" s="17"/>
      <c r="J156" s="18"/>
      <c r="K156" s="17"/>
      <c r="L156" s="17"/>
      <c r="M156" s="17"/>
      <c r="N156" s="17"/>
      <c r="O156" s="17"/>
      <c r="P156" s="17"/>
      <c r="Q156" s="17"/>
      <c r="R156" s="19"/>
      <c r="T156" s="1"/>
    </row>
    <row r="157" spans="1:22" x14ac:dyDescent="0.25">
      <c r="A157" s="20" t="s">
        <v>16</v>
      </c>
      <c r="B157" s="42"/>
      <c r="C157" s="45"/>
      <c r="D157" s="45"/>
      <c r="E157" s="45"/>
      <c r="F157" s="45">
        <v>0</v>
      </c>
      <c r="G157" s="15">
        <f t="shared" ref="G157" si="33">C157+D157+E157+F157</f>
        <v>0</v>
      </c>
      <c r="H157" s="16"/>
      <c r="I157" s="26"/>
      <c r="J157" s="25"/>
      <c r="K157" s="26"/>
      <c r="L157" s="26"/>
      <c r="M157" s="25"/>
      <c r="N157" s="25"/>
      <c r="O157" s="25"/>
      <c r="P157" s="25"/>
      <c r="Q157" s="25"/>
      <c r="R157" s="27">
        <f t="shared" ref="R157:R168" si="34">K157+I157+G157</f>
        <v>0</v>
      </c>
      <c r="T157" s="1"/>
    </row>
    <row r="158" spans="1:22" x14ac:dyDescent="0.25">
      <c r="A158" s="20" t="s">
        <v>17</v>
      </c>
      <c r="B158" s="42"/>
      <c r="C158" s="45"/>
      <c r="D158" s="45"/>
      <c r="E158" s="45"/>
      <c r="F158" s="45">
        <v>0</v>
      </c>
      <c r="G158" s="15">
        <f t="shared" ref="G158:G168" si="35">C158+D158+E158+F158</f>
        <v>0</v>
      </c>
      <c r="H158" s="16"/>
      <c r="I158" s="26"/>
      <c r="J158" s="25"/>
      <c r="K158" s="26"/>
      <c r="L158" s="26"/>
      <c r="M158" s="25"/>
      <c r="N158" s="25"/>
      <c r="O158" s="25"/>
      <c r="P158" s="25"/>
      <c r="Q158" s="25"/>
      <c r="R158" s="27">
        <f t="shared" si="34"/>
        <v>0</v>
      </c>
      <c r="T158" s="1"/>
      <c r="V158" s="1"/>
    </row>
    <row r="159" spans="1:22" x14ac:dyDescent="0.25">
      <c r="A159" s="20" t="s">
        <v>18</v>
      </c>
      <c r="B159" s="42"/>
      <c r="C159" s="45"/>
      <c r="D159" s="45"/>
      <c r="E159" s="45"/>
      <c r="F159" s="45">
        <v>0</v>
      </c>
      <c r="G159" s="15">
        <f t="shared" si="35"/>
        <v>0</v>
      </c>
      <c r="H159" s="16"/>
      <c r="I159" s="26"/>
      <c r="J159" s="25"/>
      <c r="K159" s="26"/>
      <c r="L159" s="26"/>
      <c r="M159" s="25"/>
      <c r="N159" s="25"/>
      <c r="O159" s="25"/>
      <c r="P159" s="25"/>
      <c r="Q159" s="25"/>
      <c r="R159" s="27">
        <f t="shared" si="34"/>
        <v>0</v>
      </c>
      <c r="T159" s="1"/>
    </row>
    <row r="160" spans="1:22" x14ac:dyDescent="0.25">
      <c r="A160" s="20" t="s">
        <v>19</v>
      </c>
      <c r="B160" s="42"/>
      <c r="C160" s="45"/>
      <c r="D160" s="45"/>
      <c r="E160" s="45"/>
      <c r="F160" s="45">
        <v>0</v>
      </c>
      <c r="G160" s="15">
        <f t="shared" si="35"/>
        <v>0</v>
      </c>
      <c r="H160" s="16"/>
      <c r="I160" s="26"/>
      <c r="J160" s="25"/>
      <c r="K160" s="26"/>
      <c r="L160" s="26"/>
      <c r="M160" s="25"/>
      <c r="N160" s="25"/>
      <c r="O160" s="25"/>
      <c r="P160" s="25"/>
      <c r="Q160" s="25"/>
      <c r="R160" s="27">
        <f t="shared" si="34"/>
        <v>0</v>
      </c>
      <c r="T160" s="1"/>
    </row>
    <row r="161" spans="1:22" x14ac:dyDescent="0.25">
      <c r="A161" s="20" t="s">
        <v>20</v>
      </c>
      <c r="B161" s="42"/>
      <c r="C161" s="45"/>
      <c r="D161" s="45"/>
      <c r="E161" s="43"/>
      <c r="F161" s="43">
        <v>0</v>
      </c>
      <c r="G161" s="15">
        <f t="shared" si="35"/>
        <v>0</v>
      </c>
      <c r="H161" s="16"/>
      <c r="I161" s="26"/>
      <c r="J161" s="25"/>
      <c r="K161" s="26"/>
      <c r="L161" s="26"/>
      <c r="M161" s="25"/>
      <c r="N161" s="25"/>
      <c r="O161" s="25"/>
      <c r="P161" s="25"/>
      <c r="Q161" s="25"/>
      <c r="R161" s="27">
        <f t="shared" si="34"/>
        <v>0</v>
      </c>
      <c r="T161" s="1"/>
    </row>
    <row r="162" spans="1:22" x14ac:dyDescent="0.25">
      <c r="A162" s="20" t="s">
        <v>21</v>
      </c>
      <c r="B162" s="42"/>
      <c r="C162" s="45"/>
      <c r="D162" s="45"/>
      <c r="E162" s="43"/>
      <c r="F162" s="43">
        <v>0</v>
      </c>
      <c r="G162" s="15">
        <f t="shared" si="35"/>
        <v>0</v>
      </c>
      <c r="H162" s="16"/>
      <c r="I162" s="26"/>
      <c r="J162" s="25"/>
      <c r="K162" s="26"/>
      <c r="L162" s="26"/>
      <c r="M162" s="25"/>
      <c r="N162" s="25"/>
      <c r="O162" s="25"/>
      <c r="P162" s="25"/>
      <c r="Q162" s="25"/>
      <c r="R162" s="27">
        <f t="shared" si="34"/>
        <v>0</v>
      </c>
      <c r="T162" s="1"/>
    </row>
    <row r="163" spans="1:22" x14ac:dyDescent="0.25">
      <c r="A163" s="20" t="s">
        <v>22</v>
      </c>
      <c r="B163" s="42"/>
      <c r="C163" s="45"/>
      <c r="D163" s="45"/>
      <c r="E163" s="43"/>
      <c r="F163" s="43">
        <v>0</v>
      </c>
      <c r="G163" s="15">
        <f t="shared" si="35"/>
        <v>0</v>
      </c>
      <c r="H163" s="16"/>
      <c r="I163" s="26"/>
      <c r="J163" s="25"/>
      <c r="K163" s="26"/>
      <c r="L163" s="26"/>
      <c r="M163" s="25"/>
      <c r="N163" s="25"/>
      <c r="O163" s="25"/>
      <c r="P163" s="25"/>
      <c r="Q163" s="25"/>
      <c r="R163" s="27">
        <f t="shared" si="34"/>
        <v>0</v>
      </c>
      <c r="T163" s="1"/>
      <c r="V163" s="1"/>
    </row>
    <row r="164" spans="1:22" x14ac:dyDescent="0.25">
      <c r="A164" s="20" t="s">
        <v>23</v>
      </c>
      <c r="B164" s="42"/>
      <c r="C164" s="45"/>
      <c r="D164" s="45"/>
      <c r="E164" s="43"/>
      <c r="F164" s="43">
        <v>0</v>
      </c>
      <c r="G164" s="15">
        <f t="shared" si="35"/>
        <v>0</v>
      </c>
      <c r="H164" s="16"/>
      <c r="I164" s="26"/>
      <c r="J164" s="25"/>
      <c r="K164" s="26"/>
      <c r="L164" s="26"/>
      <c r="M164" s="25"/>
      <c r="N164" s="25"/>
      <c r="O164" s="25"/>
      <c r="P164" s="25"/>
      <c r="Q164" s="25"/>
      <c r="R164" s="27">
        <f t="shared" si="34"/>
        <v>0</v>
      </c>
      <c r="T164" s="1"/>
      <c r="V164" s="1"/>
    </row>
    <row r="165" spans="1:22" x14ac:dyDescent="0.25">
      <c r="A165" s="20" t="s">
        <v>24</v>
      </c>
      <c r="B165" s="42"/>
      <c r="C165" s="45"/>
      <c r="D165" s="45"/>
      <c r="E165" s="43"/>
      <c r="F165" s="43">
        <v>0</v>
      </c>
      <c r="G165" s="15">
        <f t="shared" si="35"/>
        <v>0</v>
      </c>
      <c r="H165" s="16"/>
      <c r="I165" s="26"/>
      <c r="J165" s="25"/>
      <c r="K165" s="26"/>
      <c r="L165" s="26"/>
      <c r="M165" s="25"/>
      <c r="N165" s="25"/>
      <c r="O165" s="25"/>
      <c r="P165" s="25"/>
      <c r="Q165" s="25"/>
      <c r="R165" s="27">
        <f t="shared" si="34"/>
        <v>0</v>
      </c>
      <c r="T165" s="1"/>
    </row>
    <row r="166" spans="1:22" x14ac:dyDescent="0.25">
      <c r="A166" s="20" t="s">
        <v>25</v>
      </c>
      <c r="B166" s="42"/>
      <c r="C166" s="45"/>
      <c r="D166" s="45"/>
      <c r="E166" s="43"/>
      <c r="F166" s="43">
        <v>0</v>
      </c>
      <c r="G166" s="15">
        <f t="shared" si="35"/>
        <v>0</v>
      </c>
      <c r="H166" s="16"/>
      <c r="I166" s="26"/>
      <c r="J166" s="25"/>
      <c r="K166" s="26"/>
      <c r="L166" s="26"/>
      <c r="M166" s="25"/>
      <c r="N166" s="25"/>
      <c r="O166" s="25"/>
      <c r="P166" s="25"/>
      <c r="Q166" s="25"/>
      <c r="R166" s="27">
        <f t="shared" si="34"/>
        <v>0</v>
      </c>
      <c r="T166" s="1"/>
    </row>
    <row r="167" spans="1:22" x14ac:dyDescent="0.25">
      <c r="A167" s="20" t="s">
        <v>26</v>
      </c>
      <c r="B167" s="42"/>
      <c r="C167" s="45"/>
      <c r="D167" s="45"/>
      <c r="E167" s="43"/>
      <c r="F167" s="43">
        <v>0</v>
      </c>
      <c r="G167" s="15">
        <f t="shared" si="35"/>
        <v>0</v>
      </c>
      <c r="H167" s="16"/>
      <c r="I167" s="26"/>
      <c r="J167" s="25"/>
      <c r="K167" s="26"/>
      <c r="L167" s="26"/>
      <c r="M167" s="25"/>
      <c r="N167" s="25"/>
      <c r="O167" s="25"/>
      <c r="P167" s="25"/>
      <c r="Q167" s="25"/>
      <c r="R167" s="27">
        <f t="shared" si="34"/>
        <v>0</v>
      </c>
    </row>
    <row r="168" spans="1:22" ht="15.75" thickBot="1" x14ac:dyDescent="0.3">
      <c r="A168" s="12" t="s">
        <v>15</v>
      </c>
      <c r="B168" s="44"/>
      <c r="C168" s="45"/>
      <c r="D168" s="45"/>
      <c r="E168" s="43"/>
      <c r="F168" s="43">
        <v>0</v>
      </c>
      <c r="G168" s="15">
        <f t="shared" si="35"/>
        <v>0</v>
      </c>
      <c r="H168" s="16"/>
      <c r="I168" s="26"/>
      <c r="J168" s="25"/>
      <c r="K168" s="26"/>
      <c r="L168" s="26"/>
      <c r="M168" s="25"/>
      <c r="N168" s="25"/>
      <c r="O168" s="25"/>
      <c r="P168" s="25"/>
      <c r="Q168" s="25"/>
      <c r="R168" s="27">
        <f t="shared" si="34"/>
        <v>0</v>
      </c>
      <c r="T168" s="1"/>
    </row>
    <row r="169" spans="1:22" ht="15.75" thickBot="1" x14ac:dyDescent="0.3">
      <c r="A169" s="29" t="s">
        <v>0</v>
      </c>
      <c r="B169" s="30">
        <f t="shared" ref="B169:G169" si="36">SUM(B156:B168)</f>
        <v>0</v>
      </c>
      <c r="C169" s="30">
        <f t="shared" si="36"/>
        <v>0</v>
      </c>
      <c r="D169" s="30">
        <f t="shared" si="36"/>
        <v>0</v>
      </c>
      <c r="E169" s="30">
        <f t="shared" si="36"/>
        <v>0</v>
      </c>
      <c r="F169" s="30">
        <f t="shared" si="36"/>
        <v>0</v>
      </c>
      <c r="G169" s="31">
        <f t="shared" si="36"/>
        <v>0</v>
      </c>
      <c r="H169" s="32"/>
      <c r="I169" s="71" t="s">
        <v>27</v>
      </c>
      <c r="J169" s="72"/>
      <c r="K169" s="33">
        <f>SUM(K156:K168)</f>
        <v>0</v>
      </c>
      <c r="L169" s="34"/>
      <c r="M169" s="71" t="s">
        <v>28</v>
      </c>
      <c r="N169" s="73"/>
      <c r="O169" s="72"/>
      <c r="P169" s="33">
        <f>SUM(P156:P168)</f>
        <v>0</v>
      </c>
      <c r="Q169" s="34"/>
      <c r="R169" s="35"/>
      <c r="T169" s="1"/>
    </row>
    <row r="170" spans="1:22" s="36" customFormat="1" ht="15.75" thickBot="1" x14ac:dyDescent="0.3">
      <c r="C170" s="37"/>
      <c r="D170" s="37"/>
      <c r="F170" s="38"/>
      <c r="G170" s="38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T170" s="40"/>
    </row>
    <row r="171" spans="1:22" ht="15.75" customHeight="1" thickBot="1" x14ac:dyDescent="0.3">
      <c r="A171" s="2">
        <f>A154+1</f>
        <v>11</v>
      </c>
      <c r="B171" s="74" t="str">
        <f>VLOOKUP(A171,NAMA,2)</f>
        <v>Drs.WINARTO</v>
      </c>
      <c r="C171" s="75"/>
      <c r="D171" s="75"/>
      <c r="E171" s="75"/>
      <c r="F171" s="76"/>
      <c r="G171" s="3" t="s">
        <v>0</v>
      </c>
      <c r="H171" s="77" t="s">
        <v>1</v>
      </c>
      <c r="I171" s="78"/>
      <c r="J171" s="78"/>
      <c r="K171" s="78"/>
      <c r="L171" s="79"/>
      <c r="M171" s="80" t="s">
        <v>2</v>
      </c>
      <c r="N171" s="78"/>
      <c r="O171" s="78"/>
      <c r="P171" s="78"/>
      <c r="Q171" s="79"/>
      <c r="R171" s="69" t="s">
        <v>29</v>
      </c>
      <c r="T171" s="1"/>
    </row>
    <row r="172" spans="1:22" x14ac:dyDescent="0.25">
      <c r="A172" s="4" t="s">
        <v>4</v>
      </c>
      <c r="B172" s="5" t="s">
        <v>5</v>
      </c>
      <c r="C172" s="6" t="s">
        <v>6</v>
      </c>
      <c r="D172" s="6" t="s">
        <v>7</v>
      </c>
      <c r="E172" s="5" t="s">
        <v>8</v>
      </c>
      <c r="F172" s="5" t="s">
        <v>9</v>
      </c>
      <c r="G172" s="7" t="s">
        <v>10</v>
      </c>
      <c r="H172" s="8" t="s">
        <v>11</v>
      </c>
      <c r="I172" s="9" t="s">
        <v>0</v>
      </c>
      <c r="J172" s="9" t="s">
        <v>12</v>
      </c>
      <c r="K172" s="9" t="s">
        <v>13</v>
      </c>
      <c r="L172" s="10" t="s">
        <v>14</v>
      </c>
      <c r="M172" s="9" t="s">
        <v>11</v>
      </c>
      <c r="N172" s="9" t="s">
        <v>0</v>
      </c>
      <c r="O172" s="9" t="s">
        <v>12</v>
      </c>
      <c r="P172" s="9" t="s">
        <v>13</v>
      </c>
      <c r="Q172" s="10" t="s">
        <v>14</v>
      </c>
      <c r="R172" s="70"/>
      <c r="S172" s="11"/>
      <c r="T172" s="1"/>
    </row>
    <row r="173" spans="1:22" x14ac:dyDescent="0.25">
      <c r="A173" s="12" t="s">
        <v>15</v>
      </c>
      <c r="B173" s="41"/>
      <c r="C173" s="41"/>
      <c r="D173" s="41"/>
      <c r="E173" s="41"/>
      <c r="F173" s="41"/>
      <c r="G173" s="15"/>
      <c r="H173" s="51"/>
      <c r="I173" s="51"/>
      <c r="J173" s="14"/>
      <c r="K173" s="51"/>
      <c r="L173" s="51"/>
      <c r="M173" s="51"/>
      <c r="N173" s="51"/>
      <c r="O173" s="14"/>
      <c r="P173" s="51"/>
      <c r="Q173" s="51"/>
      <c r="R173" s="51"/>
      <c r="T173" s="1"/>
    </row>
    <row r="174" spans="1:22" x14ac:dyDescent="0.25">
      <c r="A174" s="20" t="s">
        <v>16</v>
      </c>
      <c r="B174" s="42"/>
      <c r="C174" s="45"/>
      <c r="D174" s="45"/>
      <c r="E174" s="45"/>
      <c r="F174" s="43"/>
      <c r="G174" s="15"/>
      <c r="H174" s="52"/>
      <c r="I174" s="14"/>
      <c r="J174" s="14"/>
      <c r="K174" s="14"/>
      <c r="L174" s="14"/>
      <c r="M174" s="52"/>
      <c r="N174" s="14"/>
      <c r="O174" s="14"/>
      <c r="P174" s="52"/>
      <c r="Q174" s="52"/>
      <c r="R174" s="27">
        <f>G174</f>
        <v>0</v>
      </c>
      <c r="T174" s="1"/>
    </row>
    <row r="175" spans="1:22" x14ac:dyDescent="0.25">
      <c r="A175" s="20" t="s">
        <v>17</v>
      </c>
      <c r="B175" s="42"/>
      <c r="C175" s="45"/>
      <c r="D175" s="45"/>
      <c r="E175" s="45"/>
      <c r="F175" s="43"/>
      <c r="G175" s="15"/>
      <c r="H175" s="52"/>
      <c r="I175" s="14"/>
      <c r="J175" s="14"/>
      <c r="K175" s="14"/>
      <c r="L175" s="52"/>
      <c r="M175" s="52"/>
      <c r="N175" s="52"/>
      <c r="O175" s="52"/>
      <c r="P175" s="52"/>
      <c r="Q175" s="52"/>
      <c r="R175" s="27">
        <f t="shared" ref="R175:R185" si="37">G175</f>
        <v>0</v>
      </c>
      <c r="T175" s="1"/>
      <c r="V175" s="1"/>
    </row>
    <row r="176" spans="1:22" x14ac:dyDescent="0.25">
      <c r="A176" s="20" t="s">
        <v>18</v>
      </c>
      <c r="B176" s="42"/>
      <c r="C176" s="45"/>
      <c r="D176" s="45"/>
      <c r="E176" s="45"/>
      <c r="F176" s="43"/>
      <c r="G176" s="15"/>
      <c r="H176" s="52"/>
      <c r="I176" s="14"/>
      <c r="J176" s="14"/>
      <c r="K176" s="14"/>
      <c r="L176" s="52"/>
      <c r="M176" s="52"/>
      <c r="N176" s="52"/>
      <c r="O176" s="52"/>
      <c r="P176" s="52"/>
      <c r="Q176" s="52"/>
      <c r="R176" s="27">
        <f t="shared" si="37"/>
        <v>0</v>
      </c>
      <c r="T176" s="1"/>
    </row>
    <row r="177" spans="1:22" x14ac:dyDescent="0.25">
      <c r="A177" s="20" t="s">
        <v>19</v>
      </c>
      <c r="B177" s="42"/>
      <c r="C177" s="45"/>
      <c r="D177" s="45"/>
      <c r="E177" s="45"/>
      <c r="F177" s="43"/>
      <c r="G177" s="15"/>
      <c r="H177" s="52"/>
      <c r="I177" s="14"/>
      <c r="J177" s="14"/>
      <c r="K177" s="14"/>
      <c r="L177" s="52"/>
      <c r="M177" s="52"/>
      <c r="N177" s="52"/>
      <c r="O177" s="52"/>
      <c r="P177" s="52"/>
      <c r="Q177" s="52"/>
      <c r="R177" s="27">
        <f t="shared" si="37"/>
        <v>0</v>
      </c>
      <c r="T177" s="1"/>
    </row>
    <row r="178" spans="1:22" x14ac:dyDescent="0.25">
      <c r="A178" s="20" t="s">
        <v>20</v>
      </c>
      <c r="B178" s="42"/>
      <c r="C178" s="45"/>
      <c r="D178" s="45"/>
      <c r="E178" s="45"/>
      <c r="F178" s="43"/>
      <c r="G178" s="15">
        <f t="shared" ref="G178:G185" si="38">F178+E178+D178+C178</f>
        <v>0</v>
      </c>
      <c r="H178" s="52"/>
      <c r="I178" s="14"/>
      <c r="J178" s="14"/>
      <c r="K178" s="14"/>
      <c r="L178" s="14"/>
      <c r="M178" s="52"/>
      <c r="N178" s="14"/>
      <c r="O178" s="14"/>
      <c r="P178" s="52"/>
      <c r="Q178" s="52"/>
      <c r="R178" s="27">
        <f t="shared" si="37"/>
        <v>0</v>
      </c>
      <c r="T178" s="1"/>
    </row>
    <row r="179" spans="1:22" x14ac:dyDescent="0.25">
      <c r="A179" s="20" t="s">
        <v>21</v>
      </c>
      <c r="B179" s="42"/>
      <c r="C179" s="45"/>
      <c r="D179" s="45"/>
      <c r="E179" s="43"/>
      <c r="F179" s="43"/>
      <c r="G179" s="15">
        <f t="shared" si="38"/>
        <v>0</v>
      </c>
      <c r="H179" s="52"/>
      <c r="I179" s="14"/>
      <c r="J179" s="14"/>
      <c r="K179" s="14"/>
      <c r="L179" s="52"/>
      <c r="M179" s="52"/>
      <c r="N179" s="14"/>
      <c r="O179" s="14"/>
      <c r="P179" s="14"/>
      <c r="Q179" s="52"/>
      <c r="R179" s="27">
        <f t="shared" si="37"/>
        <v>0</v>
      </c>
      <c r="T179" s="1"/>
    </row>
    <row r="180" spans="1:22" x14ac:dyDescent="0.25">
      <c r="A180" s="20" t="s">
        <v>22</v>
      </c>
      <c r="B180" s="42"/>
      <c r="C180" s="45"/>
      <c r="D180" s="45"/>
      <c r="E180" s="43"/>
      <c r="F180" s="43"/>
      <c r="G180" s="15">
        <f t="shared" si="38"/>
        <v>0</v>
      </c>
      <c r="H180" s="52"/>
      <c r="I180" s="14"/>
      <c r="J180" s="14"/>
      <c r="K180" s="14"/>
      <c r="L180" s="52"/>
      <c r="M180" s="52"/>
      <c r="N180" s="14"/>
      <c r="O180" s="14"/>
      <c r="P180" s="14"/>
      <c r="Q180" s="52"/>
      <c r="R180" s="27">
        <f t="shared" si="37"/>
        <v>0</v>
      </c>
      <c r="T180" s="1"/>
      <c r="V180" s="1"/>
    </row>
    <row r="181" spans="1:22" x14ac:dyDescent="0.25">
      <c r="A181" s="20" t="s">
        <v>23</v>
      </c>
      <c r="B181" s="42"/>
      <c r="C181" s="45"/>
      <c r="D181" s="45"/>
      <c r="E181" s="43"/>
      <c r="F181" s="43"/>
      <c r="G181" s="15">
        <f t="shared" si="38"/>
        <v>0</v>
      </c>
      <c r="H181" s="52"/>
      <c r="I181" s="14"/>
      <c r="J181" s="14"/>
      <c r="K181" s="14"/>
      <c r="L181" s="52"/>
      <c r="M181" s="52"/>
      <c r="O181" s="14"/>
      <c r="P181" s="14"/>
      <c r="Q181" s="52"/>
      <c r="R181" s="27">
        <f t="shared" si="37"/>
        <v>0</v>
      </c>
      <c r="T181" s="1"/>
      <c r="V181" s="1"/>
    </row>
    <row r="182" spans="1:22" x14ac:dyDescent="0.25">
      <c r="A182" s="20" t="s">
        <v>24</v>
      </c>
      <c r="B182" s="42"/>
      <c r="C182" s="45"/>
      <c r="D182" s="45"/>
      <c r="E182" s="43"/>
      <c r="F182" s="43"/>
      <c r="G182" s="15">
        <f t="shared" si="38"/>
        <v>0</v>
      </c>
      <c r="H182" s="52"/>
      <c r="I182" s="14"/>
      <c r="J182" s="14"/>
      <c r="K182" s="14"/>
      <c r="L182" s="52"/>
      <c r="M182" s="52"/>
      <c r="N182" s="14"/>
      <c r="O182" s="14"/>
      <c r="P182" s="14"/>
      <c r="Q182" s="52"/>
      <c r="R182" s="27">
        <f t="shared" si="37"/>
        <v>0</v>
      </c>
      <c r="T182" s="1"/>
    </row>
    <row r="183" spans="1:22" x14ac:dyDescent="0.25">
      <c r="A183" s="20" t="s">
        <v>25</v>
      </c>
      <c r="B183" s="42"/>
      <c r="C183" s="45"/>
      <c r="D183" s="45"/>
      <c r="E183" s="43"/>
      <c r="F183" s="43"/>
      <c r="G183" s="15">
        <f t="shared" si="38"/>
        <v>0</v>
      </c>
      <c r="H183" s="52"/>
      <c r="I183" s="14"/>
      <c r="J183" s="14"/>
      <c r="K183" s="14"/>
      <c r="L183" s="52"/>
      <c r="M183" s="52"/>
      <c r="N183" s="52"/>
      <c r="O183" s="52"/>
      <c r="P183" s="52"/>
      <c r="Q183" s="52"/>
      <c r="R183" s="27">
        <f t="shared" si="37"/>
        <v>0</v>
      </c>
      <c r="T183" s="1"/>
    </row>
    <row r="184" spans="1:22" x14ac:dyDescent="0.25">
      <c r="A184" s="20" t="s">
        <v>26</v>
      </c>
      <c r="B184" s="42"/>
      <c r="C184" s="45"/>
      <c r="D184" s="45"/>
      <c r="E184" s="43"/>
      <c r="F184" s="43"/>
      <c r="G184" s="15">
        <f t="shared" si="38"/>
        <v>0</v>
      </c>
      <c r="H184" s="52"/>
      <c r="I184" s="14"/>
      <c r="J184" s="14"/>
      <c r="K184" s="14"/>
      <c r="L184" s="52"/>
      <c r="M184" s="52"/>
      <c r="N184" s="52"/>
      <c r="O184" s="52"/>
      <c r="P184" s="52"/>
      <c r="Q184" s="52"/>
      <c r="R184" s="27">
        <f t="shared" si="37"/>
        <v>0</v>
      </c>
    </row>
    <row r="185" spans="1:22" ht="15.75" thickBot="1" x14ac:dyDescent="0.3">
      <c r="A185" s="12" t="s">
        <v>15</v>
      </c>
      <c r="B185" s="44"/>
      <c r="C185" s="45"/>
      <c r="D185" s="45"/>
      <c r="E185" s="43"/>
      <c r="F185" s="43"/>
      <c r="G185" s="15">
        <f t="shared" si="38"/>
        <v>0</v>
      </c>
      <c r="H185" s="52"/>
      <c r="I185" s="14"/>
      <c r="J185" s="14"/>
      <c r="K185" s="14"/>
      <c r="L185" s="52"/>
      <c r="M185" s="52"/>
      <c r="N185" s="52"/>
      <c r="O185" s="52"/>
      <c r="P185" s="52"/>
      <c r="Q185" s="52"/>
      <c r="R185" s="27">
        <f t="shared" si="37"/>
        <v>0</v>
      </c>
      <c r="T185" s="1"/>
    </row>
    <row r="186" spans="1:22" ht="15.75" thickBot="1" x14ac:dyDescent="0.3">
      <c r="A186" s="29" t="s">
        <v>0</v>
      </c>
      <c r="B186" s="30">
        <f t="shared" ref="B186:G186" si="39">SUM(B173:B185)</f>
        <v>0</v>
      </c>
      <c r="C186" s="30">
        <f t="shared" si="39"/>
        <v>0</v>
      </c>
      <c r="D186" s="30">
        <f t="shared" si="39"/>
        <v>0</v>
      </c>
      <c r="E186" s="30">
        <f>SUM(E173:E185)</f>
        <v>0</v>
      </c>
      <c r="F186" s="30">
        <f>SUM(F173:F185)</f>
        <v>0</v>
      </c>
      <c r="G186" s="31">
        <f t="shared" si="39"/>
        <v>0</v>
      </c>
      <c r="H186" s="32"/>
      <c r="I186" s="71" t="s">
        <v>27</v>
      </c>
      <c r="J186" s="72"/>
      <c r="K186" s="33">
        <f>SUM(K173:K185)</f>
        <v>0</v>
      </c>
      <c r="L186" s="34"/>
      <c r="M186" s="71" t="s">
        <v>28</v>
      </c>
      <c r="N186" s="73"/>
      <c r="O186" s="72"/>
      <c r="P186" s="33">
        <f>SUM(P173:P185)</f>
        <v>0</v>
      </c>
      <c r="Q186" s="34"/>
      <c r="R186" s="35"/>
      <c r="T186" s="1"/>
    </row>
    <row r="187" spans="1:22" s="36" customFormat="1" ht="15.75" thickBot="1" x14ac:dyDescent="0.3">
      <c r="C187" s="37"/>
      <c r="D187" s="37"/>
      <c r="F187" s="38"/>
      <c r="G187" s="38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T187" s="40"/>
    </row>
    <row r="188" spans="1:22" ht="15.75" customHeight="1" thickBot="1" x14ac:dyDescent="0.3">
      <c r="A188" s="2">
        <f>A171+1</f>
        <v>12</v>
      </c>
      <c r="B188" s="74" t="str">
        <f>VLOOKUP(A188,NAMA,2)</f>
        <v>Drs. NURKASAN</v>
      </c>
      <c r="C188" s="75"/>
      <c r="D188" s="75"/>
      <c r="E188" s="75"/>
      <c r="F188" s="76"/>
      <c r="G188" s="3" t="s">
        <v>0</v>
      </c>
      <c r="H188" s="77" t="s">
        <v>1</v>
      </c>
      <c r="I188" s="78"/>
      <c r="J188" s="78"/>
      <c r="K188" s="78"/>
      <c r="L188" s="79"/>
      <c r="M188" s="80" t="s">
        <v>2</v>
      </c>
      <c r="N188" s="78"/>
      <c r="O188" s="78"/>
      <c r="P188" s="78"/>
      <c r="Q188" s="79"/>
      <c r="R188" s="69" t="s">
        <v>29</v>
      </c>
      <c r="T188" s="1"/>
    </row>
    <row r="189" spans="1:22" x14ac:dyDescent="0.25">
      <c r="A189" s="4" t="s">
        <v>4</v>
      </c>
      <c r="B189" s="5" t="s">
        <v>5</v>
      </c>
      <c r="C189" s="6" t="s">
        <v>6</v>
      </c>
      <c r="D189" s="6" t="s">
        <v>7</v>
      </c>
      <c r="E189" s="5" t="s">
        <v>8</v>
      </c>
      <c r="F189" s="5" t="s">
        <v>9</v>
      </c>
      <c r="G189" s="7" t="s">
        <v>10</v>
      </c>
      <c r="H189" s="8" t="s">
        <v>11</v>
      </c>
      <c r="I189" s="9" t="s">
        <v>0</v>
      </c>
      <c r="J189" s="9" t="s">
        <v>12</v>
      </c>
      <c r="K189" s="9" t="s">
        <v>13</v>
      </c>
      <c r="L189" s="10" t="s">
        <v>14</v>
      </c>
      <c r="M189" s="9" t="s">
        <v>11</v>
      </c>
      <c r="N189" s="9" t="s">
        <v>0</v>
      </c>
      <c r="O189" s="9" t="s">
        <v>12</v>
      </c>
      <c r="P189" s="9" t="s">
        <v>13</v>
      </c>
      <c r="Q189" s="10" t="s">
        <v>14</v>
      </c>
      <c r="R189" s="70"/>
      <c r="S189" s="11"/>
      <c r="T189" s="1"/>
    </row>
    <row r="190" spans="1:22" x14ac:dyDescent="0.25">
      <c r="A190" s="12" t="s">
        <v>15</v>
      </c>
      <c r="B190" s="13"/>
      <c r="C190" s="13"/>
      <c r="D190" s="13"/>
      <c r="E190" s="13"/>
      <c r="F190" s="13"/>
      <c r="G190" s="15"/>
      <c r="H190" s="16"/>
      <c r="I190" s="17"/>
      <c r="J190" s="18">
        <v>0</v>
      </c>
      <c r="K190" s="17"/>
      <c r="L190" s="17"/>
      <c r="M190" s="17"/>
      <c r="N190" s="17"/>
      <c r="O190" s="17">
        <v>0</v>
      </c>
      <c r="P190" s="17"/>
      <c r="Q190" s="17"/>
      <c r="R190" s="19"/>
      <c r="T190" s="1"/>
    </row>
    <row r="191" spans="1:22" x14ac:dyDescent="0.25">
      <c r="A191" s="20" t="s">
        <v>16</v>
      </c>
      <c r="B191" s="21"/>
      <c r="C191" s="28"/>
      <c r="D191" s="28"/>
      <c r="E191" s="28"/>
      <c r="F191" s="28"/>
      <c r="G191" s="15"/>
      <c r="H191" s="16"/>
      <c r="I191" s="26"/>
      <c r="J191" s="25"/>
      <c r="K191" s="26"/>
      <c r="L191" s="26"/>
      <c r="M191" s="25"/>
      <c r="N191" s="25"/>
      <c r="O191" s="25"/>
      <c r="P191" s="25"/>
      <c r="Q191" s="25"/>
      <c r="R191" s="27">
        <f>G191</f>
        <v>0</v>
      </c>
      <c r="T191" s="1"/>
    </row>
    <row r="192" spans="1:22" x14ac:dyDescent="0.25">
      <c r="A192" s="20" t="s">
        <v>17</v>
      </c>
      <c r="B192" s="21"/>
      <c r="C192" s="28"/>
      <c r="D192" s="28"/>
      <c r="E192" s="28"/>
      <c r="F192" s="28"/>
      <c r="G192" s="15"/>
      <c r="H192" s="16"/>
      <c r="I192" s="26"/>
      <c r="J192" s="25"/>
      <c r="K192" s="26"/>
      <c r="L192" s="26"/>
      <c r="M192" s="25"/>
      <c r="N192" s="25"/>
      <c r="O192" s="25"/>
      <c r="P192" s="25"/>
      <c r="Q192" s="25"/>
      <c r="R192" s="27">
        <f t="shared" ref="R192:R202" si="40">G192</f>
        <v>0</v>
      </c>
      <c r="T192" s="1"/>
      <c r="V192" s="1"/>
    </row>
    <row r="193" spans="1:22" x14ac:dyDescent="0.25">
      <c r="A193" s="20" t="s">
        <v>18</v>
      </c>
      <c r="B193" s="21"/>
      <c r="C193" s="28"/>
      <c r="D193" s="28"/>
      <c r="E193" s="28"/>
      <c r="F193" s="28"/>
      <c r="G193" s="15"/>
      <c r="H193" s="16"/>
      <c r="I193" s="26"/>
      <c r="J193" s="25"/>
      <c r="K193" s="26"/>
      <c r="L193" s="26"/>
      <c r="M193" s="25"/>
      <c r="N193" s="25"/>
      <c r="O193" s="25"/>
      <c r="P193" s="25"/>
      <c r="Q193" s="25"/>
      <c r="R193" s="27">
        <f t="shared" si="40"/>
        <v>0</v>
      </c>
      <c r="T193" s="1"/>
    </row>
    <row r="194" spans="1:22" x14ac:dyDescent="0.25">
      <c r="A194" s="20" t="s">
        <v>19</v>
      </c>
      <c r="B194" s="21"/>
      <c r="C194" s="28"/>
      <c r="D194" s="28"/>
      <c r="E194" s="28"/>
      <c r="F194" s="28"/>
      <c r="G194" s="15"/>
      <c r="H194" s="16"/>
      <c r="I194" s="26"/>
      <c r="J194" s="25"/>
      <c r="K194" s="26"/>
      <c r="L194" s="26"/>
      <c r="M194" s="25"/>
      <c r="N194" s="25"/>
      <c r="O194" s="25"/>
      <c r="P194" s="25"/>
      <c r="Q194" s="25"/>
      <c r="R194" s="27">
        <f t="shared" si="40"/>
        <v>0</v>
      </c>
      <c r="T194" s="1"/>
    </row>
    <row r="195" spans="1:22" x14ac:dyDescent="0.25">
      <c r="A195" s="20" t="s">
        <v>20</v>
      </c>
      <c r="B195" s="21"/>
      <c r="C195" s="28"/>
      <c r="D195" s="28"/>
      <c r="E195" s="28"/>
      <c r="F195" s="28"/>
      <c r="G195" s="15">
        <f t="shared" ref="G195:G202" si="41">C195+D195+E195+F195</f>
        <v>0</v>
      </c>
      <c r="H195" s="16"/>
      <c r="I195" s="26"/>
      <c r="J195" s="25"/>
      <c r="K195" s="26"/>
      <c r="L195" s="26"/>
      <c r="M195" s="25"/>
      <c r="N195" s="25"/>
      <c r="O195" s="25"/>
      <c r="P195" s="25"/>
      <c r="Q195" s="25"/>
      <c r="R195" s="27">
        <f t="shared" si="40"/>
        <v>0</v>
      </c>
      <c r="T195" s="1"/>
    </row>
    <row r="196" spans="1:22" x14ac:dyDescent="0.25">
      <c r="A196" s="20" t="s">
        <v>21</v>
      </c>
      <c r="B196" s="21"/>
      <c r="C196" s="28"/>
      <c r="D196" s="28"/>
      <c r="E196" s="23"/>
      <c r="F196" s="28"/>
      <c r="G196" s="15">
        <f t="shared" si="41"/>
        <v>0</v>
      </c>
      <c r="H196" s="16"/>
      <c r="I196" s="26"/>
      <c r="J196" s="25"/>
      <c r="K196" s="26"/>
      <c r="L196" s="26"/>
      <c r="M196" s="25"/>
      <c r="N196" s="25"/>
      <c r="O196" s="25"/>
      <c r="P196" s="25"/>
      <c r="Q196" s="25"/>
      <c r="R196" s="27">
        <f t="shared" si="40"/>
        <v>0</v>
      </c>
      <c r="T196" s="1"/>
    </row>
    <row r="197" spans="1:22" x14ac:dyDescent="0.25">
      <c r="A197" s="20" t="s">
        <v>22</v>
      </c>
      <c r="B197" s="21"/>
      <c r="C197" s="28"/>
      <c r="D197" s="28"/>
      <c r="E197" s="23"/>
      <c r="F197" s="28"/>
      <c r="G197" s="15">
        <f t="shared" si="41"/>
        <v>0</v>
      </c>
      <c r="H197" s="16"/>
      <c r="I197" s="26"/>
      <c r="J197" s="25"/>
      <c r="K197" s="26"/>
      <c r="L197" s="26"/>
      <c r="M197" s="25"/>
      <c r="N197" s="25"/>
      <c r="O197" s="25"/>
      <c r="P197" s="25"/>
      <c r="Q197" s="25"/>
      <c r="R197" s="27">
        <f t="shared" si="40"/>
        <v>0</v>
      </c>
      <c r="T197" s="1"/>
      <c r="V197" s="1"/>
    </row>
    <row r="198" spans="1:22" x14ac:dyDescent="0.25">
      <c r="A198" s="20" t="s">
        <v>23</v>
      </c>
      <c r="B198" s="21"/>
      <c r="C198" s="28"/>
      <c r="D198" s="28"/>
      <c r="E198" s="23"/>
      <c r="F198" s="28"/>
      <c r="G198" s="15">
        <f t="shared" si="41"/>
        <v>0</v>
      </c>
      <c r="H198" s="16"/>
      <c r="I198" s="26"/>
      <c r="J198" s="25"/>
      <c r="K198" s="26"/>
      <c r="L198" s="26"/>
      <c r="M198" s="25"/>
      <c r="N198" s="25"/>
      <c r="O198" s="25"/>
      <c r="P198" s="25"/>
      <c r="Q198" s="25"/>
      <c r="R198" s="27">
        <f t="shared" si="40"/>
        <v>0</v>
      </c>
      <c r="T198" s="1"/>
      <c r="V198" s="1"/>
    </row>
    <row r="199" spans="1:22" x14ac:dyDescent="0.25">
      <c r="A199" s="20" t="s">
        <v>24</v>
      </c>
      <c r="B199" s="21"/>
      <c r="C199" s="28"/>
      <c r="D199" s="28"/>
      <c r="E199" s="23"/>
      <c r="F199" s="28"/>
      <c r="G199" s="15">
        <f t="shared" si="41"/>
        <v>0</v>
      </c>
      <c r="H199" s="16"/>
      <c r="I199" s="26"/>
      <c r="J199" s="25"/>
      <c r="K199" s="26"/>
      <c r="L199" s="26"/>
      <c r="M199" s="25"/>
      <c r="N199" s="25"/>
      <c r="O199" s="25"/>
      <c r="P199" s="25"/>
      <c r="Q199" s="25"/>
      <c r="R199" s="27">
        <f t="shared" si="40"/>
        <v>0</v>
      </c>
      <c r="T199" s="1"/>
    </row>
    <row r="200" spans="1:22" x14ac:dyDescent="0.25">
      <c r="A200" s="20" t="s">
        <v>25</v>
      </c>
      <c r="B200" s="21"/>
      <c r="C200" s="28"/>
      <c r="D200" s="28"/>
      <c r="E200" s="23"/>
      <c r="F200" s="28"/>
      <c r="G200" s="15">
        <f t="shared" si="41"/>
        <v>0</v>
      </c>
      <c r="H200" s="16"/>
      <c r="I200" s="26"/>
      <c r="J200" s="25"/>
      <c r="K200" s="26"/>
      <c r="L200" s="26"/>
      <c r="M200" s="25"/>
      <c r="N200" s="25"/>
      <c r="O200" s="25"/>
      <c r="P200" s="25"/>
      <c r="Q200" s="25"/>
      <c r="R200" s="27">
        <f t="shared" si="40"/>
        <v>0</v>
      </c>
      <c r="T200" s="1"/>
    </row>
    <row r="201" spans="1:22" x14ac:dyDescent="0.25">
      <c r="A201" s="20" t="s">
        <v>26</v>
      </c>
      <c r="B201" s="21"/>
      <c r="C201" s="28"/>
      <c r="D201" s="28"/>
      <c r="E201" s="23"/>
      <c r="F201" s="28"/>
      <c r="G201" s="15">
        <f t="shared" si="41"/>
        <v>0</v>
      </c>
      <c r="H201" s="16"/>
      <c r="I201" s="26"/>
      <c r="J201" s="25"/>
      <c r="K201" s="26"/>
      <c r="L201" s="26"/>
      <c r="M201" s="25"/>
      <c r="N201" s="25"/>
      <c r="O201" s="25"/>
      <c r="P201" s="25"/>
      <c r="Q201" s="25"/>
      <c r="R201" s="27">
        <f t="shared" si="40"/>
        <v>0</v>
      </c>
    </row>
    <row r="202" spans="1:22" ht="15.75" thickBot="1" x14ac:dyDescent="0.3">
      <c r="A202" s="12" t="s">
        <v>15</v>
      </c>
      <c r="B202" s="21"/>
      <c r="C202" s="28"/>
      <c r="D202" s="28"/>
      <c r="E202" s="23"/>
      <c r="F202" s="28"/>
      <c r="G202" s="15">
        <f t="shared" si="41"/>
        <v>0</v>
      </c>
      <c r="H202" s="16"/>
      <c r="I202" s="26"/>
      <c r="J202" s="25"/>
      <c r="K202" s="26"/>
      <c r="L202" s="26"/>
      <c r="M202" s="25"/>
      <c r="N202" s="25"/>
      <c r="O202" s="25"/>
      <c r="P202" s="25"/>
      <c r="Q202" s="25"/>
      <c r="R202" s="27">
        <f t="shared" si="40"/>
        <v>0</v>
      </c>
      <c r="T202" s="1"/>
    </row>
    <row r="203" spans="1:22" ht="15.75" thickBot="1" x14ac:dyDescent="0.3">
      <c r="A203" s="29" t="s">
        <v>0</v>
      </c>
      <c r="B203" s="30">
        <f t="shared" ref="B203:G203" si="42">SUM(B190:B202)</f>
        <v>0</v>
      </c>
      <c r="C203" s="30">
        <f t="shared" si="42"/>
        <v>0</v>
      </c>
      <c r="D203" s="30">
        <f t="shared" si="42"/>
        <v>0</v>
      </c>
      <c r="E203" s="30">
        <f t="shared" si="42"/>
        <v>0</v>
      </c>
      <c r="F203" s="30">
        <f t="shared" si="42"/>
        <v>0</v>
      </c>
      <c r="G203" s="31">
        <f t="shared" si="42"/>
        <v>0</v>
      </c>
      <c r="H203" s="32"/>
      <c r="I203" s="71" t="s">
        <v>27</v>
      </c>
      <c r="J203" s="72"/>
      <c r="K203" s="33">
        <f>SUM(K190:K202)</f>
        <v>0</v>
      </c>
      <c r="L203" s="34"/>
      <c r="M203" s="71" t="s">
        <v>28</v>
      </c>
      <c r="N203" s="73"/>
      <c r="O203" s="72"/>
      <c r="P203" s="33">
        <f>SUM(P190:P202)</f>
        <v>0</v>
      </c>
      <c r="Q203" s="34"/>
      <c r="R203" s="35"/>
      <c r="T203" s="1"/>
    </row>
    <row r="204" spans="1:22" s="36" customFormat="1" ht="15.75" thickBot="1" x14ac:dyDescent="0.3">
      <c r="C204" s="37"/>
      <c r="D204" s="37"/>
      <c r="F204" s="38"/>
      <c r="G204" s="38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T204" s="40"/>
    </row>
    <row r="205" spans="1:22" ht="15.75" customHeight="1" thickBot="1" x14ac:dyDescent="0.3">
      <c r="A205" s="2">
        <f>A188+1</f>
        <v>13</v>
      </c>
      <c r="B205" s="74" t="str">
        <f>VLOOKUP(A205,NAMA,2)</f>
        <v>JULESTARINI,SPd</v>
      </c>
      <c r="C205" s="75"/>
      <c r="D205" s="75"/>
      <c r="E205" s="75"/>
      <c r="F205" s="76"/>
      <c r="G205" s="3" t="s">
        <v>0</v>
      </c>
      <c r="H205" s="77" t="s">
        <v>1</v>
      </c>
      <c r="I205" s="78"/>
      <c r="J205" s="78"/>
      <c r="K205" s="78"/>
      <c r="L205" s="79"/>
      <c r="M205" s="80" t="s">
        <v>2</v>
      </c>
      <c r="N205" s="78"/>
      <c r="O205" s="78"/>
      <c r="P205" s="78"/>
      <c r="Q205" s="79"/>
      <c r="R205" s="69" t="s">
        <v>29</v>
      </c>
      <c r="T205" s="1"/>
    </row>
    <row r="206" spans="1:22" x14ac:dyDescent="0.25">
      <c r="A206" s="4" t="s">
        <v>4</v>
      </c>
      <c r="B206" s="5" t="s">
        <v>5</v>
      </c>
      <c r="C206" s="6" t="s">
        <v>6</v>
      </c>
      <c r="D206" s="6" t="s">
        <v>7</v>
      </c>
      <c r="E206" s="5" t="s">
        <v>8</v>
      </c>
      <c r="F206" s="5" t="s">
        <v>9</v>
      </c>
      <c r="G206" s="7" t="s">
        <v>10</v>
      </c>
      <c r="H206" s="8" t="s">
        <v>11</v>
      </c>
      <c r="I206" s="9" t="s">
        <v>0</v>
      </c>
      <c r="J206" s="9" t="s">
        <v>12</v>
      </c>
      <c r="K206" s="9" t="s">
        <v>13</v>
      </c>
      <c r="L206" s="10" t="s">
        <v>14</v>
      </c>
      <c r="M206" s="9" t="s">
        <v>11</v>
      </c>
      <c r="N206" s="9" t="s">
        <v>0</v>
      </c>
      <c r="O206" s="9" t="s">
        <v>12</v>
      </c>
      <c r="P206" s="9" t="s">
        <v>13</v>
      </c>
      <c r="Q206" s="10" t="s">
        <v>14</v>
      </c>
      <c r="R206" s="70"/>
      <c r="S206" s="11"/>
      <c r="T206" s="1"/>
    </row>
    <row r="207" spans="1:22" x14ac:dyDescent="0.25">
      <c r="A207" s="12" t="s">
        <v>15</v>
      </c>
      <c r="B207" s="41"/>
      <c r="C207" s="41"/>
      <c r="D207" s="41"/>
      <c r="E207" s="41"/>
      <c r="F207" s="41"/>
      <c r="G207" s="15"/>
      <c r="H207" s="16"/>
      <c r="I207" s="17"/>
      <c r="J207" s="18"/>
      <c r="K207" s="17"/>
      <c r="L207" s="17"/>
      <c r="M207" s="17"/>
      <c r="N207" s="17"/>
      <c r="O207" s="17">
        <v>0</v>
      </c>
      <c r="P207" s="17"/>
      <c r="Q207" s="17"/>
      <c r="R207" s="19"/>
      <c r="T207" s="1"/>
    </row>
    <row r="208" spans="1:22" x14ac:dyDescent="0.25">
      <c r="A208" s="20" t="s">
        <v>16</v>
      </c>
      <c r="B208" s="42"/>
      <c r="C208" s="43"/>
      <c r="D208" s="43"/>
      <c r="E208" s="43"/>
      <c r="F208" s="43"/>
      <c r="G208" s="15"/>
      <c r="H208" s="16"/>
      <c r="I208" s="26"/>
      <c r="J208" s="25"/>
      <c r="K208" s="26"/>
      <c r="L208" s="26"/>
      <c r="M208" s="25"/>
      <c r="N208" s="25"/>
      <c r="O208" s="25"/>
      <c r="P208" s="25"/>
      <c r="Q208" s="25"/>
      <c r="R208" s="27"/>
      <c r="T208" s="1"/>
    </row>
    <row r="209" spans="1:22" x14ac:dyDescent="0.25">
      <c r="A209" s="20" t="s">
        <v>17</v>
      </c>
      <c r="B209" s="42"/>
      <c r="C209" s="43"/>
      <c r="D209" s="43"/>
      <c r="E209" s="43"/>
      <c r="F209" s="43"/>
      <c r="G209" s="15"/>
      <c r="H209" s="16"/>
      <c r="I209" s="26"/>
      <c r="J209" s="25"/>
      <c r="K209" s="26"/>
      <c r="L209" s="26"/>
      <c r="M209" s="25"/>
      <c r="N209" s="25"/>
      <c r="O209" s="25"/>
      <c r="P209" s="25"/>
      <c r="Q209" s="25"/>
      <c r="R209" s="27"/>
      <c r="T209" s="1"/>
      <c r="V209" s="1"/>
    </row>
    <row r="210" spans="1:22" x14ac:dyDescent="0.25">
      <c r="A210" s="20" t="s">
        <v>18</v>
      </c>
      <c r="B210" s="42"/>
      <c r="C210" s="43"/>
      <c r="D210" s="43"/>
      <c r="E210" s="43"/>
      <c r="F210" s="43"/>
      <c r="G210" s="15"/>
      <c r="H210" s="16"/>
      <c r="I210" s="26"/>
      <c r="J210" s="25"/>
      <c r="K210" s="26"/>
      <c r="L210" s="26"/>
      <c r="M210" s="25"/>
      <c r="N210" s="25"/>
      <c r="O210" s="25"/>
      <c r="P210" s="25"/>
      <c r="Q210" s="25"/>
      <c r="R210" s="27"/>
      <c r="T210" s="1"/>
    </row>
    <row r="211" spans="1:22" x14ac:dyDescent="0.25">
      <c r="A211" s="20" t="s">
        <v>19</v>
      </c>
      <c r="B211" s="42"/>
      <c r="C211" s="43"/>
      <c r="D211" s="43"/>
      <c r="E211" s="43"/>
      <c r="F211" s="43"/>
      <c r="G211" s="15"/>
      <c r="H211" s="16"/>
      <c r="I211" s="26"/>
      <c r="J211" s="25"/>
      <c r="K211" s="26"/>
      <c r="L211" s="26"/>
      <c r="M211" s="25"/>
      <c r="N211" s="25"/>
      <c r="O211" s="25"/>
      <c r="P211" s="25"/>
      <c r="Q211" s="25"/>
      <c r="R211" s="27"/>
      <c r="T211" s="1"/>
    </row>
    <row r="212" spans="1:22" x14ac:dyDescent="0.25">
      <c r="A212" s="20" t="s">
        <v>20</v>
      </c>
      <c r="B212" s="42"/>
      <c r="C212" s="43"/>
      <c r="D212" s="43"/>
      <c r="E212" s="43"/>
      <c r="F212" s="43"/>
      <c r="G212" s="15"/>
      <c r="H212" s="16"/>
      <c r="I212" s="26"/>
      <c r="J212" s="25"/>
      <c r="K212" s="26"/>
      <c r="L212" s="26"/>
      <c r="M212" s="25"/>
      <c r="N212" s="25"/>
      <c r="O212" s="25"/>
      <c r="P212" s="25"/>
      <c r="Q212" s="25"/>
      <c r="R212" s="27"/>
      <c r="T212" s="1"/>
    </row>
    <row r="213" spans="1:22" x14ac:dyDescent="0.25">
      <c r="A213" s="20" t="s">
        <v>21</v>
      </c>
      <c r="B213" s="42"/>
      <c r="C213" s="43"/>
      <c r="D213" s="43"/>
      <c r="E213" s="43"/>
      <c r="F213" s="43"/>
      <c r="G213" s="15"/>
      <c r="H213" s="16"/>
      <c r="I213" s="26"/>
      <c r="J213" s="25"/>
      <c r="K213" s="26"/>
      <c r="L213" s="26"/>
      <c r="M213" s="25"/>
      <c r="N213" s="25"/>
      <c r="O213" s="25"/>
      <c r="P213" s="25"/>
      <c r="Q213" s="25"/>
      <c r="R213" s="27"/>
      <c r="T213" s="1"/>
    </row>
    <row r="214" spans="1:22" x14ac:dyDescent="0.25">
      <c r="A214" s="20" t="s">
        <v>22</v>
      </c>
      <c r="B214" s="42"/>
      <c r="C214" s="43"/>
      <c r="D214" s="43"/>
      <c r="E214" s="43"/>
      <c r="F214" s="43"/>
      <c r="G214" s="15"/>
      <c r="H214" s="16"/>
      <c r="I214" s="26"/>
      <c r="J214" s="25"/>
      <c r="K214" s="26"/>
      <c r="L214" s="26"/>
      <c r="M214" s="25"/>
      <c r="N214" s="25"/>
      <c r="O214" s="25"/>
      <c r="P214" s="25"/>
      <c r="Q214" s="25"/>
      <c r="R214" s="27"/>
      <c r="T214" s="1"/>
      <c r="V214" s="1"/>
    </row>
    <row r="215" spans="1:22" x14ac:dyDescent="0.25">
      <c r="A215" s="20" t="s">
        <v>23</v>
      </c>
      <c r="B215" s="42"/>
      <c r="C215" s="43"/>
      <c r="D215" s="43"/>
      <c r="E215" s="43"/>
      <c r="F215" s="43"/>
      <c r="G215" s="15"/>
      <c r="H215" s="16"/>
      <c r="I215" s="26"/>
      <c r="J215" s="25"/>
      <c r="K215" s="26"/>
      <c r="L215" s="26"/>
      <c r="M215" s="25"/>
      <c r="N215" s="25"/>
      <c r="O215" s="25"/>
      <c r="P215" s="25"/>
      <c r="Q215" s="25"/>
      <c r="R215" s="27"/>
      <c r="T215" s="1"/>
      <c r="V215" s="1"/>
    </row>
    <row r="216" spans="1:22" x14ac:dyDescent="0.25">
      <c r="A216" s="20" t="s">
        <v>24</v>
      </c>
      <c r="B216" s="42"/>
      <c r="C216" s="43"/>
      <c r="D216" s="43"/>
      <c r="E216" s="43"/>
      <c r="F216" s="43"/>
      <c r="G216" s="15"/>
      <c r="H216" s="16"/>
      <c r="I216" s="26"/>
      <c r="J216" s="25"/>
      <c r="K216" s="26"/>
      <c r="L216" s="26"/>
      <c r="M216" s="25"/>
      <c r="N216" s="25"/>
      <c r="O216" s="25"/>
      <c r="P216" s="25"/>
      <c r="Q216" s="25"/>
      <c r="R216" s="27"/>
      <c r="T216" s="1"/>
    </row>
    <row r="217" spans="1:22" x14ac:dyDescent="0.25">
      <c r="A217" s="20" t="s">
        <v>25</v>
      </c>
      <c r="B217" s="42"/>
      <c r="C217" s="43"/>
      <c r="D217" s="43"/>
      <c r="E217" s="43"/>
      <c r="F217" s="43"/>
      <c r="G217" s="15"/>
      <c r="H217" s="16"/>
      <c r="I217" s="26"/>
      <c r="J217" s="25"/>
      <c r="K217" s="26"/>
      <c r="L217" s="26"/>
      <c r="M217" s="25"/>
      <c r="N217" s="25"/>
      <c r="O217" s="25"/>
      <c r="P217" s="25"/>
      <c r="Q217" s="25"/>
      <c r="R217" s="27"/>
      <c r="T217" s="1"/>
    </row>
    <row r="218" spans="1:22" x14ac:dyDescent="0.25">
      <c r="A218" s="20" t="s">
        <v>26</v>
      </c>
      <c r="B218" s="42"/>
      <c r="C218" s="43"/>
      <c r="D218" s="43"/>
      <c r="E218" s="43"/>
      <c r="F218" s="43"/>
      <c r="G218" s="15"/>
      <c r="H218" s="16"/>
      <c r="I218" s="26"/>
      <c r="J218" s="25"/>
      <c r="K218" s="26"/>
      <c r="L218" s="26"/>
      <c r="M218" s="25"/>
      <c r="N218" s="25"/>
      <c r="O218" s="25"/>
      <c r="P218" s="25"/>
      <c r="Q218" s="25"/>
      <c r="R218" s="27"/>
    </row>
    <row r="219" spans="1:22" ht="15.75" thickBot="1" x14ac:dyDescent="0.3">
      <c r="A219" s="12" t="s">
        <v>15</v>
      </c>
      <c r="B219" s="44"/>
      <c r="C219" s="45"/>
      <c r="D219" s="45"/>
      <c r="E219" s="45"/>
      <c r="F219" s="45"/>
      <c r="G219" s="15"/>
      <c r="H219" s="16"/>
      <c r="I219" s="26"/>
      <c r="J219" s="25"/>
      <c r="K219" s="26"/>
      <c r="L219" s="26"/>
      <c r="M219" s="25"/>
      <c r="N219" s="25"/>
      <c r="O219" s="25"/>
      <c r="P219" s="25"/>
      <c r="Q219" s="25"/>
      <c r="R219" s="27"/>
      <c r="T219" s="1"/>
    </row>
    <row r="220" spans="1:22" ht="15.75" thickBot="1" x14ac:dyDescent="0.3">
      <c r="A220" s="29" t="s">
        <v>0</v>
      </c>
      <c r="B220" s="30">
        <f t="shared" ref="B220:G220" si="43">SUM(B207:B219)</f>
        <v>0</v>
      </c>
      <c r="C220" s="30">
        <f t="shared" si="43"/>
        <v>0</v>
      </c>
      <c r="D220" s="30">
        <f t="shared" si="43"/>
        <v>0</v>
      </c>
      <c r="E220" s="30">
        <f t="shared" si="43"/>
        <v>0</v>
      </c>
      <c r="F220" s="30">
        <f t="shared" si="43"/>
        <v>0</v>
      </c>
      <c r="G220" s="31">
        <f t="shared" si="43"/>
        <v>0</v>
      </c>
      <c r="H220" s="32"/>
      <c r="I220" s="71" t="s">
        <v>27</v>
      </c>
      <c r="J220" s="72"/>
      <c r="K220" s="33">
        <f>SUM(K207:K219)</f>
        <v>0</v>
      </c>
      <c r="L220" s="34"/>
      <c r="M220" s="71" t="s">
        <v>28</v>
      </c>
      <c r="N220" s="73"/>
      <c r="O220" s="72"/>
      <c r="P220" s="33">
        <f>SUM(P207:P219)</f>
        <v>0</v>
      </c>
      <c r="Q220" s="34"/>
      <c r="R220" s="35"/>
      <c r="T220" s="1"/>
    </row>
    <row r="221" spans="1:22" s="36" customFormat="1" ht="15.75" thickBot="1" x14ac:dyDescent="0.3">
      <c r="C221" s="37"/>
      <c r="D221" s="37"/>
      <c r="F221" s="38"/>
      <c r="G221" s="38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T221" s="40"/>
    </row>
    <row r="222" spans="1:22" ht="15.75" customHeight="1" thickBot="1" x14ac:dyDescent="0.3">
      <c r="A222" s="2">
        <f>A205+1</f>
        <v>14</v>
      </c>
      <c r="B222" s="74" t="str">
        <f>VLOOKUP(A222,NAMA,2)</f>
        <v>WIWIK DS,SPd</v>
      </c>
      <c r="C222" s="75"/>
      <c r="D222" s="75"/>
      <c r="E222" s="75"/>
      <c r="F222" s="76"/>
      <c r="G222" s="3" t="s">
        <v>0</v>
      </c>
      <c r="H222" s="77" t="s">
        <v>1</v>
      </c>
      <c r="I222" s="78"/>
      <c r="J222" s="78"/>
      <c r="K222" s="78"/>
      <c r="L222" s="79"/>
      <c r="M222" s="80" t="s">
        <v>2</v>
      </c>
      <c r="N222" s="78"/>
      <c r="O222" s="78"/>
      <c r="P222" s="78"/>
      <c r="Q222" s="79"/>
      <c r="R222" s="69" t="s">
        <v>29</v>
      </c>
      <c r="T222" s="1"/>
    </row>
    <row r="223" spans="1:22" x14ac:dyDescent="0.25">
      <c r="A223" s="4" t="s">
        <v>4</v>
      </c>
      <c r="B223" s="5" t="s">
        <v>5</v>
      </c>
      <c r="C223" s="6" t="s">
        <v>6</v>
      </c>
      <c r="D223" s="6" t="s">
        <v>7</v>
      </c>
      <c r="E223" s="5" t="s">
        <v>8</v>
      </c>
      <c r="F223" s="5" t="s">
        <v>9</v>
      </c>
      <c r="G223" s="7" t="s">
        <v>10</v>
      </c>
      <c r="H223" s="8" t="s">
        <v>11</v>
      </c>
      <c r="I223" s="9" t="s">
        <v>0</v>
      </c>
      <c r="J223" s="9" t="s">
        <v>12</v>
      </c>
      <c r="K223" s="9" t="s">
        <v>13</v>
      </c>
      <c r="L223" s="10" t="s">
        <v>14</v>
      </c>
      <c r="M223" s="9" t="s">
        <v>11</v>
      </c>
      <c r="N223" s="9" t="s">
        <v>0</v>
      </c>
      <c r="O223" s="9" t="s">
        <v>12</v>
      </c>
      <c r="P223" s="9" t="s">
        <v>13</v>
      </c>
      <c r="Q223" s="10" t="s">
        <v>14</v>
      </c>
      <c r="R223" s="70"/>
      <c r="S223" s="11"/>
      <c r="T223" s="1"/>
    </row>
    <row r="224" spans="1:22" x14ac:dyDescent="0.25">
      <c r="A224" s="12" t="s">
        <v>15</v>
      </c>
      <c r="B224" s="41">
        <v>100000</v>
      </c>
      <c r="C224" s="41">
        <v>15166000</v>
      </c>
      <c r="D224" s="41">
        <v>6980602</v>
      </c>
      <c r="E224" s="41">
        <v>4000000</v>
      </c>
      <c r="F224" s="41">
        <v>4500000</v>
      </c>
      <c r="G224" s="15">
        <f t="shared" ref="G224" si="44">SUM(B224:F224)</f>
        <v>30746602</v>
      </c>
      <c r="H224" s="16"/>
      <c r="I224" s="17"/>
      <c r="J224" s="18"/>
      <c r="K224" s="17"/>
      <c r="L224" s="17"/>
      <c r="M224" s="17"/>
      <c r="N224" s="17"/>
      <c r="O224" s="17"/>
      <c r="P224" s="17"/>
      <c r="Q224" s="17"/>
      <c r="R224" s="19"/>
      <c r="T224" s="1"/>
    </row>
    <row r="225" spans="1:22" x14ac:dyDescent="0.25">
      <c r="A225" s="20" t="s">
        <v>16</v>
      </c>
      <c r="B225" s="42"/>
      <c r="C225" s="43">
        <v>100000</v>
      </c>
      <c r="D225" s="43">
        <v>100000</v>
      </c>
      <c r="E225" s="43">
        <v>500000</v>
      </c>
      <c r="F225" s="43">
        <v>300000</v>
      </c>
      <c r="G225" s="15">
        <f t="shared" ref="G225:G236" si="45">C225+D225+E225+F225</f>
        <v>1000000</v>
      </c>
      <c r="H225" s="56"/>
      <c r="I225" s="26"/>
      <c r="J225" s="25"/>
      <c r="K225" s="26"/>
      <c r="L225" s="26"/>
      <c r="M225" s="25"/>
      <c r="N225" s="25"/>
      <c r="O225" s="25"/>
      <c r="P225" s="25"/>
      <c r="Q225" s="25"/>
      <c r="R225" s="27">
        <f t="shared" ref="R225:R236" si="46">K225+I225+G225</f>
        <v>1000000</v>
      </c>
      <c r="T225" s="1"/>
    </row>
    <row r="226" spans="1:22" x14ac:dyDescent="0.25">
      <c r="A226" s="20" t="s">
        <v>17</v>
      </c>
      <c r="B226" s="42"/>
      <c r="C226" s="43">
        <v>100000</v>
      </c>
      <c r="D226" s="43">
        <v>100000</v>
      </c>
      <c r="E226" s="43">
        <v>500000</v>
      </c>
      <c r="F226" s="43">
        <v>300000</v>
      </c>
      <c r="G226" s="15">
        <f t="shared" si="45"/>
        <v>1000000</v>
      </c>
      <c r="H226" s="56"/>
      <c r="I226" s="26"/>
      <c r="J226" s="25"/>
      <c r="K226" s="26"/>
      <c r="L226" s="26"/>
      <c r="M226" s="25"/>
      <c r="N226" s="25"/>
      <c r="O226" s="25"/>
      <c r="P226" s="25"/>
      <c r="Q226" s="25"/>
      <c r="R226" s="27">
        <f t="shared" si="46"/>
        <v>1000000</v>
      </c>
      <c r="T226" s="1"/>
      <c r="V226" s="1"/>
    </row>
    <row r="227" spans="1:22" x14ac:dyDescent="0.25">
      <c r="A227" s="20" t="s">
        <v>18</v>
      </c>
      <c r="B227" s="42"/>
      <c r="C227" s="43">
        <v>100000</v>
      </c>
      <c r="D227" s="43">
        <v>100000</v>
      </c>
      <c r="E227" s="43">
        <v>500000</v>
      </c>
      <c r="F227" s="43">
        <v>300000</v>
      </c>
      <c r="G227" s="15">
        <f t="shared" si="45"/>
        <v>1000000</v>
      </c>
      <c r="H227" s="16"/>
      <c r="I227" s="26"/>
      <c r="J227" s="25"/>
      <c r="K227" s="26"/>
      <c r="L227" s="26"/>
      <c r="M227" s="25"/>
      <c r="N227" s="25"/>
      <c r="O227" s="25"/>
      <c r="P227" s="25"/>
      <c r="Q227" s="25"/>
      <c r="R227" s="27">
        <f t="shared" si="46"/>
        <v>1000000</v>
      </c>
      <c r="T227" s="1"/>
    </row>
    <row r="228" spans="1:22" x14ac:dyDescent="0.25">
      <c r="A228" s="20" t="s">
        <v>19</v>
      </c>
      <c r="B228" s="42"/>
      <c r="C228" s="43">
        <v>100000</v>
      </c>
      <c r="D228" s="43">
        <v>100000</v>
      </c>
      <c r="E228" s="43">
        <v>-5500000</v>
      </c>
      <c r="F228" s="43">
        <v>300000</v>
      </c>
      <c r="G228" s="15">
        <f t="shared" si="45"/>
        <v>-5000000</v>
      </c>
      <c r="H228" s="16"/>
      <c r="I228" s="26"/>
      <c r="J228" s="25"/>
      <c r="K228" s="26"/>
      <c r="L228" s="26"/>
      <c r="M228" s="25"/>
      <c r="N228" s="25"/>
      <c r="O228" s="25"/>
      <c r="P228" s="25"/>
      <c r="Q228" s="25"/>
      <c r="R228" s="27">
        <f t="shared" si="46"/>
        <v>-5000000</v>
      </c>
      <c r="T228" s="1"/>
    </row>
    <row r="229" spans="1:22" x14ac:dyDescent="0.25">
      <c r="A229" s="20" t="s">
        <v>20</v>
      </c>
      <c r="B229" s="42"/>
      <c r="C229" s="43">
        <v>100000</v>
      </c>
      <c r="D229" s="43">
        <v>100000</v>
      </c>
      <c r="E229" s="43">
        <v>500000</v>
      </c>
      <c r="F229" s="43">
        <v>300000</v>
      </c>
      <c r="G229" s="15">
        <f t="shared" si="45"/>
        <v>1000000</v>
      </c>
      <c r="H229" s="16"/>
      <c r="I229" s="26"/>
      <c r="J229" s="25"/>
      <c r="K229" s="26"/>
      <c r="L229" s="26"/>
      <c r="M229" s="25"/>
      <c r="N229" s="25"/>
      <c r="O229" s="25"/>
      <c r="P229" s="26"/>
      <c r="Q229" s="25"/>
      <c r="R229" s="27">
        <f t="shared" si="46"/>
        <v>1000000</v>
      </c>
      <c r="T229" s="1"/>
    </row>
    <row r="230" spans="1:22" x14ac:dyDescent="0.25">
      <c r="A230" s="20" t="s">
        <v>21</v>
      </c>
      <c r="B230" s="42"/>
      <c r="C230" s="43">
        <v>100000</v>
      </c>
      <c r="D230" s="43">
        <v>100000</v>
      </c>
      <c r="E230" s="43">
        <v>500000</v>
      </c>
      <c r="F230" s="43">
        <v>300000</v>
      </c>
      <c r="G230" s="15">
        <f t="shared" si="45"/>
        <v>1000000</v>
      </c>
      <c r="H230" s="16"/>
      <c r="I230" s="26"/>
      <c r="J230" s="25"/>
      <c r="K230" s="26"/>
      <c r="L230" s="26"/>
      <c r="M230" s="25"/>
      <c r="N230" s="25"/>
      <c r="O230" s="25"/>
      <c r="P230" s="26"/>
      <c r="Q230" s="25"/>
      <c r="R230" s="27">
        <f t="shared" si="46"/>
        <v>1000000</v>
      </c>
      <c r="T230" s="1"/>
    </row>
    <row r="231" spans="1:22" x14ac:dyDescent="0.25">
      <c r="A231" s="20" t="s">
        <v>22</v>
      </c>
      <c r="B231" s="42"/>
      <c r="C231" s="43">
        <v>100000</v>
      </c>
      <c r="D231" s="43">
        <v>100000</v>
      </c>
      <c r="E231" s="43">
        <v>500000</v>
      </c>
      <c r="F231" s="43">
        <v>300000</v>
      </c>
      <c r="G231" s="15">
        <f t="shared" si="45"/>
        <v>1000000</v>
      </c>
      <c r="H231" s="16"/>
      <c r="I231" s="26"/>
      <c r="J231" s="25"/>
      <c r="K231" s="26"/>
      <c r="L231" s="26"/>
      <c r="M231" s="25"/>
      <c r="N231" s="25"/>
      <c r="O231" s="25"/>
      <c r="P231" s="26">
        <f t="shared" ref="P231:P236" si="47">O230*0.02</f>
        <v>0</v>
      </c>
      <c r="Q231" s="25"/>
      <c r="R231" s="27">
        <f t="shared" si="46"/>
        <v>1000000</v>
      </c>
      <c r="T231" s="1"/>
      <c r="V231" s="1"/>
    </row>
    <row r="232" spans="1:22" x14ac:dyDescent="0.25">
      <c r="A232" s="20" t="s">
        <v>23</v>
      </c>
      <c r="B232" s="42"/>
      <c r="C232" s="43">
        <v>100000</v>
      </c>
      <c r="D232" s="43">
        <v>100000</v>
      </c>
      <c r="E232" s="43">
        <v>500000</v>
      </c>
      <c r="F232" s="43">
        <v>300000</v>
      </c>
      <c r="G232" s="15">
        <f t="shared" si="45"/>
        <v>1000000</v>
      </c>
      <c r="H232" s="16"/>
      <c r="I232" s="26"/>
      <c r="J232" s="25"/>
      <c r="K232" s="26"/>
      <c r="L232" s="26"/>
      <c r="M232" s="25"/>
      <c r="N232" s="25"/>
      <c r="O232" s="25"/>
      <c r="P232" s="26">
        <f t="shared" si="47"/>
        <v>0</v>
      </c>
      <c r="Q232" s="25"/>
      <c r="R232" s="27">
        <f t="shared" si="46"/>
        <v>1000000</v>
      </c>
      <c r="T232" s="1"/>
      <c r="V232" s="1"/>
    </row>
    <row r="233" spans="1:22" x14ac:dyDescent="0.25">
      <c r="A233" s="20" t="s">
        <v>24</v>
      </c>
      <c r="B233" s="42"/>
      <c r="C233" s="43">
        <v>100000</v>
      </c>
      <c r="D233" s="43">
        <v>100000</v>
      </c>
      <c r="E233" s="43">
        <v>500000</v>
      </c>
      <c r="F233" s="43">
        <v>300000</v>
      </c>
      <c r="G233" s="15">
        <f t="shared" si="45"/>
        <v>1000000</v>
      </c>
      <c r="H233" s="16"/>
      <c r="I233" s="26"/>
      <c r="J233" s="25">
        <f t="shared" ref="J233" si="48">J232-I233</f>
        <v>0</v>
      </c>
      <c r="K233" s="26">
        <f t="shared" ref="K233:K236" si="49">0.015*J232</f>
        <v>0</v>
      </c>
      <c r="L233" s="26"/>
      <c r="M233" s="25"/>
      <c r="N233" s="25"/>
      <c r="O233" s="25"/>
      <c r="P233" s="26">
        <f t="shared" si="47"/>
        <v>0</v>
      </c>
      <c r="Q233" s="25"/>
      <c r="R233" s="27">
        <f t="shared" si="46"/>
        <v>1000000</v>
      </c>
      <c r="T233" s="1"/>
    </row>
    <row r="234" spans="1:22" x14ac:dyDescent="0.25">
      <c r="A234" s="20" t="s">
        <v>25</v>
      </c>
      <c r="B234" s="42"/>
      <c r="C234" s="43">
        <v>100000</v>
      </c>
      <c r="D234" s="43">
        <v>100000</v>
      </c>
      <c r="E234" s="43">
        <v>500000</v>
      </c>
      <c r="F234" s="43">
        <v>300000</v>
      </c>
      <c r="G234" s="15">
        <f t="shared" si="45"/>
        <v>1000000</v>
      </c>
      <c r="H234" s="16"/>
      <c r="I234" s="26"/>
      <c r="J234" s="25"/>
      <c r="K234" s="26">
        <f t="shared" si="49"/>
        <v>0</v>
      </c>
      <c r="L234" s="26"/>
      <c r="M234" s="25"/>
      <c r="N234" s="25"/>
      <c r="O234" s="25"/>
      <c r="P234" s="26">
        <f t="shared" si="47"/>
        <v>0</v>
      </c>
      <c r="Q234" s="25"/>
      <c r="R234" s="27">
        <f t="shared" si="46"/>
        <v>1000000</v>
      </c>
      <c r="T234" s="1"/>
    </row>
    <row r="235" spans="1:22" x14ac:dyDescent="0.25">
      <c r="A235" s="20" t="s">
        <v>26</v>
      </c>
      <c r="B235" s="42"/>
      <c r="C235" s="43">
        <v>100000</v>
      </c>
      <c r="D235" s="43">
        <v>100000</v>
      </c>
      <c r="E235" s="43">
        <v>500000</v>
      </c>
      <c r="F235" s="43">
        <v>-7500000</v>
      </c>
      <c r="G235" s="15">
        <f t="shared" si="45"/>
        <v>-6800000</v>
      </c>
      <c r="H235" s="16"/>
      <c r="I235" s="26"/>
      <c r="J235" s="25"/>
      <c r="K235" s="26">
        <f t="shared" si="49"/>
        <v>0</v>
      </c>
      <c r="L235" s="26"/>
      <c r="M235" s="25"/>
      <c r="N235" s="25"/>
      <c r="O235" s="25"/>
      <c r="P235" s="26">
        <f t="shared" si="47"/>
        <v>0</v>
      </c>
      <c r="Q235" s="25"/>
      <c r="R235" s="27">
        <f t="shared" si="46"/>
        <v>-6800000</v>
      </c>
    </row>
    <row r="236" spans="1:22" ht="15.75" thickBot="1" x14ac:dyDescent="0.3">
      <c r="A236" s="12" t="s">
        <v>15</v>
      </c>
      <c r="B236" s="44"/>
      <c r="C236" s="43">
        <v>100000</v>
      </c>
      <c r="D236" s="43">
        <v>100000</v>
      </c>
      <c r="E236" s="43">
        <v>500000</v>
      </c>
      <c r="F236" s="43">
        <v>300000</v>
      </c>
      <c r="G236" s="15">
        <f t="shared" si="45"/>
        <v>1000000</v>
      </c>
      <c r="H236" s="16"/>
      <c r="I236" s="26"/>
      <c r="J236" s="25"/>
      <c r="K236" s="26">
        <f t="shared" si="49"/>
        <v>0</v>
      </c>
      <c r="L236" s="26"/>
      <c r="M236" s="25"/>
      <c r="N236" s="25"/>
      <c r="O236" s="25"/>
      <c r="P236" s="26">
        <f t="shared" si="47"/>
        <v>0</v>
      </c>
      <c r="Q236" s="25"/>
      <c r="R236" s="27">
        <f t="shared" si="46"/>
        <v>1000000</v>
      </c>
      <c r="T236" s="1"/>
    </row>
    <row r="237" spans="1:22" ht="15.75" thickBot="1" x14ac:dyDescent="0.3">
      <c r="A237" s="29" t="s">
        <v>0</v>
      </c>
      <c r="B237" s="30">
        <f t="shared" ref="B237:G237" si="50">SUM(B224:B236)</f>
        <v>100000</v>
      </c>
      <c r="C237" s="30">
        <f t="shared" si="50"/>
        <v>16366000</v>
      </c>
      <c r="D237" s="30">
        <f t="shared" si="50"/>
        <v>8180602</v>
      </c>
      <c r="E237" s="30">
        <f t="shared" si="50"/>
        <v>4000000</v>
      </c>
      <c r="F237" s="30">
        <f t="shared" si="50"/>
        <v>300000</v>
      </c>
      <c r="G237" s="31">
        <f t="shared" si="50"/>
        <v>28946602</v>
      </c>
      <c r="H237" s="32"/>
      <c r="I237" s="71" t="s">
        <v>27</v>
      </c>
      <c r="J237" s="72"/>
      <c r="K237" s="33">
        <f>SUM(K224:K236)</f>
        <v>0</v>
      </c>
      <c r="L237" s="34"/>
      <c r="M237" s="71" t="s">
        <v>28</v>
      </c>
      <c r="N237" s="73"/>
      <c r="O237" s="72"/>
      <c r="P237" s="33">
        <f>SUM(P224:P236)</f>
        <v>0</v>
      </c>
      <c r="Q237" s="34"/>
      <c r="R237" s="35"/>
      <c r="T237" s="1"/>
    </row>
    <row r="238" spans="1:22" s="36" customFormat="1" ht="15.75" thickBot="1" x14ac:dyDescent="0.3">
      <c r="C238" s="37"/>
      <c r="D238" s="37"/>
      <c r="F238" s="38"/>
      <c r="G238" s="38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T238" s="40"/>
    </row>
    <row r="239" spans="1:22" ht="15.75" customHeight="1" thickBot="1" x14ac:dyDescent="0.3">
      <c r="A239" s="2">
        <f>A222+1</f>
        <v>15</v>
      </c>
      <c r="B239" s="74" t="str">
        <f>VLOOKUP(A239,NAMA,2)</f>
        <v>SYAMSUL A, SPd</v>
      </c>
      <c r="C239" s="75"/>
      <c r="D239" s="75"/>
      <c r="E239" s="75"/>
      <c r="F239" s="76"/>
      <c r="G239" s="3" t="s">
        <v>0</v>
      </c>
      <c r="H239" s="77" t="s">
        <v>1</v>
      </c>
      <c r="I239" s="78"/>
      <c r="J239" s="78"/>
      <c r="K239" s="78"/>
      <c r="L239" s="79"/>
      <c r="M239" s="80" t="s">
        <v>2</v>
      </c>
      <c r="N239" s="78"/>
      <c r="O239" s="78"/>
      <c r="P239" s="78"/>
      <c r="Q239" s="79"/>
      <c r="R239" s="69" t="s">
        <v>29</v>
      </c>
      <c r="T239" s="1"/>
    </row>
    <row r="240" spans="1:22" x14ac:dyDescent="0.25">
      <c r="A240" s="4" t="s">
        <v>4</v>
      </c>
      <c r="B240" s="5" t="s">
        <v>5</v>
      </c>
      <c r="C240" s="6" t="s">
        <v>6</v>
      </c>
      <c r="D240" s="6" t="s">
        <v>7</v>
      </c>
      <c r="E240" s="5" t="s">
        <v>8</v>
      </c>
      <c r="F240" s="5" t="s">
        <v>9</v>
      </c>
      <c r="G240" s="7" t="s">
        <v>10</v>
      </c>
      <c r="H240" s="8" t="s">
        <v>11</v>
      </c>
      <c r="I240" s="9" t="s">
        <v>0</v>
      </c>
      <c r="J240" s="9" t="s">
        <v>12</v>
      </c>
      <c r="K240" s="9" t="s">
        <v>13</v>
      </c>
      <c r="L240" s="10" t="s">
        <v>14</v>
      </c>
      <c r="M240" s="9" t="s">
        <v>11</v>
      </c>
      <c r="N240" s="9" t="s">
        <v>0</v>
      </c>
      <c r="O240" s="9" t="s">
        <v>12</v>
      </c>
      <c r="P240" s="9" t="s">
        <v>13</v>
      </c>
      <c r="Q240" s="10" t="s">
        <v>14</v>
      </c>
      <c r="R240" s="70"/>
      <c r="S240" s="11"/>
      <c r="T240" s="1"/>
    </row>
    <row r="241" spans="1:22" x14ac:dyDescent="0.25">
      <c r="A241" s="12" t="s">
        <v>15</v>
      </c>
      <c r="B241" s="41">
        <v>100000</v>
      </c>
      <c r="C241" s="41">
        <v>4110000</v>
      </c>
      <c r="D241" s="41">
        <v>3504700</v>
      </c>
      <c r="E241" s="41">
        <v>1200000</v>
      </c>
      <c r="F241" s="41">
        <v>11900000</v>
      </c>
      <c r="G241" s="15">
        <f t="shared" ref="G241" si="51">SUM(B241:F241)</f>
        <v>20814700</v>
      </c>
      <c r="H241" s="16"/>
      <c r="I241" s="17"/>
      <c r="J241" s="25">
        <v>8500000</v>
      </c>
      <c r="K241" s="17"/>
      <c r="L241" s="17"/>
      <c r="M241" s="17"/>
      <c r="N241" s="17"/>
      <c r="O241" s="25"/>
      <c r="P241" s="17"/>
      <c r="Q241" s="17"/>
      <c r="R241" s="19"/>
      <c r="T241" s="1"/>
    </row>
    <row r="242" spans="1:22" x14ac:dyDescent="0.25">
      <c r="A242" s="20" t="s">
        <v>16</v>
      </c>
      <c r="B242" s="42"/>
      <c r="C242" s="43">
        <v>100000</v>
      </c>
      <c r="D242" s="43">
        <v>25000</v>
      </c>
      <c r="E242" s="43">
        <v>150000</v>
      </c>
      <c r="F242" s="43">
        <v>100000</v>
      </c>
      <c r="G242" s="15">
        <f>SUM(B242:F242)</f>
        <v>375000</v>
      </c>
      <c r="H242" s="16">
        <v>4</v>
      </c>
      <c r="I242" s="26">
        <v>500000</v>
      </c>
      <c r="J242" s="25">
        <f>J241-I242+12000000</f>
        <v>20000000</v>
      </c>
      <c r="K242" s="26">
        <f t="shared" ref="K242:K253" si="52">0.015*J241</f>
        <v>127500</v>
      </c>
      <c r="L242" s="26"/>
      <c r="M242" s="25"/>
      <c r="N242" s="25"/>
      <c r="O242" s="25"/>
      <c r="P242" s="26"/>
      <c r="Q242" s="25"/>
      <c r="R242" s="27">
        <f t="shared" ref="R242:R253" si="53">K242+I242+G242</f>
        <v>1002500</v>
      </c>
      <c r="T242" s="1"/>
    </row>
    <row r="243" spans="1:22" x14ac:dyDescent="0.25">
      <c r="A243" s="20" t="s">
        <v>17</v>
      </c>
      <c r="B243" s="42"/>
      <c r="C243" s="43">
        <v>100000</v>
      </c>
      <c r="D243" s="43">
        <v>25000</v>
      </c>
      <c r="E243" s="43">
        <v>150000</v>
      </c>
      <c r="F243" s="43">
        <v>100000</v>
      </c>
      <c r="G243" s="15">
        <f t="shared" ref="G243:G253" si="54">SUM(B243:F243)</f>
        <v>375000</v>
      </c>
      <c r="H243" s="16">
        <v>5</v>
      </c>
      <c r="I243" s="26">
        <v>500000</v>
      </c>
      <c r="J243" s="25">
        <f t="shared" ref="J243:J252" si="55">J242-I243</f>
        <v>19500000</v>
      </c>
      <c r="K243" s="26">
        <f t="shared" si="52"/>
        <v>300000</v>
      </c>
      <c r="L243" s="26"/>
      <c r="M243" s="25"/>
      <c r="N243" s="25"/>
      <c r="O243" s="25"/>
      <c r="P243" s="25"/>
      <c r="Q243" s="25"/>
      <c r="R243" s="27">
        <f t="shared" si="53"/>
        <v>1175000</v>
      </c>
      <c r="T243" s="1"/>
      <c r="V243" s="1"/>
    </row>
    <row r="244" spans="1:22" x14ac:dyDescent="0.25">
      <c r="A244" s="20" t="s">
        <v>18</v>
      </c>
      <c r="B244" s="42"/>
      <c r="C244" s="43">
        <v>100000</v>
      </c>
      <c r="D244" s="43">
        <v>25000</v>
      </c>
      <c r="E244" s="43">
        <v>150000</v>
      </c>
      <c r="F244" s="43">
        <v>100000</v>
      </c>
      <c r="G244" s="15">
        <f t="shared" si="54"/>
        <v>375000</v>
      </c>
      <c r="H244" s="16">
        <v>6</v>
      </c>
      <c r="I244" s="26">
        <v>500000</v>
      </c>
      <c r="J244" s="25">
        <f t="shared" si="55"/>
        <v>19000000</v>
      </c>
      <c r="K244" s="26">
        <f t="shared" si="52"/>
        <v>292500</v>
      </c>
      <c r="L244" s="26"/>
      <c r="M244" s="25"/>
      <c r="N244" s="25"/>
      <c r="O244" s="25"/>
      <c r="P244" s="25"/>
      <c r="Q244" s="25"/>
      <c r="R244" s="27">
        <f t="shared" si="53"/>
        <v>1167500</v>
      </c>
      <c r="T244" s="1"/>
    </row>
    <row r="245" spans="1:22" x14ac:dyDescent="0.25">
      <c r="A245" s="20" t="s">
        <v>19</v>
      </c>
      <c r="B245" s="42"/>
      <c r="C245" s="43">
        <v>100000</v>
      </c>
      <c r="D245" s="43">
        <v>25000</v>
      </c>
      <c r="E245" s="43">
        <v>-1650000</v>
      </c>
      <c r="F245" s="43">
        <v>100000</v>
      </c>
      <c r="G245" s="15">
        <f t="shared" si="54"/>
        <v>-1425000</v>
      </c>
      <c r="H245" s="16">
        <v>7</v>
      </c>
      <c r="I245" s="26">
        <v>500000</v>
      </c>
      <c r="J245" s="25">
        <f t="shared" si="55"/>
        <v>18500000</v>
      </c>
      <c r="K245" s="26">
        <f t="shared" si="52"/>
        <v>285000</v>
      </c>
      <c r="L245" s="26"/>
      <c r="M245" s="25"/>
      <c r="N245" s="25"/>
      <c r="O245" s="25"/>
      <c r="P245" s="25"/>
      <c r="Q245" s="25"/>
      <c r="R245" s="27">
        <f t="shared" si="53"/>
        <v>-640000</v>
      </c>
      <c r="T245" s="1"/>
    </row>
    <row r="246" spans="1:22" x14ac:dyDescent="0.25">
      <c r="A246" s="20" t="s">
        <v>20</v>
      </c>
      <c r="B246" s="42"/>
      <c r="C246" s="43">
        <v>100000</v>
      </c>
      <c r="D246" s="43">
        <v>25000</v>
      </c>
      <c r="E246" s="43">
        <v>150000</v>
      </c>
      <c r="F246" s="43">
        <v>100000</v>
      </c>
      <c r="G246" s="15">
        <f t="shared" si="54"/>
        <v>375000</v>
      </c>
      <c r="H246" s="16">
        <v>8</v>
      </c>
      <c r="I246" s="26">
        <v>500000</v>
      </c>
      <c r="J246" s="25">
        <f t="shared" si="55"/>
        <v>18000000</v>
      </c>
      <c r="K246" s="26">
        <f t="shared" si="52"/>
        <v>277500</v>
      </c>
      <c r="L246" s="26"/>
      <c r="M246" s="25"/>
      <c r="N246" s="25"/>
      <c r="O246" s="25"/>
      <c r="P246" s="26"/>
      <c r="Q246" s="25"/>
      <c r="R246" s="27">
        <f t="shared" si="53"/>
        <v>1152500</v>
      </c>
      <c r="T246" s="1"/>
    </row>
    <row r="247" spans="1:22" x14ac:dyDescent="0.25">
      <c r="A247" s="20" t="s">
        <v>21</v>
      </c>
      <c r="B247" s="42"/>
      <c r="C247" s="43">
        <v>100000</v>
      </c>
      <c r="D247" s="43">
        <v>25000</v>
      </c>
      <c r="E247" s="43">
        <v>150000</v>
      </c>
      <c r="F247" s="43">
        <v>100000</v>
      </c>
      <c r="G247" s="15">
        <f t="shared" si="54"/>
        <v>375000</v>
      </c>
      <c r="H247" s="16">
        <v>9</v>
      </c>
      <c r="I247" s="26">
        <v>500000</v>
      </c>
      <c r="J247" s="25">
        <f t="shared" si="55"/>
        <v>17500000</v>
      </c>
      <c r="K247" s="26">
        <f t="shared" si="52"/>
        <v>270000</v>
      </c>
      <c r="L247" s="26"/>
      <c r="M247" s="25"/>
      <c r="N247" s="25"/>
      <c r="O247" s="25"/>
      <c r="P247" s="26"/>
      <c r="Q247" s="25"/>
      <c r="R247" s="27">
        <f t="shared" si="53"/>
        <v>1145000</v>
      </c>
      <c r="T247" s="1"/>
    </row>
    <row r="248" spans="1:22" x14ac:dyDescent="0.25">
      <c r="A248" s="20" t="s">
        <v>22</v>
      </c>
      <c r="B248" s="42"/>
      <c r="C248" s="43">
        <v>100000</v>
      </c>
      <c r="D248" s="43">
        <v>25000</v>
      </c>
      <c r="E248" s="43">
        <v>150000</v>
      </c>
      <c r="F248" s="43">
        <v>100000</v>
      </c>
      <c r="G248" s="15">
        <f t="shared" si="54"/>
        <v>375000</v>
      </c>
      <c r="H248" s="16">
        <v>10</v>
      </c>
      <c r="I248" s="26">
        <v>500000</v>
      </c>
      <c r="J248" s="25">
        <f t="shared" si="55"/>
        <v>17000000</v>
      </c>
      <c r="K248" s="26">
        <f t="shared" si="52"/>
        <v>262500</v>
      </c>
      <c r="L248" s="26"/>
      <c r="M248" s="25"/>
      <c r="N248" s="25"/>
      <c r="O248" s="25"/>
      <c r="P248" s="26"/>
      <c r="Q248" s="25"/>
      <c r="R248" s="27">
        <f t="shared" si="53"/>
        <v>1137500</v>
      </c>
      <c r="T248" s="1"/>
      <c r="V248" s="1"/>
    </row>
    <row r="249" spans="1:22" x14ac:dyDescent="0.25">
      <c r="A249" s="20" t="s">
        <v>23</v>
      </c>
      <c r="B249" s="42"/>
      <c r="C249" s="43">
        <v>100000</v>
      </c>
      <c r="D249" s="43">
        <v>25000</v>
      </c>
      <c r="E249" s="43">
        <v>150000</v>
      </c>
      <c r="F249" s="43">
        <v>100000</v>
      </c>
      <c r="G249" s="15">
        <f t="shared" si="54"/>
        <v>375000</v>
      </c>
      <c r="H249" s="16">
        <v>11</v>
      </c>
      <c r="I249" s="26">
        <v>500000</v>
      </c>
      <c r="J249" s="25">
        <f t="shared" si="55"/>
        <v>16500000</v>
      </c>
      <c r="K249" s="26">
        <f t="shared" si="52"/>
        <v>255000</v>
      </c>
      <c r="L249" s="26"/>
      <c r="M249" s="25"/>
      <c r="N249" s="25"/>
      <c r="O249" s="25"/>
      <c r="P249" s="26"/>
      <c r="Q249" s="25"/>
      <c r="R249" s="27">
        <f t="shared" si="53"/>
        <v>1130000</v>
      </c>
      <c r="T249" s="1"/>
      <c r="V249" s="1"/>
    </row>
    <row r="250" spans="1:22" x14ac:dyDescent="0.25">
      <c r="A250" s="20" t="s">
        <v>24</v>
      </c>
      <c r="B250" s="42"/>
      <c r="C250" s="43">
        <v>100000</v>
      </c>
      <c r="D250" s="43">
        <v>25000</v>
      </c>
      <c r="E250" s="43">
        <v>150000</v>
      </c>
      <c r="F250" s="43">
        <v>100000</v>
      </c>
      <c r="G250" s="15">
        <f t="shared" si="54"/>
        <v>375000</v>
      </c>
      <c r="H250" s="16">
        <v>12</v>
      </c>
      <c r="I250" s="26">
        <v>500000</v>
      </c>
      <c r="J250" s="25">
        <f t="shared" si="55"/>
        <v>16000000</v>
      </c>
      <c r="K250" s="26">
        <f t="shared" si="52"/>
        <v>247500</v>
      </c>
      <c r="L250" s="26"/>
      <c r="M250" s="25"/>
      <c r="N250" s="25"/>
      <c r="O250" s="25"/>
      <c r="P250" s="26"/>
      <c r="Q250" s="25"/>
      <c r="R250" s="27">
        <f t="shared" si="53"/>
        <v>1122500</v>
      </c>
      <c r="T250" s="1"/>
    </row>
    <row r="251" spans="1:22" x14ac:dyDescent="0.25">
      <c r="A251" s="20" t="s">
        <v>25</v>
      </c>
      <c r="B251" s="42"/>
      <c r="C251" s="43">
        <v>100000</v>
      </c>
      <c r="D251" s="43">
        <v>25000</v>
      </c>
      <c r="E251" s="43">
        <v>150000</v>
      </c>
      <c r="F251" s="43">
        <v>100000</v>
      </c>
      <c r="G251" s="15">
        <f t="shared" si="54"/>
        <v>375000</v>
      </c>
      <c r="H251" s="16">
        <v>13</v>
      </c>
      <c r="I251" s="26">
        <v>500000</v>
      </c>
      <c r="J251" s="25">
        <f t="shared" si="55"/>
        <v>15500000</v>
      </c>
      <c r="K251" s="26">
        <f t="shared" si="52"/>
        <v>240000</v>
      </c>
      <c r="L251" s="26"/>
      <c r="M251" s="25"/>
      <c r="N251" s="25"/>
      <c r="O251" s="25"/>
      <c r="P251" s="26"/>
      <c r="Q251" s="25"/>
      <c r="R251" s="27">
        <f t="shared" si="53"/>
        <v>1115000</v>
      </c>
      <c r="T251" s="1"/>
    </row>
    <row r="252" spans="1:22" x14ac:dyDescent="0.25">
      <c r="A252" s="20" t="s">
        <v>26</v>
      </c>
      <c r="B252" s="42"/>
      <c r="C252" s="43">
        <v>100000</v>
      </c>
      <c r="D252" s="43">
        <v>25000</v>
      </c>
      <c r="E252" s="43">
        <v>150000</v>
      </c>
      <c r="F252" s="43">
        <v>100000</v>
      </c>
      <c r="G252" s="15">
        <f t="shared" si="54"/>
        <v>375000</v>
      </c>
      <c r="H252" s="16">
        <v>14</v>
      </c>
      <c r="I252" s="26">
        <v>500000</v>
      </c>
      <c r="J252" s="25">
        <f t="shared" si="55"/>
        <v>15000000</v>
      </c>
      <c r="K252" s="26">
        <f t="shared" si="52"/>
        <v>232500</v>
      </c>
      <c r="L252" s="26"/>
      <c r="M252" s="25"/>
      <c r="N252" s="25"/>
      <c r="O252" s="25"/>
      <c r="P252" s="26"/>
      <c r="Q252" s="25"/>
      <c r="R252" s="27">
        <f t="shared" si="53"/>
        <v>1107500</v>
      </c>
    </row>
    <row r="253" spans="1:22" ht="15.75" thickBot="1" x14ac:dyDescent="0.3">
      <c r="A253" s="12" t="s">
        <v>15</v>
      </c>
      <c r="B253" s="44"/>
      <c r="C253" s="43">
        <v>100000</v>
      </c>
      <c r="D253" s="43">
        <v>25000</v>
      </c>
      <c r="E253" s="43">
        <v>150000</v>
      </c>
      <c r="F253" s="43">
        <v>100000</v>
      </c>
      <c r="G253" s="15">
        <f t="shared" si="54"/>
        <v>375000</v>
      </c>
      <c r="H253" s="16">
        <v>15</v>
      </c>
      <c r="I253" s="26">
        <v>500000</v>
      </c>
      <c r="J253" s="25">
        <f>J252-I253+25000000</f>
        <v>39500000</v>
      </c>
      <c r="K253" s="26">
        <f t="shared" si="52"/>
        <v>225000</v>
      </c>
      <c r="L253" s="26"/>
      <c r="M253" s="25"/>
      <c r="N253" s="25"/>
      <c r="O253" s="25"/>
      <c r="P253" s="26"/>
      <c r="Q253" s="25"/>
      <c r="R253" s="27">
        <f t="shared" si="53"/>
        <v>1100000</v>
      </c>
      <c r="T253" s="1"/>
    </row>
    <row r="254" spans="1:22" ht="15.75" thickBot="1" x14ac:dyDescent="0.3">
      <c r="A254" s="29" t="s">
        <v>0</v>
      </c>
      <c r="B254" s="30">
        <f t="shared" ref="B254:G254" si="56">SUM(B241:B253)</f>
        <v>100000</v>
      </c>
      <c r="C254" s="30">
        <f t="shared" si="56"/>
        <v>5310000</v>
      </c>
      <c r="D254" s="30">
        <f t="shared" si="56"/>
        <v>3804700</v>
      </c>
      <c r="E254" s="30">
        <f t="shared" si="56"/>
        <v>1200000</v>
      </c>
      <c r="F254" s="30">
        <f t="shared" si="56"/>
        <v>13100000</v>
      </c>
      <c r="G254" s="31">
        <f t="shared" si="56"/>
        <v>23514700</v>
      </c>
      <c r="H254" s="32"/>
      <c r="I254" s="71" t="s">
        <v>27</v>
      </c>
      <c r="J254" s="72"/>
      <c r="K254" s="33">
        <f>SUM(K241:K253)</f>
        <v>3015000</v>
      </c>
      <c r="L254" s="34"/>
      <c r="M254" s="71" t="s">
        <v>28</v>
      </c>
      <c r="N254" s="73"/>
      <c r="O254" s="72"/>
      <c r="P254" s="33">
        <f>SUM(P241:P253)</f>
        <v>0</v>
      </c>
      <c r="Q254" s="34"/>
      <c r="R254" s="35"/>
      <c r="T254" s="1"/>
    </row>
    <row r="255" spans="1:22" s="36" customFormat="1" ht="15.75" thickBot="1" x14ac:dyDescent="0.3">
      <c r="C255" s="37"/>
      <c r="D255" s="37"/>
      <c r="F255" s="38"/>
      <c r="G255" s="38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T255" s="40"/>
    </row>
    <row r="256" spans="1:22" ht="15.75" customHeight="1" thickBot="1" x14ac:dyDescent="0.3">
      <c r="A256" s="2">
        <f>A239+1</f>
        <v>16</v>
      </c>
      <c r="B256" s="74" t="str">
        <f>VLOOKUP(A256,NAMA,2)</f>
        <v>M.YUSUF,SPd</v>
      </c>
      <c r="C256" s="75"/>
      <c r="D256" s="75"/>
      <c r="E256" s="75"/>
      <c r="F256" s="76"/>
      <c r="G256" s="3" t="s">
        <v>0</v>
      </c>
      <c r="H256" s="77" t="s">
        <v>1</v>
      </c>
      <c r="I256" s="78"/>
      <c r="J256" s="78"/>
      <c r="K256" s="78"/>
      <c r="L256" s="79"/>
      <c r="M256" s="80" t="s">
        <v>2</v>
      </c>
      <c r="N256" s="78"/>
      <c r="O256" s="78"/>
      <c r="P256" s="78"/>
      <c r="Q256" s="79"/>
      <c r="R256" s="69" t="s">
        <v>29</v>
      </c>
      <c r="T256" s="1"/>
    </row>
    <row r="257" spans="1:22" x14ac:dyDescent="0.25">
      <c r="A257" s="4" t="s">
        <v>4</v>
      </c>
      <c r="B257" s="5" t="s">
        <v>5</v>
      </c>
      <c r="C257" s="6" t="s">
        <v>6</v>
      </c>
      <c r="D257" s="6" t="s">
        <v>7</v>
      </c>
      <c r="E257" s="5" t="s">
        <v>8</v>
      </c>
      <c r="F257" s="5" t="s">
        <v>9</v>
      </c>
      <c r="G257" s="7" t="s">
        <v>10</v>
      </c>
      <c r="H257" s="8" t="s">
        <v>11</v>
      </c>
      <c r="I257" s="9" t="s">
        <v>0</v>
      </c>
      <c r="J257" s="9" t="s">
        <v>12</v>
      </c>
      <c r="K257" s="9" t="s">
        <v>13</v>
      </c>
      <c r="L257" s="10" t="s">
        <v>14</v>
      </c>
      <c r="M257" s="9" t="s">
        <v>11</v>
      </c>
      <c r="N257" s="9" t="s">
        <v>0</v>
      </c>
      <c r="O257" s="9" t="s">
        <v>12</v>
      </c>
      <c r="P257" s="9" t="s">
        <v>13</v>
      </c>
      <c r="Q257" s="10" t="s">
        <v>14</v>
      </c>
      <c r="R257" s="70"/>
      <c r="S257" s="11"/>
      <c r="T257" s="1"/>
    </row>
    <row r="258" spans="1:22" x14ac:dyDescent="0.25">
      <c r="A258" s="12" t="s">
        <v>15</v>
      </c>
      <c r="B258" s="41"/>
      <c r="C258" s="41"/>
      <c r="D258" s="41"/>
      <c r="E258" s="41"/>
      <c r="F258" s="41"/>
      <c r="G258" s="15">
        <f t="shared" ref="G258" si="57">SUM(B258:F258)</f>
        <v>0</v>
      </c>
      <c r="H258" s="16"/>
      <c r="I258" s="17"/>
      <c r="J258" s="18">
        <v>0</v>
      </c>
      <c r="K258" s="17"/>
      <c r="L258" s="17"/>
      <c r="M258" s="17"/>
      <c r="N258" s="17"/>
      <c r="O258" s="17"/>
      <c r="P258" s="17"/>
      <c r="Q258" s="17"/>
      <c r="R258" s="19"/>
      <c r="T258" s="1"/>
    </row>
    <row r="259" spans="1:22" x14ac:dyDescent="0.25">
      <c r="A259" s="20" t="s">
        <v>16</v>
      </c>
      <c r="B259" s="42"/>
      <c r="C259" s="45"/>
      <c r="D259" s="45"/>
      <c r="E259" s="45"/>
      <c r="F259" s="45"/>
      <c r="G259" s="15">
        <f t="shared" ref="G259:G270" si="58">C259+D259+E259+F259</f>
        <v>0</v>
      </c>
      <c r="H259" s="16"/>
      <c r="I259" s="26"/>
      <c r="J259" s="25"/>
      <c r="K259" s="26"/>
      <c r="L259" s="26"/>
      <c r="M259" s="25"/>
      <c r="N259" s="25"/>
      <c r="O259" s="25"/>
      <c r="P259" s="25"/>
      <c r="Q259" s="25"/>
      <c r="R259" s="27">
        <f>G259</f>
        <v>0</v>
      </c>
      <c r="T259" s="1"/>
    </row>
    <row r="260" spans="1:22" x14ac:dyDescent="0.25">
      <c r="A260" s="20" t="s">
        <v>17</v>
      </c>
      <c r="B260" s="42"/>
      <c r="C260" s="45"/>
      <c r="D260" s="45"/>
      <c r="E260" s="45"/>
      <c r="F260" s="45"/>
      <c r="G260" s="15">
        <f t="shared" si="58"/>
        <v>0</v>
      </c>
      <c r="H260" s="16"/>
      <c r="I260" s="26"/>
      <c r="J260" s="25"/>
      <c r="K260" s="26"/>
      <c r="L260" s="26"/>
      <c r="M260" s="25"/>
      <c r="N260" s="25"/>
      <c r="O260" s="25"/>
      <c r="P260" s="25"/>
      <c r="Q260" s="25"/>
      <c r="R260" s="27">
        <f t="shared" ref="R260:R270" si="59">G260</f>
        <v>0</v>
      </c>
      <c r="T260" s="1"/>
      <c r="V260" s="1"/>
    </row>
    <row r="261" spans="1:22" x14ac:dyDescent="0.25">
      <c r="A261" s="20" t="s">
        <v>18</v>
      </c>
      <c r="B261" s="42"/>
      <c r="C261" s="45"/>
      <c r="D261" s="45"/>
      <c r="E261" s="45"/>
      <c r="F261" s="45"/>
      <c r="G261" s="15">
        <f t="shared" si="58"/>
        <v>0</v>
      </c>
      <c r="H261" s="16"/>
      <c r="I261" s="26"/>
      <c r="J261" s="25"/>
      <c r="K261" s="26"/>
      <c r="L261" s="26"/>
      <c r="M261" s="25"/>
      <c r="N261" s="25"/>
      <c r="O261" s="25"/>
      <c r="P261" s="25"/>
      <c r="Q261" s="25"/>
      <c r="R261" s="27">
        <f t="shared" si="59"/>
        <v>0</v>
      </c>
      <c r="T261" s="1"/>
    </row>
    <row r="262" spans="1:22" x14ac:dyDescent="0.25">
      <c r="A262" s="20" t="s">
        <v>19</v>
      </c>
      <c r="B262" s="42"/>
      <c r="C262" s="45"/>
      <c r="D262" s="45"/>
      <c r="E262" s="45"/>
      <c r="F262" s="45"/>
      <c r="G262" s="15">
        <f t="shared" si="58"/>
        <v>0</v>
      </c>
      <c r="H262" s="16"/>
      <c r="I262" s="26"/>
      <c r="J262" s="25"/>
      <c r="K262" s="26"/>
      <c r="L262" s="26"/>
      <c r="M262" s="25"/>
      <c r="N262" s="25"/>
      <c r="O262" s="25"/>
      <c r="P262" s="25"/>
      <c r="Q262" s="25"/>
      <c r="R262" s="27">
        <f t="shared" si="59"/>
        <v>0</v>
      </c>
      <c r="T262" s="1"/>
    </row>
    <row r="263" spans="1:22" x14ac:dyDescent="0.25">
      <c r="A263" s="20" t="s">
        <v>20</v>
      </c>
      <c r="B263" s="42"/>
      <c r="C263" s="45"/>
      <c r="D263" s="45"/>
      <c r="E263" s="45"/>
      <c r="F263" s="45"/>
      <c r="G263" s="15">
        <f t="shared" si="58"/>
        <v>0</v>
      </c>
      <c r="H263" s="16"/>
      <c r="I263" s="26"/>
      <c r="J263" s="25"/>
      <c r="K263" s="26"/>
      <c r="L263" s="26"/>
      <c r="M263" s="25"/>
      <c r="N263" s="25"/>
      <c r="O263" s="25"/>
      <c r="P263" s="25"/>
      <c r="Q263" s="25"/>
      <c r="R263" s="27">
        <f t="shared" si="59"/>
        <v>0</v>
      </c>
      <c r="T263" s="1"/>
    </row>
    <row r="264" spans="1:22" x14ac:dyDescent="0.25">
      <c r="A264" s="20" t="s">
        <v>21</v>
      </c>
      <c r="B264" s="42"/>
      <c r="C264" s="45"/>
      <c r="D264" s="45"/>
      <c r="E264" s="45"/>
      <c r="F264" s="45"/>
      <c r="G264" s="15">
        <f t="shared" si="58"/>
        <v>0</v>
      </c>
      <c r="H264" s="16"/>
      <c r="I264" s="26"/>
      <c r="J264" s="25"/>
      <c r="K264" s="26"/>
      <c r="L264" s="26"/>
      <c r="M264" s="25"/>
      <c r="N264" s="25"/>
      <c r="O264" s="25"/>
      <c r="P264" s="25"/>
      <c r="Q264" s="25"/>
      <c r="R264" s="27">
        <f t="shared" si="59"/>
        <v>0</v>
      </c>
      <c r="T264" s="1"/>
    </row>
    <row r="265" spans="1:22" x14ac:dyDescent="0.25">
      <c r="A265" s="20" t="s">
        <v>22</v>
      </c>
      <c r="B265" s="42"/>
      <c r="C265" s="45"/>
      <c r="D265" s="45"/>
      <c r="E265" s="45"/>
      <c r="F265" s="45"/>
      <c r="G265" s="15">
        <f t="shared" si="58"/>
        <v>0</v>
      </c>
      <c r="H265" s="16"/>
      <c r="I265" s="26"/>
      <c r="J265" s="25"/>
      <c r="K265" s="26"/>
      <c r="L265" s="26"/>
      <c r="M265" s="25"/>
      <c r="N265" s="25"/>
      <c r="O265" s="25"/>
      <c r="P265" s="25"/>
      <c r="Q265" s="25"/>
      <c r="R265" s="27">
        <f t="shared" si="59"/>
        <v>0</v>
      </c>
      <c r="T265" s="1"/>
      <c r="V265" s="1"/>
    </row>
    <row r="266" spans="1:22" x14ac:dyDescent="0.25">
      <c r="A266" s="20" t="s">
        <v>23</v>
      </c>
      <c r="B266" s="42"/>
      <c r="C266" s="45"/>
      <c r="D266" s="45"/>
      <c r="E266" s="45"/>
      <c r="F266" s="45"/>
      <c r="G266" s="15">
        <f t="shared" si="58"/>
        <v>0</v>
      </c>
      <c r="H266" s="16"/>
      <c r="I266" s="26"/>
      <c r="J266" s="25"/>
      <c r="K266" s="26"/>
      <c r="L266" s="26"/>
      <c r="M266" s="25"/>
      <c r="N266" s="25"/>
      <c r="O266" s="25"/>
      <c r="P266" s="25"/>
      <c r="Q266" s="25"/>
      <c r="R266" s="27">
        <f t="shared" si="59"/>
        <v>0</v>
      </c>
      <c r="T266" s="1"/>
      <c r="V266" s="1"/>
    </row>
    <row r="267" spans="1:22" x14ac:dyDescent="0.25">
      <c r="A267" s="20" t="s">
        <v>24</v>
      </c>
      <c r="B267" s="42"/>
      <c r="C267" s="45"/>
      <c r="D267" s="45"/>
      <c r="E267" s="45"/>
      <c r="F267" s="45"/>
      <c r="G267" s="15">
        <f t="shared" si="58"/>
        <v>0</v>
      </c>
      <c r="H267" s="16"/>
      <c r="I267" s="26"/>
      <c r="J267" s="25"/>
      <c r="K267" s="26"/>
      <c r="L267" s="26"/>
      <c r="M267" s="25"/>
      <c r="N267" s="25"/>
      <c r="O267" s="25"/>
      <c r="P267" s="25"/>
      <c r="Q267" s="25"/>
      <c r="R267" s="27">
        <f t="shared" si="59"/>
        <v>0</v>
      </c>
      <c r="T267" s="1"/>
    </row>
    <row r="268" spans="1:22" x14ac:dyDescent="0.25">
      <c r="A268" s="20" t="s">
        <v>25</v>
      </c>
      <c r="B268" s="42"/>
      <c r="C268" s="45"/>
      <c r="D268" s="45"/>
      <c r="E268" s="45"/>
      <c r="F268" s="45"/>
      <c r="G268" s="15">
        <f t="shared" si="58"/>
        <v>0</v>
      </c>
      <c r="H268" s="16"/>
      <c r="I268" s="26"/>
      <c r="J268" s="25"/>
      <c r="K268" s="26"/>
      <c r="L268" s="26"/>
      <c r="M268" s="25"/>
      <c r="N268" s="25"/>
      <c r="O268" s="25"/>
      <c r="P268" s="25"/>
      <c r="Q268" s="25"/>
      <c r="R268" s="27">
        <f t="shared" si="59"/>
        <v>0</v>
      </c>
      <c r="T268" s="1"/>
    </row>
    <row r="269" spans="1:22" x14ac:dyDescent="0.25">
      <c r="A269" s="20" t="s">
        <v>26</v>
      </c>
      <c r="B269" s="42"/>
      <c r="C269" s="45"/>
      <c r="D269" s="45"/>
      <c r="E269" s="45"/>
      <c r="F269" s="45"/>
      <c r="G269" s="15">
        <f t="shared" si="58"/>
        <v>0</v>
      </c>
      <c r="H269" s="16"/>
      <c r="I269" s="26"/>
      <c r="J269" s="25"/>
      <c r="K269" s="26"/>
      <c r="L269" s="26"/>
      <c r="M269" s="25"/>
      <c r="N269" s="25"/>
      <c r="O269" s="25"/>
      <c r="P269" s="25"/>
      <c r="Q269" s="25"/>
      <c r="R269" s="27">
        <f t="shared" si="59"/>
        <v>0</v>
      </c>
    </row>
    <row r="270" spans="1:22" ht="15.75" thickBot="1" x14ac:dyDescent="0.3">
      <c r="A270" s="12" t="s">
        <v>15</v>
      </c>
      <c r="B270" s="44"/>
      <c r="C270" s="45"/>
      <c r="D270" s="45"/>
      <c r="E270" s="45"/>
      <c r="F270" s="45"/>
      <c r="G270" s="15">
        <f t="shared" si="58"/>
        <v>0</v>
      </c>
      <c r="H270" s="16"/>
      <c r="I270" s="26"/>
      <c r="J270" s="25"/>
      <c r="K270" s="26"/>
      <c r="L270" s="26"/>
      <c r="M270" s="25"/>
      <c r="N270" s="25"/>
      <c r="O270" s="25"/>
      <c r="P270" s="25"/>
      <c r="R270" s="27">
        <f t="shared" si="59"/>
        <v>0</v>
      </c>
      <c r="T270" s="1"/>
    </row>
    <row r="271" spans="1:22" ht="15.75" thickBot="1" x14ac:dyDescent="0.3">
      <c r="A271" s="29" t="s">
        <v>0</v>
      </c>
      <c r="B271" s="30">
        <f t="shared" ref="B271:G271" si="60">SUM(B258:B270)</f>
        <v>0</v>
      </c>
      <c r="C271" s="30">
        <f t="shared" si="60"/>
        <v>0</v>
      </c>
      <c r="D271" s="30">
        <f t="shared" si="60"/>
        <v>0</v>
      </c>
      <c r="E271" s="30">
        <f t="shared" si="60"/>
        <v>0</v>
      </c>
      <c r="F271" s="30">
        <f t="shared" si="60"/>
        <v>0</v>
      </c>
      <c r="G271" s="31">
        <f t="shared" si="60"/>
        <v>0</v>
      </c>
      <c r="H271" s="32"/>
      <c r="I271" s="71" t="s">
        <v>27</v>
      </c>
      <c r="J271" s="72"/>
      <c r="K271" s="33">
        <f>SUM(K258:K270)</f>
        <v>0</v>
      </c>
      <c r="L271" s="34"/>
      <c r="M271" s="71" t="s">
        <v>28</v>
      </c>
      <c r="N271" s="73"/>
      <c r="O271" s="72"/>
      <c r="P271" s="33">
        <f>SUM(P258:P270)</f>
        <v>0</v>
      </c>
      <c r="Q271" s="34"/>
      <c r="R271" s="35"/>
      <c r="T271" s="1"/>
    </row>
    <row r="272" spans="1:22" s="36" customFormat="1" ht="15.75" thickBot="1" x14ac:dyDescent="0.3">
      <c r="C272" s="37"/>
      <c r="D272" s="37"/>
      <c r="F272" s="38"/>
      <c r="G272" s="38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T272" s="40"/>
    </row>
    <row r="273" spans="1:22" ht="15.75" customHeight="1" thickBot="1" x14ac:dyDescent="0.3">
      <c r="A273" s="2">
        <f>A256+1</f>
        <v>17</v>
      </c>
      <c r="B273" s="74" t="str">
        <f>VLOOKUP(A273,NAMA,2)</f>
        <v>SULASTRI,SPd</v>
      </c>
      <c r="C273" s="75"/>
      <c r="D273" s="75"/>
      <c r="E273" s="75"/>
      <c r="F273" s="76"/>
      <c r="G273" s="3" t="s">
        <v>0</v>
      </c>
      <c r="H273" s="77" t="s">
        <v>1</v>
      </c>
      <c r="I273" s="78"/>
      <c r="J273" s="78"/>
      <c r="K273" s="78"/>
      <c r="L273" s="79"/>
      <c r="M273" s="80" t="s">
        <v>2</v>
      </c>
      <c r="N273" s="78"/>
      <c r="O273" s="78"/>
      <c r="P273" s="78"/>
      <c r="Q273" s="79"/>
      <c r="R273" s="69" t="s">
        <v>29</v>
      </c>
      <c r="T273" s="1"/>
    </row>
    <row r="274" spans="1:22" x14ac:dyDescent="0.25">
      <c r="A274" s="4" t="s">
        <v>4</v>
      </c>
      <c r="B274" s="5" t="s">
        <v>5</v>
      </c>
      <c r="C274" s="6" t="s">
        <v>6</v>
      </c>
      <c r="D274" s="6" t="s">
        <v>7</v>
      </c>
      <c r="E274" s="5" t="s">
        <v>8</v>
      </c>
      <c r="F274" s="5" t="s">
        <v>9</v>
      </c>
      <c r="G274" s="7" t="s">
        <v>10</v>
      </c>
      <c r="H274" s="8" t="s">
        <v>11</v>
      </c>
      <c r="I274" s="9" t="s">
        <v>0</v>
      </c>
      <c r="J274" s="9" t="s">
        <v>12</v>
      </c>
      <c r="K274" s="9" t="s">
        <v>13</v>
      </c>
      <c r="L274" s="10" t="s">
        <v>14</v>
      </c>
      <c r="M274" s="9" t="s">
        <v>11</v>
      </c>
      <c r="N274" s="9" t="s">
        <v>0</v>
      </c>
      <c r="O274" s="9" t="s">
        <v>12</v>
      </c>
      <c r="P274" s="9" t="s">
        <v>13</v>
      </c>
      <c r="Q274" s="10" t="s">
        <v>14</v>
      </c>
      <c r="R274" s="70"/>
      <c r="S274" s="11"/>
      <c r="T274" s="1"/>
    </row>
    <row r="275" spans="1:22" x14ac:dyDescent="0.25">
      <c r="A275" s="12" t="s">
        <v>15</v>
      </c>
      <c r="B275" s="41">
        <v>100000</v>
      </c>
      <c r="C275" s="41">
        <v>18600000</v>
      </c>
      <c r="D275" s="41">
        <v>7331730</v>
      </c>
      <c r="E275" s="41">
        <v>1000000</v>
      </c>
      <c r="F275" s="41">
        <v>500000</v>
      </c>
      <c r="G275" s="15">
        <f t="shared" ref="G275" si="61">SUM(B275:F275)</f>
        <v>27531730</v>
      </c>
      <c r="H275" s="16"/>
      <c r="I275" s="17"/>
      <c r="J275" s="18">
        <v>8500000</v>
      </c>
      <c r="K275" s="17"/>
      <c r="L275" s="17"/>
      <c r="M275" s="17"/>
      <c r="N275" s="17"/>
      <c r="O275" s="17"/>
      <c r="P275" s="17"/>
      <c r="Q275" s="17"/>
      <c r="R275" s="19"/>
      <c r="T275" s="1"/>
    </row>
    <row r="276" spans="1:22" x14ac:dyDescent="0.25">
      <c r="A276" s="20" t="s">
        <v>16</v>
      </c>
      <c r="B276" s="42"/>
      <c r="C276" s="45">
        <v>100000</v>
      </c>
      <c r="D276" s="45">
        <v>100000</v>
      </c>
      <c r="E276" s="45">
        <v>500000</v>
      </c>
      <c r="F276" s="45">
        <v>200000</v>
      </c>
      <c r="G276" s="15">
        <f t="shared" ref="G276:G287" si="62">C276+D276+E276+F276</f>
        <v>900000</v>
      </c>
      <c r="H276" s="16">
        <v>30</v>
      </c>
      <c r="I276" s="26">
        <v>500000</v>
      </c>
      <c r="J276" s="25">
        <f t="shared" ref="J276:J287" si="63">J275-I276</f>
        <v>8000000</v>
      </c>
      <c r="K276" s="26">
        <f t="shared" ref="K276:K279" si="64">0.015*J275</f>
        <v>127500</v>
      </c>
      <c r="L276" s="26"/>
      <c r="M276" s="25"/>
      <c r="N276" s="25"/>
      <c r="O276" s="25"/>
      <c r="P276" s="25"/>
      <c r="Q276" s="25"/>
      <c r="R276" s="27">
        <f>K276+I276+G276</f>
        <v>1527500</v>
      </c>
      <c r="T276" s="1"/>
    </row>
    <row r="277" spans="1:22" x14ac:dyDescent="0.25">
      <c r="A277" s="20" t="s">
        <v>17</v>
      </c>
      <c r="B277" s="42"/>
      <c r="C277" s="45">
        <v>100000</v>
      </c>
      <c r="D277" s="45">
        <v>100000</v>
      </c>
      <c r="E277" s="45">
        <v>500000</v>
      </c>
      <c r="F277" s="45">
        <v>200000</v>
      </c>
      <c r="G277" s="15">
        <f t="shared" si="62"/>
        <v>900000</v>
      </c>
      <c r="H277" s="16">
        <v>31</v>
      </c>
      <c r="I277" s="26">
        <v>500000</v>
      </c>
      <c r="J277" s="25">
        <f t="shared" si="63"/>
        <v>7500000</v>
      </c>
      <c r="K277" s="26">
        <f t="shared" si="64"/>
        <v>120000</v>
      </c>
      <c r="L277" s="26"/>
      <c r="M277" s="25"/>
      <c r="N277" s="25"/>
      <c r="O277" s="25"/>
      <c r="P277" s="25"/>
      <c r="Q277" s="25"/>
      <c r="R277" s="27">
        <f t="shared" ref="R277:R284" si="65">K277+I277+G277</f>
        <v>1520000</v>
      </c>
      <c r="T277" s="1"/>
      <c r="V277" s="1"/>
    </row>
    <row r="278" spans="1:22" x14ac:dyDescent="0.25">
      <c r="A278" s="20" t="s">
        <v>18</v>
      </c>
      <c r="B278" s="42"/>
      <c r="C278" s="45">
        <v>100000</v>
      </c>
      <c r="D278" s="45">
        <v>100000</v>
      </c>
      <c r="E278" s="45">
        <v>500000</v>
      </c>
      <c r="F278" s="45">
        <v>200000</v>
      </c>
      <c r="G278" s="15">
        <f t="shared" si="62"/>
        <v>900000</v>
      </c>
      <c r="H278" s="16">
        <v>32</v>
      </c>
      <c r="I278" s="26">
        <v>500000</v>
      </c>
      <c r="J278" s="25">
        <f t="shared" si="63"/>
        <v>7000000</v>
      </c>
      <c r="K278" s="26">
        <f t="shared" si="64"/>
        <v>112500</v>
      </c>
      <c r="L278" s="26"/>
      <c r="M278" s="25"/>
      <c r="N278" s="25"/>
      <c r="O278" s="25"/>
      <c r="P278" s="25"/>
      <c r="Q278" s="25"/>
      <c r="R278" s="27">
        <f t="shared" si="65"/>
        <v>1512500</v>
      </c>
      <c r="T278" s="1"/>
    </row>
    <row r="279" spans="1:22" x14ac:dyDescent="0.25">
      <c r="A279" s="20" t="s">
        <v>19</v>
      </c>
      <c r="B279" s="42"/>
      <c r="C279" s="45">
        <v>100000</v>
      </c>
      <c r="D279" s="45">
        <v>100000</v>
      </c>
      <c r="E279" s="45">
        <v>-2500000</v>
      </c>
      <c r="F279" s="45">
        <v>200000</v>
      </c>
      <c r="G279" s="15">
        <f>C279+D279+E279+F279</f>
        <v>-2100000</v>
      </c>
      <c r="H279" s="16">
        <v>33</v>
      </c>
      <c r="I279" s="26">
        <v>500000</v>
      </c>
      <c r="J279" s="25">
        <f t="shared" si="63"/>
        <v>6500000</v>
      </c>
      <c r="K279" s="26">
        <f t="shared" si="64"/>
        <v>105000</v>
      </c>
      <c r="L279" s="26"/>
      <c r="M279" s="25"/>
      <c r="N279" s="25"/>
      <c r="O279" s="25"/>
      <c r="P279" s="25"/>
      <c r="Q279" s="25"/>
      <c r="R279" s="27">
        <f t="shared" si="65"/>
        <v>-1495000</v>
      </c>
      <c r="T279" s="1"/>
    </row>
    <row r="280" spans="1:22" x14ac:dyDescent="0.25">
      <c r="A280" s="20" t="s">
        <v>20</v>
      </c>
      <c r="B280" s="42"/>
      <c r="C280" s="45">
        <v>100000</v>
      </c>
      <c r="D280" s="45">
        <v>100000</v>
      </c>
      <c r="E280" s="45">
        <v>500000</v>
      </c>
      <c r="F280" s="45">
        <v>200000</v>
      </c>
      <c r="G280" s="15">
        <f>C280+D280+E280+F280</f>
        <v>900000</v>
      </c>
      <c r="H280" s="16">
        <v>34</v>
      </c>
      <c r="I280" s="26">
        <v>500000</v>
      </c>
      <c r="J280" s="25">
        <f t="shared" si="63"/>
        <v>6000000</v>
      </c>
      <c r="K280" s="26">
        <f t="shared" ref="K280:K287" si="66">J279*0.015</f>
        <v>97500</v>
      </c>
      <c r="L280" s="26"/>
      <c r="M280" s="25"/>
      <c r="N280" s="25"/>
      <c r="O280" s="25"/>
      <c r="P280" s="25"/>
      <c r="Q280" s="25"/>
      <c r="R280" s="27">
        <f t="shared" si="65"/>
        <v>1497500</v>
      </c>
      <c r="T280" s="1"/>
    </row>
    <row r="281" spans="1:22" x14ac:dyDescent="0.25">
      <c r="A281" s="20" t="s">
        <v>21</v>
      </c>
      <c r="B281" s="42"/>
      <c r="C281" s="45">
        <v>100000</v>
      </c>
      <c r="D281" s="45">
        <v>100000</v>
      </c>
      <c r="E281" s="45">
        <v>500000</v>
      </c>
      <c r="F281" s="45">
        <v>200000</v>
      </c>
      <c r="G281" s="15">
        <f t="shared" si="62"/>
        <v>900000</v>
      </c>
      <c r="H281" s="16">
        <v>35</v>
      </c>
      <c r="I281" s="26">
        <v>500000</v>
      </c>
      <c r="J281" s="25">
        <f t="shared" si="63"/>
        <v>5500000</v>
      </c>
      <c r="K281" s="26">
        <f t="shared" si="66"/>
        <v>90000</v>
      </c>
      <c r="L281" s="26"/>
      <c r="M281" s="25"/>
      <c r="N281" s="25"/>
      <c r="O281" s="25"/>
      <c r="P281" s="25"/>
      <c r="Q281" s="25"/>
      <c r="R281" s="27">
        <f t="shared" si="65"/>
        <v>1490000</v>
      </c>
      <c r="T281" s="1"/>
    </row>
    <row r="282" spans="1:22" x14ac:dyDescent="0.25">
      <c r="A282" s="20" t="s">
        <v>22</v>
      </c>
      <c r="B282" s="42"/>
      <c r="C282" s="45">
        <v>100000</v>
      </c>
      <c r="D282" s="45">
        <v>100000</v>
      </c>
      <c r="E282" s="45">
        <v>500000</v>
      </c>
      <c r="F282" s="45">
        <v>-800000</v>
      </c>
      <c r="G282" s="15">
        <f t="shared" si="62"/>
        <v>-100000</v>
      </c>
      <c r="H282" s="16">
        <v>36</v>
      </c>
      <c r="I282" s="26">
        <v>500000</v>
      </c>
      <c r="J282" s="25">
        <f t="shared" si="63"/>
        <v>5000000</v>
      </c>
      <c r="K282" s="26">
        <f t="shared" si="66"/>
        <v>82500</v>
      </c>
      <c r="L282" s="26"/>
      <c r="M282" s="25"/>
      <c r="N282" s="25"/>
      <c r="O282" s="25"/>
      <c r="P282" s="25"/>
      <c r="Q282" s="25"/>
      <c r="R282" s="27">
        <f t="shared" si="65"/>
        <v>482500</v>
      </c>
      <c r="T282" s="1"/>
      <c r="V282" s="1"/>
    </row>
    <row r="283" spans="1:22" x14ac:dyDescent="0.25">
      <c r="A283" s="20" t="s">
        <v>23</v>
      </c>
      <c r="B283" s="42"/>
      <c r="C283" s="45">
        <v>100000</v>
      </c>
      <c r="D283" s="45">
        <v>100000</v>
      </c>
      <c r="E283" s="45">
        <v>500000</v>
      </c>
      <c r="F283" s="45">
        <v>200000</v>
      </c>
      <c r="G283" s="15">
        <f t="shared" si="62"/>
        <v>900000</v>
      </c>
      <c r="H283" s="16">
        <v>37</v>
      </c>
      <c r="I283" s="26">
        <v>500000</v>
      </c>
      <c r="J283" s="25">
        <f t="shared" si="63"/>
        <v>4500000</v>
      </c>
      <c r="K283" s="26">
        <f t="shared" si="66"/>
        <v>75000</v>
      </c>
      <c r="L283" s="26"/>
      <c r="M283" s="25"/>
      <c r="N283" s="25"/>
      <c r="O283" s="25"/>
      <c r="P283" s="25"/>
      <c r="Q283" s="25"/>
      <c r="R283" s="27">
        <f t="shared" si="65"/>
        <v>1475000</v>
      </c>
      <c r="T283" s="1"/>
      <c r="V283" s="1"/>
    </row>
    <row r="284" spans="1:22" x14ac:dyDescent="0.25">
      <c r="A284" s="20" t="s">
        <v>24</v>
      </c>
      <c r="B284" s="42"/>
      <c r="C284" s="45">
        <v>100000</v>
      </c>
      <c r="D284" s="45">
        <v>100000</v>
      </c>
      <c r="E284" s="45">
        <v>500000</v>
      </c>
      <c r="F284" s="45">
        <v>200000</v>
      </c>
      <c r="G284" s="15">
        <f t="shared" si="62"/>
        <v>900000</v>
      </c>
      <c r="H284" s="16">
        <v>38</v>
      </c>
      <c r="I284" s="26">
        <v>500000</v>
      </c>
      <c r="J284" s="25">
        <f t="shared" si="63"/>
        <v>4000000</v>
      </c>
      <c r="K284" s="26">
        <f t="shared" si="66"/>
        <v>67500</v>
      </c>
      <c r="L284" s="26"/>
      <c r="M284" s="25"/>
      <c r="N284" s="25"/>
      <c r="O284" s="25"/>
      <c r="P284" s="25"/>
      <c r="Q284" s="25"/>
      <c r="R284" s="27">
        <f t="shared" si="65"/>
        <v>1467500</v>
      </c>
      <c r="T284" s="1"/>
    </row>
    <row r="285" spans="1:22" x14ac:dyDescent="0.25">
      <c r="A285" s="20" t="s">
        <v>25</v>
      </c>
      <c r="B285" s="42"/>
      <c r="C285" s="45">
        <v>100000</v>
      </c>
      <c r="D285" s="45">
        <v>100000</v>
      </c>
      <c r="E285" s="45">
        <v>500000</v>
      </c>
      <c r="F285" s="45">
        <v>200000</v>
      </c>
      <c r="G285" s="15">
        <f t="shared" si="62"/>
        <v>900000</v>
      </c>
      <c r="H285" s="16">
        <v>39</v>
      </c>
      <c r="I285" s="26">
        <v>500000</v>
      </c>
      <c r="J285" s="25">
        <f t="shared" si="63"/>
        <v>3500000</v>
      </c>
      <c r="K285" s="26">
        <f t="shared" si="66"/>
        <v>60000</v>
      </c>
      <c r="L285" s="26"/>
      <c r="M285" s="25"/>
      <c r="N285" s="25"/>
      <c r="O285" s="25"/>
      <c r="P285" s="25"/>
      <c r="Q285" s="25"/>
      <c r="R285" s="27">
        <f>K285+I285+G285</f>
        <v>1460000</v>
      </c>
      <c r="T285" s="1"/>
    </row>
    <row r="286" spans="1:22" x14ac:dyDescent="0.25">
      <c r="A286" s="20" t="s">
        <v>26</v>
      </c>
      <c r="B286" s="42"/>
      <c r="C286" s="45">
        <v>100000</v>
      </c>
      <c r="D286" s="45">
        <v>100000</v>
      </c>
      <c r="E286" s="45">
        <v>500000</v>
      </c>
      <c r="F286" s="45">
        <v>200000</v>
      </c>
      <c r="G286" s="15">
        <f t="shared" si="62"/>
        <v>900000</v>
      </c>
      <c r="H286" s="16">
        <v>40</v>
      </c>
      <c r="I286" s="26">
        <v>500000</v>
      </c>
      <c r="J286" s="25">
        <f t="shared" si="63"/>
        <v>3000000</v>
      </c>
      <c r="K286" s="26">
        <f t="shared" si="66"/>
        <v>52500</v>
      </c>
      <c r="L286" s="26"/>
      <c r="M286" s="25"/>
      <c r="N286" s="25"/>
      <c r="O286" s="25"/>
      <c r="P286" s="25"/>
      <c r="Q286" s="25"/>
      <c r="R286" s="27">
        <f t="shared" ref="R286:R287" si="67">K286+I286+G286</f>
        <v>1452500</v>
      </c>
    </row>
    <row r="287" spans="1:22" ht="15.75" thickBot="1" x14ac:dyDescent="0.3">
      <c r="A287" s="12" t="s">
        <v>15</v>
      </c>
      <c r="B287" s="44"/>
      <c r="C287" s="45">
        <v>100000</v>
      </c>
      <c r="D287" s="45">
        <v>100000</v>
      </c>
      <c r="E287" s="45">
        <v>500000</v>
      </c>
      <c r="F287" s="45">
        <v>200000</v>
      </c>
      <c r="G287" s="15">
        <f t="shared" si="62"/>
        <v>900000</v>
      </c>
      <c r="H287" s="16">
        <v>41</v>
      </c>
      <c r="I287" s="26">
        <v>500000</v>
      </c>
      <c r="J287" s="25">
        <f t="shared" si="63"/>
        <v>2500000</v>
      </c>
      <c r="K287" s="26">
        <f t="shared" si="66"/>
        <v>45000</v>
      </c>
      <c r="L287" s="26"/>
      <c r="M287" s="25"/>
      <c r="N287" s="25"/>
      <c r="O287" s="25"/>
      <c r="P287" s="25"/>
      <c r="Q287" s="25"/>
      <c r="R287" s="27">
        <f t="shared" si="67"/>
        <v>1445000</v>
      </c>
      <c r="T287" s="1"/>
    </row>
    <row r="288" spans="1:22" ht="15.75" thickBot="1" x14ac:dyDescent="0.3">
      <c r="A288" s="29" t="s">
        <v>0</v>
      </c>
      <c r="B288" s="30">
        <f t="shared" ref="B288:G288" si="68">SUM(B275:B287)</f>
        <v>100000</v>
      </c>
      <c r="C288" s="30">
        <f t="shared" si="68"/>
        <v>19800000</v>
      </c>
      <c r="D288" s="30">
        <f t="shared" si="68"/>
        <v>8531730</v>
      </c>
      <c r="E288" s="30">
        <f t="shared" si="68"/>
        <v>4000000</v>
      </c>
      <c r="F288" s="30">
        <f>SUM(F275:F287)</f>
        <v>1900000</v>
      </c>
      <c r="G288" s="31">
        <f t="shared" si="68"/>
        <v>34331730</v>
      </c>
      <c r="H288" s="32"/>
      <c r="I288" s="71" t="s">
        <v>27</v>
      </c>
      <c r="J288" s="72"/>
      <c r="K288" s="33">
        <f>SUM(K275:K287)</f>
        <v>1035000</v>
      </c>
      <c r="L288" s="34"/>
      <c r="M288" s="71" t="s">
        <v>28</v>
      </c>
      <c r="N288" s="73"/>
      <c r="O288" s="72"/>
      <c r="P288" s="33">
        <f>SUM(P275:P287)</f>
        <v>0</v>
      </c>
      <c r="Q288" s="34"/>
      <c r="R288" s="35"/>
      <c r="T288" s="1"/>
    </row>
    <row r="289" spans="1:22" s="36" customFormat="1" ht="15.75" thickBot="1" x14ac:dyDescent="0.3">
      <c r="C289" s="37"/>
      <c r="D289" s="37"/>
      <c r="F289" s="38"/>
      <c r="G289" s="38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T289" s="40"/>
    </row>
    <row r="290" spans="1:22" ht="15.75" customHeight="1" thickBot="1" x14ac:dyDescent="0.3">
      <c r="A290" s="2">
        <f>A273+1</f>
        <v>18</v>
      </c>
      <c r="B290" s="74" t="str">
        <f>VLOOKUP(A290,NAMA,2)</f>
        <v>HANIK S.SPd</v>
      </c>
      <c r="C290" s="75"/>
      <c r="D290" s="75"/>
      <c r="E290" s="75"/>
      <c r="F290" s="76"/>
      <c r="G290" s="3" t="s">
        <v>0</v>
      </c>
      <c r="H290" s="77" t="s">
        <v>1</v>
      </c>
      <c r="I290" s="78"/>
      <c r="J290" s="78"/>
      <c r="K290" s="78"/>
      <c r="L290" s="79"/>
      <c r="M290" s="80" t="s">
        <v>2</v>
      </c>
      <c r="N290" s="78"/>
      <c r="O290" s="78"/>
      <c r="P290" s="78"/>
      <c r="Q290" s="79"/>
      <c r="R290" s="69" t="s">
        <v>29</v>
      </c>
      <c r="T290" s="1"/>
    </row>
    <row r="291" spans="1:22" x14ac:dyDescent="0.25">
      <c r="A291" s="4" t="s">
        <v>4</v>
      </c>
      <c r="B291" s="5" t="s">
        <v>5</v>
      </c>
      <c r="C291" s="6" t="s">
        <v>6</v>
      </c>
      <c r="D291" s="6" t="s">
        <v>7</v>
      </c>
      <c r="E291" s="5" t="s">
        <v>8</v>
      </c>
      <c r="F291" s="5" t="s">
        <v>9</v>
      </c>
      <c r="G291" s="7" t="s">
        <v>10</v>
      </c>
      <c r="H291" s="8" t="s">
        <v>11</v>
      </c>
      <c r="I291" s="9" t="s">
        <v>0</v>
      </c>
      <c r="J291" s="9" t="s">
        <v>12</v>
      </c>
      <c r="K291" s="9" t="s">
        <v>13</v>
      </c>
      <c r="L291" s="10" t="s">
        <v>14</v>
      </c>
      <c r="M291" s="9" t="s">
        <v>11</v>
      </c>
      <c r="N291" s="9" t="s">
        <v>0</v>
      </c>
      <c r="O291" s="9" t="s">
        <v>12</v>
      </c>
      <c r="P291" s="9" t="s">
        <v>13</v>
      </c>
      <c r="Q291" s="10" t="s">
        <v>14</v>
      </c>
      <c r="R291" s="70"/>
      <c r="S291" s="11"/>
      <c r="T291" s="1"/>
    </row>
    <row r="292" spans="1:22" x14ac:dyDescent="0.25">
      <c r="A292" s="12" t="s">
        <v>15</v>
      </c>
      <c r="B292" s="41">
        <v>100000</v>
      </c>
      <c r="C292" s="41">
        <v>18975000</v>
      </c>
      <c r="D292" s="41">
        <v>6561486</v>
      </c>
      <c r="E292" s="41">
        <v>4800000</v>
      </c>
      <c r="F292" s="41">
        <v>13500000</v>
      </c>
      <c r="G292" s="15">
        <v>43936486</v>
      </c>
      <c r="H292" s="16"/>
      <c r="I292" s="17"/>
      <c r="J292" s="18">
        <v>0</v>
      </c>
      <c r="K292" s="17"/>
      <c r="L292" s="17"/>
      <c r="M292" s="17" t="s">
        <v>35</v>
      </c>
      <c r="N292" s="17"/>
      <c r="O292" s="17"/>
      <c r="P292" s="17"/>
      <c r="Q292" s="17"/>
      <c r="R292" s="19"/>
      <c r="T292" s="1"/>
    </row>
    <row r="293" spans="1:22" x14ac:dyDescent="0.25">
      <c r="A293" s="20" t="s">
        <v>16</v>
      </c>
      <c r="B293" s="42"/>
      <c r="C293" s="45">
        <v>100000</v>
      </c>
      <c r="D293" s="45">
        <v>100000</v>
      </c>
      <c r="E293" s="45">
        <v>600000</v>
      </c>
      <c r="F293" s="45">
        <v>1000000</v>
      </c>
      <c r="G293" s="15">
        <f t="shared" ref="G293:G303" si="69">C293+D293+E293+F293</f>
        <v>1800000</v>
      </c>
      <c r="H293" s="16"/>
      <c r="I293" s="26">
        <v>25000000</v>
      </c>
      <c r="J293" s="25"/>
      <c r="K293" s="26"/>
      <c r="L293" s="26"/>
      <c r="M293" s="25"/>
      <c r="N293" s="25"/>
      <c r="O293" s="25"/>
      <c r="P293" s="25"/>
      <c r="Q293" s="25"/>
      <c r="R293" s="27">
        <f>G293</f>
        <v>1800000</v>
      </c>
      <c r="T293" s="1"/>
    </row>
    <row r="294" spans="1:22" x14ac:dyDescent="0.25">
      <c r="A294" s="20" t="s">
        <v>17</v>
      </c>
      <c r="B294" s="42"/>
      <c r="C294" s="45">
        <v>100000</v>
      </c>
      <c r="D294" s="45">
        <v>100000</v>
      </c>
      <c r="E294" s="45">
        <v>600000</v>
      </c>
      <c r="F294" s="45">
        <v>-3000000</v>
      </c>
      <c r="G294" s="15">
        <f t="shared" si="69"/>
        <v>-2200000</v>
      </c>
      <c r="H294" s="16"/>
      <c r="I294" s="26"/>
      <c r="J294" s="25">
        <v>25000000</v>
      </c>
      <c r="K294" s="26"/>
      <c r="L294" s="26"/>
      <c r="M294" s="25"/>
      <c r="N294" s="25"/>
      <c r="O294" s="25"/>
      <c r="P294" s="25"/>
      <c r="Q294" s="25"/>
      <c r="R294" s="27">
        <f t="shared" ref="R294:R304" si="70">G294</f>
        <v>-2200000</v>
      </c>
      <c r="T294" s="1"/>
      <c r="V294" s="1"/>
    </row>
    <row r="295" spans="1:22" x14ac:dyDescent="0.25">
      <c r="A295" s="20" t="s">
        <v>18</v>
      </c>
      <c r="B295" s="42"/>
      <c r="C295" s="45">
        <v>100000</v>
      </c>
      <c r="D295" s="45">
        <v>100000</v>
      </c>
      <c r="E295" s="45">
        <v>600000</v>
      </c>
      <c r="F295" s="45">
        <v>-9000000</v>
      </c>
      <c r="G295" s="15">
        <f t="shared" si="69"/>
        <v>-8200000</v>
      </c>
      <c r="H295" s="16">
        <v>1</v>
      </c>
      <c r="I295" s="26">
        <v>1500000</v>
      </c>
      <c r="J295" s="25">
        <f t="shared" ref="J295:J303" si="71">J294-I295</f>
        <v>23500000</v>
      </c>
      <c r="K295" s="26">
        <f t="shared" ref="K295:K304" si="72">0.015*J294</f>
        <v>375000</v>
      </c>
      <c r="L295" s="26"/>
      <c r="M295" s="25"/>
      <c r="N295" s="25"/>
      <c r="O295" s="25"/>
      <c r="P295" s="25"/>
      <c r="Q295" s="25"/>
      <c r="R295" s="27">
        <f t="shared" si="70"/>
        <v>-8200000</v>
      </c>
      <c r="T295" s="1"/>
    </row>
    <row r="296" spans="1:22" x14ac:dyDescent="0.25">
      <c r="A296" s="20" t="s">
        <v>19</v>
      </c>
      <c r="B296" s="42"/>
      <c r="C296" s="45">
        <v>100000</v>
      </c>
      <c r="D296" s="45">
        <v>100000</v>
      </c>
      <c r="E296" s="45">
        <v>-6600000</v>
      </c>
      <c r="F296" s="45">
        <v>1000000</v>
      </c>
      <c r="G296" s="15">
        <f t="shared" si="69"/>
        <v>-5400000</v>
      </c>
      <c r="H296" s="16">
        <v>2</v>
      </c>
      <c r="I296" s="26">
        <v>1500000</v>
      </c>
      <c r="J296" s="25">
        <f t="shared" si="71"/>
        <v>22000000</v>
      </c>
      <c r="K296" s="26">
        <f t="shared" si="72"/>
        <v>352500</v>
      </c>
      <c r="L296" s="26"/>
      <c r="M296" s="25"/>
      <c r="N296" s="25"/>
      <c r="O296" s="25"/>
      <c r="P296" s="25"/>
      <c r="Q296" s="25"/>
      <c r="R296" s="27">
        <f t="shared" si="70"/>
        <v>-5400000</v>
      </c>
      <c r="T296" s="1"/>
    </row>
    <row r="297" spans="1:22" x14ac:dyDescent="0.25">
      <c r="A297" s="20" t="s">
        <v>20</v>
      </c>
      <c r="B297" s="42"/>
      <c r="C297" s="45">
        <v>100000</v>
      </c>
      <c r="D297" s="45">
        <v>100000</v>
      </c>
      <c r="E297" s="45">
        <v>600000</v>
      </c>
      <c r="F297" s="45">
        <v>1000000</v>
      </c>
      <c r="G297" s="15">
        <f t="shared" si="69"/>
        <v>1800000</v>
      </c>
      <c r="H297" s="16">
        <v>3</v>
      </c>
      <c r="I297" s="26">
        <v>1500000</v>
      </c>
      <c r="J297" s="25">
        <f t="shared" si="71"/>
        <v>20500000</v>
      </c>
      <c r="K297" s="26">
        <f t="shared" si="72"/>
        <v>330000</v>
      </c>
      <c r="L297" s="26"/>
      <c r="M297" s="25"/>
      <c r="N297" s="25"/>
      <c r="O297" s="25"/>
      <c r="P297" s="25"/>
      <c r="Q297" s="25"/>
      <c r="R297" s="27">
        <f t="shared" si="70"/>
        <v>1800000</v>
      </c>
      <c r="T297" s="1"/>
    </row>
    <row r="298" spans="1:22" x14ac:dyDescent="0.25">
      <c r="A298" s="20" t="s">
        <v>21</v>
      </c>
      <c r="B298" s="42"/>
      <c r="C298" s="45">
        <v>100000</v>
      </c>
      <c r="D298" s="45">
        <v>100000</v>
      </c>
      <c r="E298" s="45">
        <v>600000</v>
      </c>
      <c r="F298" s="45">
        <v>1000000</v>
      </c>
      <c r="G298" s="15">
        <f t="shared" si="69"/>
        <v>1800000</v>
      </c>
      <c r="H298" s="16">
        <v>4</v>
      </c>
      <c r="I298" s="26">
        <v>1500000</v>
      </c>
      <c r="J298" s="25">
        <f t="shared" si="71"/>
        <v>19000000</v>
      </c>
      <c r="K298" s="26">
        <f t="shared" si="72"/>
        <v>307500</v>
      </c>
      <c r="L298" s="26"/>
      <c r="M298" s="25"/>
      <c r="N298" s="25"/>
      <c r="O298" s="25"/>
      <c r="P298" s="25"/>
      <c r="Q298" s="25"/>
      <c r="R298" s="27">
        <f t="shared" si="70"/>
        <v>1800000</v>
      </c>
      <c r="T298" s="1"/>
    </row>
    <row r="299" spans="1:22" x14ac:dyDescent="0.25">
      <c r="A299" s="20" t="s">
        <v>22</v>
      </c>
      <c r="B299" s="42"/>
      <c r="C299" s="45">
        <v>100000</v>
      </c>
      <c r="D299" s="45">
        <v>100000</v>
      </c>
      <c r="E299" s="45">
        <v>600000</v>
      </c>
      <c r="F299" s="45">
        <v>1000000</v>
      </c>
      <c r="G299" s="15">
        <f t="shared" si="69"/>
        <v>1800000</v>
      </c>
      <c r="H299" s="16">
        <v>5</v>
      </c>
      <c r="I299" s="26">
        <v>1500000</v>
      </c>
      <c r="J299" s="25">
        <f t="shared" si="71"/>
        <v>17500000</v>
      </c>
      <c r="K299" s="26">
        <f t="shared" si="72"/>
        <v>285000</v>
      </c>
      <c r="L299" s="26"/>
      <c r="M299" s="25"/>
      <c r="N299" s="25"/>
      <c r="O299" s="25"/>
      <c r="P299" s="25"/>
      <c r="Q299" s="25"/>
      <c r="R299" s="27">
        <f t="shared" si="70"/>
        <v>1800000</v>
      </c>
      <c r="T299" s="1"/>
      <c r="V299" s="1"/>
    </row>
    <row r="300" spans="1:22" x14ac:dyDescent="0.25">
      <c r="A300" s="20" t="s">
        <v>23</v>
      </c>
      <c r="B300" s="42"/>
      <c r="C300" s="45">
        <v>100000</v>
      </c>
      <c r="D300" s="45">
        <v>100000</v>
      </c>
      <c r="E300" s="45">
        <v>600000</v>
      </c>
      <c r="F300" s="45">
        <v>1000000</v>
      </c>
      <c r="G300" s="15">
        <f t="shared" si="69"/>
        <v>1800000</v>
      </c>
      <c r="H300" s="16">
        <v>6</v>
      </c>
      <c r="I300" s="26">
        <v>1500000</v>
      </c>
      <c r="J300" s="25">
        <f t="shared" si="71"/>
        <v>16000000</v>
      </c>
      <c r="K300" s="26">
        <f>0.015*J299</f>
        <v>262500</v>
      </c>
      <c r="L300" s="26"/>
      <c r="M300" s="25"/>
      <c r="N300" s="25"/>
      <c r="O300" s="25"/>
      <c r="P300" s="25"/>
      <c r="Q300" s="25"/>
      <c r="R300" s="27">
        <f t="shared" si="70"/>
        <v>1800000</v>
      </c>
      <c r="T300" s="1"/>
      <c r="V300" s="1"/>
    </row>
    <row r="301" spans="1:22" x14ac:dyDescent="0.25">
      <c r="A301" s="20" t="s">
        <v>24</v>
      </c>
      <c r="B301" s="42"/>
      <c r="C301" s="45">
        <v>100000</v>
      </c>
      <c r="D301" s="45">
        <v>100000</v>
      </c>
      <c r="E301" s="45">
        <v>600000</v>
      </c>
      <c r="F301" s="45">
        <v>-2000000</v>
      </c>
      <c r="G301" s="15">
        <f t="shared" si="69"/>
        <v>-1200000</v>
      </c>
      <c r="H301" s="16">
        <v>7</v>
      </c>
      <c r="I301" s="26">
        <v>1500000</v>
      </c>
      <c r="J301" s="25">
        <f t="shared" si="71"/>
        <v>14500000</v>
      </c>
      <c r="K301" s="26">
        <f>0.015*J300</f>
        <v>240000</v>
      </c>
      <c r="L301" s="26"/>
      <c r="M301" s="25"/>
      <c r="N301" s="25"/>
      <c r="O301" s="25"/>
      <c r="P301" s="25"/>
      <c r="Q301" s="25"/>
      <c r="R301" s="27">
        <f t="shared" si="70"/>
        <v>-1200000</v>
      </c>
      <c r="T301" s="1"/>
    </row>
    <row r="302" spans="1:22" x14ac:dyDescent="0.25">
      <c r="A302" s="20" t="s">
        <v>25</v>
      </c>
      <c r="B302" s="42"/>
      <c r="C302" s="45">
        <v>100000</v>
      </c>
      <c r="D302" s="45">
        <v>100000</v>
      </c>
      <c r="E302" s="45">
        <v>600000</v>
      </c>
      <c r="F302" s="45">
        <v>-2000000</v>
      </c>
      <c r="G302" s="15">
        <f t="shared" si="69"/>
        <v>-1200000</v>
      </c>
      <c r="H302" s="16">
        <v>8</v>
      </c>
      <c r="I302" s="26">
        <v>14500000</v>
      </c>
      <c r="J302" s="25">
        <f t="shared" si="71"/>
        <v>0</v>
      </c>
      <c r="K302" s="26">
        <f t="shared" si="72"/>
        <v>217500</v>
      </c>
      <c r="L302" s="26"/>
      <c r="M302" s="25"/>
      <c r="N302" s="25"/>
      <c r="O302" s="25"/>
      <c r="P302" s="25"/>
      <c r="Q302" s="25"/>
      <c r="R302" s="27">
        <f t="shared" si="70"/>
        <v>-1200000</v>
      </c>
      <c r="T302" s="1"/>
    </row>
    <row r="303" spans="1:22" x14ac:dyDescent="0.25">
      <c r="A303" s="20" t="s">
        <v>26</v>
      </c>
      <c r="B303" s="42"/>
      <c r="C303" s="45">
        <v>100000</v>
      </c>
      <c r="D303" s="45">
        <v>100000</v>
      </c>
      <c r="E303" s="45">
        <v>600000</v>
      </c>
      <c r="F303" s="45">
        <v>1000000</v>
      </c>
      <c r="G303" s="15">
        <f t="shared" si="69"/>
        <v>1800000</v>
      </c>
      <c r="H303" s="16"/>
      <c r="I303" s="26"/>
      <c r="J303" s="25">
        <f t="shared" si="71"/>
        <v>0</v>
      </c>
      <c r="K303" s="26">
        <f t="shared" si="72"/>
        <v>0</v>
      </c>
      <c r="L303" s="26"/>
      <c r="M303" s="25"/>
      <c r="N303" s="25"/>
      <c r="O303" s="25"/>
      <c r="P303" s="25"/>
      <c r="Q303" s="25"/>
      <c r="R303" s="27">
        <f t="shared" si="70"/>
        <v>1800000</v>
      </c>
    </row>
    <row r="304" spans="1:22" ht="15.75" thickBot="1" x14ac:dyDescent="0.3">
      <c r="A304" s="12" t="s">
        <v>15</v>
      </c>
      <c r="B304" s="44"/>
      <c r="C304" s="45">
        <v>100000</v>
      </c>
      <c r="D304" s="45">
        <v>100000</v>
      </c>
      <c r="E304" s="45">
        <v>600000</v>
      </c>
      <c r="F304" s="45">
        <v>1000000</v>
      </c>
      <c r="G304" s="15">
        <f t="shared" ref="G304" si="73">C304+D304+E304+F304</f>
        <v>1800000</v>
      </c>
      <c r="H304" s="16"/>
      <c r="I304" s="26"/>
      <c r="J304" s="25"/>
      <c r="K304" s="26">
        <f t="shared" si="72"/>
        <v>0</v>
      </c>
      <c r="L304" s="26"/>
      <c r="M304" s="25"/>
      <c r="N304" s="25"/>
      <c r="O304" s="25"/>
      <c r="P304" s="25"/>
      <c r="Q304" s="25"/>
      <c r="R304" s="27">
        <f t="shared" si="70"/>
        <v>1800000</v>
      </c>
      <c r="T304" s="1"/>
    </row>
    <row r="305" spans="1:22" ht="15.75" thickBot="1" x14ac:dyDescent="0.3">
      <c r="A305" s="29" t="s">
        <v>0</v>
      </c>
      <c r="B305" s="30">
        <f t="shared" ref="B305:G305" si="74">SUM(B292:B304)</f>
        <v>100000</v>
      </c>
      <c r="C305" s="30">
        <f t="shared" si="74"/>
        <v>20175000</v>
      </c>
      <c r="D305" s="30">
        <f t="shared" si="74"/>
        <v>7761486</v>
      </c>
      <c r="E305" s="30">
        <f t="shared" si="74"/>
        <v>4800000</v>
      </c>
      <c r="F305" s="30">
        <f t="shared" si="74"/>
        <v>5500000</v>
      </c>
      <c r="G305" s="31">
        <f t="shared" si="74"/>
        <v>38336486</v>
      </c>
      <c r="H305" s="32"/>
      <c r="I305" s="71" t="s">
        <v>27</v>
      </c>
      <c r="J305" s="72"/>
      <c r="K305" s="33">
        <f>SUM(K292:K304)</f>
        <v>2370000</v>
      </c>
      <c r="L305" s="34"/>
      <c r="M305" s="71" t="s">
        <v>28</v>
      </c>
      <c r="N305" s="73"/>
      <c r="O305" s="72"/>
      <c r="P305" s="33">
        <f>SUM(P292:P304)</f>
        <v>0</v>
      </c>
      <c r="Q305" s="34"/>
      <c r="R305" s="35"/>
      <c r="T305" s="1"/>
    </row>
    <row r="306" spans="1:22" s="36" customFormat="1" ht="15.75" thickBot="1" x14ac:dyDescent="0.3">
      <c r="C306" s="37"/>
      <c r="D306" s="37"/>
      <c r="F306" s="38"/>
      <c r="G306" s="38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T306" s="40"/>
    </row>
    <row r="307" spans="1:22" ht="15.75" customHeight="1" thickBot="1" x14ac:dyDescent="0.3">
      <c r="A307" s="2">
        <f>A290+1</f>
        <v>19</v>
      </c>
      <c r="B307" s="74" t="str">
        <f>VLOOKUP(A307,NAMA,2)</f>
        <v>GUNAWAN,SPd</v>
      </c>
      <c r="C307" s="75"/>
      <c r="D307" s="75"/>
      <c r="E307" s="75"/>
      <c r="F307" s="76"/>
      <c r="G307" s="3" t="s">
        <v>0</v>
      </c>
      <c r="H307" s="77" t="s">
        <v>1</v>
      </c>
      <c r="I307" s="78"/>
      <c r="J307" s="78"/>
      <c r="K307" s="78"/>
      <c r="L307" s="79"/>
      <c r="M307" s="80" t="s">
        <v>2</v>
      </c>
      <c r="N307" s="78"/>
      <c r="O307" s="78"/>
      <c r="P307" s="78"/>
      <c r="Q307" s="79"/>
      <c r="R307" s="69" t="s">
        <v>29</v>
      </c>
      <c r="T307" s="1"/>
    </row>
    <row r="308" spans="1:22" x14ac:dyDescent="0.25">
      <c r="A308" s="4" t="s">
        <v>4</v>
      </c>
      <c r="B308" s="5" t="s">
        <v>5</v>
      </c>
      <c r="C308" s="6" t="s">
        <v>6</v>
      </c>
      <c r="D308" s="6" t="s">
        <v>7</v>
      </c>
      <c r="E308" s="5" t="s">
        <v>8</v>
      </c>
      <c r="F308" s="5" t="s">
        <v>9</v>
      </c>
      <c r="G308" s="7" t="s">
        <v>10</v>
      </c>
      <c r="H308" s="8" t="s">
        <v>11</v>
      </c>
      <c r="I308" s="9" t="s">
        <v>0</v>
      </c>
      <c r="J308" s="9" t="s">
        <v>12</v>
      </c>
      <c r="K308" s="9" t="s">
        <v>13</v>
      </c>
      <c r="L308" s="10" t="s">
        <v>14</v>
      </c>
      <c r="M308" s="9" t="s">
        <v>11</v>
      </c>
      <c r="N308" s="9" t="s">
        <v>0</v>
      </c>
      <c r="O308" s="9" t="s">
        <v>12</v>
      </c>
      <c r="P308" s="9" t="s">
        <v>13</v>
      </c>
      <c r="Q308" s="10" t="s">
        <v>14</v>
      </c>
      <c r="R308" s="70"/>
      <c r="S308" s="11"/>
      <c r="T308" s="1"/>
    </row>
    <row r="309" spans="1:22" x14ac:dyDescent="0.25">
      <c r="A309" s="12" t="s">
        <v>15</v>
      </c>
      <c r="B309" s="41">
        <v>100000</v>
      </c>
      <c r="C309" s="41">
        <v>5900000</v>
      </c>
      <c r="D309" s="41">
        <v>4886886</v>
      </c>
      <c r="E309" s="41">
        <v>1200000</v>
      </c>
      <c r="F309" s="41">
        <v>3200000</v>
      </c>
      <c r="G309" s="15">
        <f t="shared" ref="G309" si="75">SUM(B309:F309)</f>
        <v>15286886</v>
      </c>
      <c r="H309" s="16"/>
      <c r="I309" s="17"/>
      <c r="J309" s="18">
        <v>0</v>
      </c>
      <c r="K309" s="17"/>
      <c r="L309" s="17">
        <v>0</v>
      </c>
      <c r="M309" s="17"/>
      <c r="N309" s="17"/>
      <c r="O309" s="25"/>
      <c r="P309" s="17"/>
      <c r="Q309" s="17"/>
      <c r="R309" s="19"/>
      <c r="T309" s="1"/>
    </row>
    <row r="310" spans="1:22" x14ac:dyDescent="0.25">
      <c r="A310" s="20" t="s">
        <v>16</v>
      </c>
      <c r="B310" s="42"/>
      <c r="C310" s="45">
        <v>100000</v>
      </c>
      <c r="D310" s="45">
        <v>10000</v>
      </c>
      <c r="E310" s="45">
        <v>150000</v>
      </c>
      <c r="F310" s="45">
        <v>100000</v>
      </c>
      <c r="G310" s="15">
        <f t="shared" ref="G310:G321" si="76">C310+D310+E310+F310</f>
        <v>360000</v>
      </c>
      <c r="H310" s="16"/>
      <c r="I310" s="26"/>
      <c r="J310" s="25"/>
      <c r="K310" s="26"/>
      <c r="L310" s="26"/>
      <c r="M310" s="25"/>
      <c r="N310" s="25"/>
      <c r="O310" s="25"/>
      <c r="P310" s="26"/>
      <c r="Q310" s="25"/>
      <c r="R310" s="27">
        <f>G310+P310</f>
        <v>360000</v>
      </c>
      <c r="T310" s="1"/>
    </row>
    <row r="311" spans="1:22" x14ac:dyDescent="0.25">
      <c r="A311" s="20" t="s">
        <v>17</v>
      </c>
      <c r="B311" s="42"/>
      <c r="C311" s="45">
        <v>100000</v>
      </c>
      <c r="D311" s="45">
        <v>10000</v>
      </c>
      <c r="E311" s="45">
        <v>150000</v>
      </c>
      <c r="F311" s="45">
        <v>100000</v>
      </c>
      <c r="G311" s="15">
        <f t="shared" si="76"/>
        <v>360000</v>
      </c>
      <c r="H311" s="16"/>
      <c r="I311" s="26"/>
      <c r="J311" s="25"/>
      <c r="K311" s="26"/>
      <c r="L311" s="26"/>
      <c r="M311" s="25"/>
      <c r="N311" s="25"/>
      <c r="O311" s="25"/>
      <c r="P311" s="26"/>
      <c r="Q311" s="25"/>
      <c r="R311" s="27">
        <f>G311+P311</f>
        <v>360000</v>
      </c>
      <c r="T311" s="1"/>
      <c r="V311" s="1"/>
    </row>
    <row r="312" spans="1:22" x14ac:dyDescent="0.25">
      <c r="A312" s="20" t="s">
        <v>18</v>
      </c>
      <c r="B312" s="42"/>
      <c r="C312" s="45">
        <v>100000</v>
      </c>
      <c r="D312" s="45">
        <v>10000</v>
      </c>
      <c r="E312" s="45">
        <v>150000</v>
      </c>
      <c r="F312" s="45">
        <v>100000</v>
      </c>
      <c r="G312" s="15">
        <f t="shared" si="76"/>
        <v>360000</v>
      </c>
      <c r="H312" s="16"/>
      <c r="I312" s="26"/>
      <c r="J312" s="25"/>
      <c r="K312" s="26"/>
      <c r="L312" s="26"/>
      <c r="M312" s="25"/>
      <c r="N312" s="25">
        <v>3000000</v>
      </c>
      <c r="O312" s="25">
        <v>3000000</v>
      </c>
      <c r="P312" s="26"/>
      <c r="Q312" s="25"/>
      <c r="R312" s="27">
        <f t="shared" ref="R312:R314" si="77">G312+P312</f>
        <v>360000</v>
      </c>
      <c r="T312" s="1"/>
    </row>
    <row r="313" spans="1:22" x14ac:dyDescent="0.25">
      <c r="A313" s="20" t="s">
        <v>19</v>
      </c>
      <c r="B313" s="42"/>
      <c r="C313" s="45">
        <v>100000</v>
      </c>
      <c r="D313" s="45">
        <v>10000</v>
      </c>
      <c r="E313" s="45">
        <v>-1650000</v>
      </c>
      <c r="F313" s="45">
        <v>100000</v>
      </c>
      <c r="G313" s="15">
        <f t="shared" si="76"/>
        <v>-1440000</v>
      </c>
      <c r="H313" s="16"/>
      <c r="I313" s="26"/>
      <c r="J313" s="25"/>
      <c r="K313" s="26"/>
      <c r="L313" s="26"/>
      <c r="M313" s="25"/>
      <c r="N313" s="25"/>
      <c r="O313" s="25">
        <v>3000000</v>
      </c>
      <c r="P313" s="26">
        <f>0.02*O312</f>
        <v>60000</v>
      </c>
      <c r="Q313" s="25"/>
      <c r="R313" s="27">
        <f t="shared" si="77"/>
        <v>-1380000</v>
      </c>
      <c r="T313" s="1"/>
    </row>
    <row r="314" spans="1:22" x14ac:dyDescent="0.25">
      <c r="A314" s="20" t="s">
        <v>20</v>
      </c>
      <c r="B314" s="42"/>
      <c r="C314" s="45">
        <v>100000</v>
      </c>
      <c r="D314" s="45">
        <v>10000</v>
      </c>
      <c r="E314" s="45">
        <v>150000</v>
      </c>
      <c r="F314" s="45">
        <v>100000</v>
      </c>
      <c r="G314" s="15">
        <f t="shared" si="76"/>
        <v>360000</v>
      </c>
      <c r="H314" s="16"/>
      <c r="I314" s="26"/>
      <c r="J314" s="25"/>
      <c r="K314" s="26"/>
      <c r="L314" s="26"/>
      <c r="M314" s="25"/>
      <c r="N314" s="25"/>
      <c r="O314" s="25">
        <v>3000000</v>
      </c>
      <c r="P314" s="26">
        <f t="shared" ref="P314:P321" si="78">0.02*O313</f>
        <v>60000</v>
      </c>
      <c r="Q314" s="25"/>
      <c r="R314" s="27">
        <f t="shared" si="77"/>
        <v>420000</v>
      </c>
      <c r="T314" s="1"/>
    </row>
    <row r="315" spans="1:22" x14ac:dyDescent="0.25">
      <c r="A315" s="20" t="s">
        <v>21</v>
      </c>
      <c r="B315" s="42"/>
      <c r="C315" s="45">
        <v>100000</v>
      </c>
      <c r="D315" s="45">
        <v>10000</v>
      </c>
      <c r="E315" s="45">
        <v>150000</v>
      </c>
      <c r="F315" s="45">
        <v>100000</v>
      </c>
      <c r="G315" s="15">
        <f t="shared" si="76"/>
        <v>360000</v>
      </c>
      <c r="H315" s="16"/>
      <c r="I315" s="26"/>
      <c r="J315" s="25"/>
      <c r="K315" s="26"/>
      <c r="L315" s="26"/>
      <c r="M315" s="25"/>
      <c r="N315" s="25"/>
      <c r="O315" s="25">
        <v>3000000</v>
      </c>
      <c r="P315" s="26">
        <f t="shared" si="78"/>
        <v>60000</v>
      </c>
      <c r="Q315" s="25"/>
      <c r="R315" s="27">
        <f t="shared" ref="R315:R321" si="79">G315+P315</f>
        <v>420000</v>
      </c>
      <c r="T315" s="1"/>
    </row>
    <row r="316" spans="1:22" x14ac:dyDescent="0.25">
      <c r="A316" s="20" t="s">
        <v>22</v>
      </c>
      <c r="B316" s="42"/>
      <c r="C316" s="45">
        <v>100000</v>
      </c>
      <c r="D316" s="45">
        <v>10000</v>
      </c>
      <c r="E316" s="45">
        <v>150000</v>
      </c>
      <c r="F316" s="45">
        <v>100000</v>
      </c>
      <c r="G316" s="15">
        <f t="shared" si="76"/>
        <v>360000</v>
      </c>
      <c r="H316" s="16"/>
      <c r="I316" s="26"/>
      <c r="J316" s="25"/>
      <c r="K316" s="26"/>
      <c r="L316" s="26"/>
      <c r="M316" s="25"/>
      <c r="N316" s="25"/>
      <c r="O316" s="25">
        <v>3000000</v>
      </c>
      <c r="P316" s="26">
        <f t="shared" si="78"/>
        <v>60000</v>
      </c>
      <c r="Q316" s="25"/>
      <c r="R316" s="27">
        <f t="shared" si="79"/>
        <v>420000</v>
      </c>
      <c r="T316" s="1"/>
      <c r="V316" s="1"/>
    </row>
    <row r="317" spans="1:22" x14ac:dyDescent="0.25">
      <c r="A317" s="20" t="s">
        <v>23</v>
      </c>
      <c r="B317" s="42"/>
      <c r="C317" s="45">
        <v>100000</v>
      </c>
      <c r="D317" s="45">
        <v>10000</v>
      </c>
      <c r="E317" s="45">
        <v>150000</v>
      </c>
      <c r="F317" s="45">
        <v>100000</v>
      </c>
      <c r="G317" s="15">
        <f t="shared" si="76"/>
        <v>360000</v>
      </c>
      <c r="H317" s="16"/>
      <c r="I317" s="26"/>
      <c r="J317" s="25"/>
      <c r="K317" s="26"/>
      <c r="L317" s="26"/>
      <c r="M317" s="25"/>
      <c r="N317" s="25"/>
      <c r="O317" s="25">
        <v>3000000</v>
      </c>
      <c r="P317" s="26">
        <f t="shared" si="78"/>
        <v>60000</v>
      </c>
      <c r="Q317" s="25"/>
      <c r="R317" s="27">
        <f t="shared" si="79"/>
        <v>420000</v>
      </c>
      <c r="T317" s="1"/>
      <c r="V317" s="1"/>
    </row>
    <row r="318" spans="1:22" x14ac:dyDescent="0.25">
      <c r="A318" s="20" t="s">
        <v>24</v>
      </c>
      <c r="B318" s="42"/>
      <c r="C318" s="45">
        <v>100000</v>
      </c>
      <c r="D318" s="45">
        <v>10000</v>
      </c>
      <c r="E318" s="45">
        <v>150000</v>
      </c>
      <c r="F318" s="45">
        <v>100000</v>
      </c>
      <c r="G318" s="15">
        <f t="shared" si="76"/>
        <v>360000</v>
      </c>
      <c r="H318" s="16"/>
      <c r="I318" s="26"/>
      <c r="J318" s="25"/>
      <c r="K318" s="26"/>
      <c r="L318" s="26"/>
      <c r="M318" s="25"/>
      <c r="N318" s="25"/>
      <c r="O318" s="25">
        <f>O317+N318</f>
        <v>3000000</v>
      </c>
      <c r="P318" s="26">
        <f t="shared" si="78"/>
        <v>60000</v>
      </c>
      <c r="Q318" s="25"/>
      <c r="R318" s="27">
        <f t="shared" si="79"/>
        <v>420000</v>
      </c>
      <c r="T318" s="1"/>
    </row>
    <row r="319" spans="1:22" x14ac:dyDescent="0.25">
      <c r="A319" s="20" t="s">
        <v>25</v>
      </c>
      <c r="B319" s="42"/>
      <c r="C319" s="45">
        <v>100000</v>
      </c>
      <c r="D319" s="45">
        <v>10000</v>
      </c>
      <c r="E319" s="45">
        <v>150000</v>
      </c>
      <c r="F319" s="45">
        <v>100000</v>
      </c>
      <c r="G319" s="15">
        <f t="shared" si="76"/>
        <v>360000</v>
      </c>
      <c r="H319" s="16"/>
      <c r="I319" s="26"/>
      <c r="J319" s="25"/>
      <c r="K319" s="26"/>
      <c r="L319" s="26"/>
      <c r="M319" s="25"/>
      <c r="N319" s="25">
        <v>4000000</v>
      </c>
      <c r="O319" s="25">
        <f>O318+N319</f>
        <v>7000000</v>
      </c>
      <c r="P319" s="26">
        <f t="shared" si="78"/>
        <v>60000</v>
      </c>
      <c r="Q319" s="25"/>
      <c r="R319" s="27">
        <f t="shared" si="79"/>
        <v>420000</v>
      </c>
      <c r="T319" s="1"/>
    </row>
    <row r="320" spans="1:22" x14ac:dyDescent="0.25">
      <c r="A320" s="20" t="s">
        <v>26</v>
      </c>
      <c r="B320" s="42"/>
      <c r="C320" s="45">
        <v>100000</v>
      </c>
      <c r="D320" s="45">
        <v>10000</v>
      </c>
      <c r="E320" s="45">
        <v>150000</v>
      </c>
      <c r="F320" s="45">
        <v>100000</v>
      </c>
      <c r="G320" s="15">
        <f t="shared" si="76"/>
        <v>360000</v>
      </c>
      <c r="H320" s="16"/>
      <c r="I320" s="26"/>
      <c r="J320" s="25"/>
      <c r="K320" s="26"/>
      <c r="L320" s="26"/>
      <c r="M320" s="25"/>
      <c r="N320" s="25">
        <v>5000000</v>
      </c>
      <c r="O320" s="25">
        <f>O319+N320</f>
        <v>12000000</v>
      </c>
      <c r="P320" s="26">
        <f t="shared" si="78"/>
        <v>140000</v>
      </c>
      <c r="Q320" s="25"/>
      <c r="R320" s="27">
        <f t="shared" si="79"/>
        <v>500000</v>
      </c>
    </row>
    <row r="321" spans="1:26" ht="15.75" thickBot="1" x14ac:dyDescent="0.3">
      <c r="A321" s="12" t="s">
        <v>15</v>
      </c>
      <c r="B321" s="44"/>
      <c r="C321" s="45">
        <v>100000</v>
      </c>
      <c r="D321" s="45">
        <v>10000</v>
      </c>
      <c r="E321" s="45">
        <v>150000</v>
      </c>
      <c r="F321" s="45">
        <v>100000</v>
      </c>
      <c r="G321" s="15">
        <f t="shared" si="76"/>
        <v>360000</v>
      </c>
      <c r="H321" s="16"/>
      <c r="I321" s="26"/>
      <c r="J321" s="25"/>
      <c r="K321" s="26"/>
      <c r="L321" s="26"/>
      <c r="M321" s="25"/>
      <c r="N321" s="25"/>
      <c r="O321" s="25">
        <f>O320+N321</f>
        <v>12000000</v>
      </c>
      <c r="P321" s="26">
        <f t="shared" si="78"/>
        <v>240000</v>
      </c>
      <c r="Q321" s="25"/>
      <c r="R321" s="27">
        <f t="shared" si="79"/>
        <v>600000</v>
      </c>
      <c r="T321" s="1"/>
    </row>
    <row r="322" spans="1:26" ht="15.75" thickBot="1" x14ac:dyDescent="0.3">
      <c r="A322" s="29" t="s">
        <v>0</v>
      </c>
      <c r="B322" s="30">
        <f t="shared" ref="B322:G322" si="80">SUM(B309:B321)</f>
        <v>100000</v>
      </c>
      <c r="C322" s="30">
        <f t="shared" si="80"/>
        <v>7100000</v>
      </c>
      <c r="D322" s="30">
        <f t="shared" si="80"/>
        <v>5006886</v>
      </c>
      <c r="E322" s="30">
        <f t="shared" si="80"/>
        <v>1200000</v>
      </c>
      <c r="F322" s="30">
        <f t="shared" si="80"/>
        <v>4400000</v>
      </c>
      <c r="G322" s="31">
        <f t="shared" si="80"/>
        <v>17806886</v>
      </c>
      <c r="H322" s="32"/>
      <c r="I322" s="71" t="s">
        <v>27</v>
      </c>
      <c r="J322" s="72"/>
      <c r="K322" s="33">
        <f>SUM(K309:K321)</f>
        <v>0</v>
      </c>
      <c r="L322" s="34"/>
      <c r="M322" s="71" t="s">
        <v>28</v>
      </c>
      <c r="N322" s="73"/>
      <c r="O322" s="72"/>
      <c r="P322" s="33">
        <f>SUM(P309:P321)</f>
        <v>800000</v>
      </c>
      <c r="Q322" s="34"/>
      <c r="R322" s="27"/>
      <c r="T322" s="1"/>
      <c r="Z322" s="27">
        <v>360000</v>
      </c>
    </row>
    <row r="323" spans="1:26" s="36" customFormat="1" ht="15.75" thickBot="1" x14ac:dyDescent="0.3">
      <c r="C323" s="37"/>
      <c r="D323" s="37"/>
      <c r="F323" s="38"/>
      <c r="G323" s="38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T323" s="40"/>
    </row>
    <row r="324" spans="1:26" ht="15.75" customHeight="1" thickBot="1" x14ac:dyDescent="0.3">
      <c r="A324" s="2">
        <f>A307+1</f>
        <v>20</v>
      </c>
      <c r="B324" s="74" t="str">
        <f>VLOOKUP(A324,NAMA,2)</f>
        <v>PRASTOPO, S.Pd</v>
      </c>
      <c r="C324" s="75"/>
      <c r="D324" s="75"/>
      <c r="E324" s="75"/>
      <c r="F324" s="76"/>
      <c r="G324" s="3" t="s">
        <v>0</v>
      </c>
      <c r="H324" s="77" t="s">
        <v>1</v>
      </c>
      <c r="I324" s="78"/>
      <c r="J324" s="78"/>
      <c r="K324" s="78"/>
      <c r="L324" s="79"/>
      <c r="M324" s="80" t="s">
        <v>2</v>
      </c>
      <c r="N324" s="78"/>
      <c r="O324" s="78"/>
      <c r="P324" s="78"/>
      <c r="Q324" s="79"/>
      <c r="R324" s="69" t="s">
        <v>29</v>
      </c>
      <c r="T324" s="1"/>
    </row>
    <row r="325" spans="1:26" x14ac:dyDescent="0.25">
      <c r="A325" s="4" t="s">
        <v>4</v>
      </c>
      <c r="B325" s="5" t="s">
        <v>5</v>
      </c>
      <c r="C325" s="6" t="s">
        <v>6</v>
      </c>
      <c r="D325" s="6" t="s">
        <v>7</v>
      </c>
      <c r="E325" s="5" t="s">
        <v>8</v>
      </c>
      <c r="F325" s="5" t="s">
        <v>9</v>
      </c>
      <c r="G325" s="7" t="s">
        <v>10</v>
      </c>
      <c r="H325" s="8" t="s">
        <v>11</v>
      </c>
      <c r="I325" s="9" t="s">
        <v>0</v>
      </c>
      <c r="J325" s="9" t="s">
        <v>12</v>
      </c>
      <c r="K325" s="9" t="s">
        <v>13</v>
      </c>
      <c r="L325" s="10" t="s">
        <v>14</v>
      </c>
      <c r="M325" s="9" t="s">
        <v>11</v>
      </c>
      <c r="N325" s="9" t="s">
        <v>0</v>
      </c>
      <c r="O325" s="9" t="s">
        <v>12</v>
      </c>
      <c r="P325" s="9" t="s">
        <v>13</v>
      </c>
      <c r="Q325" s="10" t="s">
        <v>14</v>
      </c>
      <c r="R325" s="70"/>
      <c r="S325" s="11"/>
      <c r="T325" s="1"/>
    </row>
    <row r="326" spans="1:26" x14ac:dyDescent="0.25">
      <c r="A326" s="12" t="s">
        <v>15</v>
      </c>
      <c r="B326" s="41">
        <v>100000</v>
      </c>
      <c r="C326" s="41">
        <v>12300000</v>
      </c>
      <c r="D326" s="41">
        <v>3300000</v>
      </c>
      <c r="E326" s="41">
        <v>1600000</v>
      </c>
      <c r="F326" s="41">
        <v>0</v>
      </c>
      <c r="G326" s="15">
        <f t="shared" ref="G326" si="81">SUM(B326:F326)</f>
        <v>17300000</v>
      </c>
      <c r="H326" s="16"/>
      <c r="I326" s="17"/>
      <c r="J326" s="18">
        <v>19500000</v>
      </c>
      <c r="K326" s="17"/>
      <c r="L326" s="17"/>
      <c r="M326" s="17"/>
      <c r="N326" s="17"/>
      <c r="O326" s="17"/>
      <c r="P326" s="17"/>
      <c r="Q326" s="17"/>
      <c r="R326" s="19"/>
      <c r="T326" s="1"/>
    </row>
    <row r="327" spans="1:26" x14ac:dyDescent="0.25">
      <c r="A327" s="20" t="s">
        <v>16</v>
      </c>
      <c r="B327" s="42"/>
      <c r="C327" s="43">
        <v>100000</v>
      </c>
      <c r="D327" s="43">
        <v>25000</v>
      </c>
      <c r="E327" s="43">
        <v>200000</v>
      </c>
      <c r="F327" s="43">
        <v>0</v>
      </c>
      <c r="G327" s="15">
        <f t="shared" ref="G327:G338" si="82">C327+D327+E327+F327</f>
        <v>325000</v>
      </c>
      <c r="H327" s="16">
        <v>11</v>
      </c>
      <c r="I327" s="26">
        <v>250000</v>
      </c>
      <c r="J327" s="25">
        <f t="shared" ref="J327:J338" si="83">J326-I327</f>
        <v>19250000</v>
      </c>
      <c r="K327" s="26">
        <f t="shared" ref="K327:K338" si="84">0.015*J326</f>
        <v>292500</v>
      </c>
      <c r="L327" s="26"/>
      <c r="M327" s="25"/>
      <c r="N327" s="25"/>
      <c r="O327" s="25"/>
      <c r="P327" s="25"/>
      <c r="Q327" s="25"/>
      <c r="R327" s="27">
        <f t="shared" ref="R327:R338" si="85">K327+G327+I327+P327</f>
        <v>867500</v>
      </c>
      <c r="T327" s="1"/>
    </row>
    <row r="328" spans="1:26" x14ac:dyDescent="0.25">
      <c r="A328" s="20" t="s">
        <v>17</v>
      </c>
      <c r="B328" s="42"/>
      <c r="C328" s="43">
        <v>100000</v>
      </c>
      <c r="D328" s="43">
        <v>25000</v>
      </c>
      <c r="E328" s="43">
        <v>200000</v>
      </c>
      <c r="F328" s="43">
        <v>0</v>
      </c>
      <c r="G328" s="15">
        <f t="shared" si="82"/>
        <v>325000</v>
      </c>
      <c r="H328" s="16">
        <v>12</v>
      </c>
      <c r="I328" s="26">
        <v>250000</v>
      </c>
      <c r="J328" s="25">
        <f t="shared" si="83"/>
        <v>19000000</v>
      </c>
      <c r="K328" s="26">
        <f t="shared" si="84"/>
        <v>288750</v>
      </c>
      <c r="L328" s="26"/>
      <c r="M328" s="25"/>
      <c r="N328" s="25"/>
      <c r="O328" s="25"/>
      <c r="P328" s="25"/>
      <c r="Q328" s="25"/>
      <c r="R328" s="27">
        <f t="shared" si="85"/>
        <v>863750</v>
      </c>
      <c r="T328" s="1"/>
      <c r="V328" s="1"/>
    </row>
    <row r="329" spans="1:26" x14ac:dyDescent="0.25">
      <c r="A329" s="20" t="s">
        <v>18</v>
      </c>
      <c r="B329" s="42"/>
      <c r="C329" s="43">
        <v>100000</v>
      </c>
      <c r="D329" s="43">
        <v>25000</v>
      </c>
      <c r="E329" s="43">
        <v>200000</v>
      </c>
      <c r="F329" s="43">
        <v>0</v>
      </c>
      <c r="G329" s="15">
        <f t="shared" si="82"/>
        <v>325000</v>
      </c>
      <c r="H329" s="16">
        <v>13</v>
      </c>
      <c r="I329" s="26">
        <v>250000</v>
      </c>
      <c r="J329" s="25">
        <f t="shared" si="83"/>
        <v>18750000</v>
      </c>
      <c r="K329" s="26">
        <f t="shared" si="84"/>
        <v>285000</v>
      </c>
      <c r="L329" s="26"/>
      <c r="M329" s="25"/>
      <c r="N329" s="25"/>
      <c r="O329" s="25"/>
      <c r="P329" s="25"/>
      <c r="Q329" s="25"/>
      <c r="R329" s="27">
        <f t="shared" si="85"/>
        <v>860000</v>
      </c>
      <c r="T329" s="1"/>
    </row>
    <row r="330" spans="1:26" x14ac:dyDescent="0.25">
      <c r="A330" s="20" t="s">
        <v>19</v>
      </c>
      <c r="B330" s="42"/>
      <c r="C330" s="43">
        <v>100000</v>
      </c>
      <c r="D330" s="43">
        <v>25000</v>
      </c>
      <c r="E330" s="43">
        <v>-2200000</v>
      </c>
      <c r="F330" s="43">
        <v>0</v>
      </c>
      <c r="G330" s="15">
        <f t="shared" si="82"/>
        <v>-2075000</v>
      </c>
      <c r="H330" s="16">
        <v>14</v>
      </c>
      <c r="I330" s="26">
        <v>250000</v>
      </c>
      <c r="J330" s="25">
        <f t="shared" si="83"/>
        <v>18500000</v>
      </c>
      <c r="K330" s="26">
        <f t="shared" si="84"/>
        <v>281250</v>
      </c>
      <c r="L330" s="26"/>
      <c r="M330" s="25"/>
      <c r="N330" s="25"/>
      <c r="O330" s="25"/>
      <c r="P330" s="25"/>
      <c r="Q330" s="25"/>
      <c r="R330" s="27">
        <f t="shared" si="85"/>
        <v>-1543750</v>
      </c>
      <c r="T330" s="1"/>
    </row>
    <row r="331" spans="1:26" x14ac:dyDescent="0.25">
      <c r="A331" s="20" t="s">
        <v>20</v>
      </c>
      <c r="B331" s="42"/>
      <c r="C331" s="43">
        <v>100000</v>
      </c>
      <c r="D331" s="43">
        <v>25000</v>
      </c>
      <c r="E331" s="43">
        <v>200000</v>
      </c>
      <c r="F331" s="43">
        <v>0</v>
      </c>
      <c r="G331" s="15">
        <f t="shared" si="82"/>
        <v>325000</v>
      </c>
      <c r="H331" s="16">
        <v>15</v>
      </c>
      <c r="I331" s="26">
        <v>250000</v>
      </c>
      <c r="J331" s="25">
        <f t="shared" si="83"/>
        <v>18250000</v>
      </c>
      <c r="K331" s="26">
        <f t="shared" si="84"/>
        <v>277500</v>
      </c>
      <c r="L331" s="26"/>
      <c r="M331" s="25"/>
      <c r="N331" s="25"/>
      <c r="O331" s="25"/>
      <c r="P331" s="25"/>
      <c r="Q331" s="25"/>
      <c r="R331" s="27">
        <f t="shared" si="85"/>
        <v>852500</v>
      </c>
      <c r="T331" s="1"/>
    </row>
    <row r="332" spans="1:26" x14ac:dyDescent="0.25">
      <c r="A332" s="20" t="s">
        <v>21</v>
      </c>
      <c r="B332" s="42"/>
      <c r="C332" s="43">
        <v>100000</v>
      </c>
      <c r="D332" s="43">
        <v>25000</v>
      </c>
      <c r="E332" s="43">
        <v>200000</v>
      </c>
      <c r="F332" s="43">
        <v>0</v>
      </c>
      <c r="G332" s="15">
        <f t="shared" si="82"/>
        <v>325000</v>
      </c>
      <c r="H332" s="16">
        <v>16</v>
      </c>
      <c r="I332" s="26">
        <v>250000</v>
      </c>
      <c r="J332" s="25">
        <f t="shared" si="83"/>
        <v>18000000</v>
      </c>
      <c r="K332" s="26">
        <f t="shared" si="84"/>
        <v>273750</v>
      </c>
      <c r="L332" s="26"/>
      <c r="M332" s="25"/>
      <c r="N332" s="25"/>
      <c r="O332" s="25"/>
      <c r="P332" s="25"/>
      <c r="Q332" s="25"/>
      <c r="R332" s="27">
        <f t="shared" si="85"/>
        <v>848750</v>
      </c>
      <c r="T332" s="1"/>
    </row>
    <row r="333" spans="1:26" x14ac:dyDescent="0.25">
      <c r="A333" s="20" t="s">
        <v>22</v>
      </c>
      <c r="B333" s="42"/>
      <c r="C333" s="43">
        <v>100000</v>
      </c>
      <c r="D333" s="43">
        <v>25000</v>
      </c>
      <c r="E333" s="43">
        <v>200000</v>
      </c>
      <c r="F333" s="43">
        <v>0</v>
      </c>
      <c r="G333" s="15">
        <f t="shared" si="82"/>
        <v>325000</v>
      </c>
      <c r="H333" s="16">
        <v>17</v>
      </c>
      <c r="I333" s="26">
        <v>250000</v>
      </c>
      <c r="J333" s="25">
        <f t="shared" si="83"/>
        <v>17750000</v>
      </c>
      <c r="K333" s="26">
        <f t="shared" si="84"/>
        <v>270000</v>
      </c>
      <c r="L333" s="26"/>
      <c r="M333" s="25"/>
      <c r="N333" s="25"/>
      <c r="O333" s="25"/>
      <c r="P333" s="26"/>
      <c r="Q333" s="25"/>
      <c r="R333" s="27">
        <f t="shared" si="85"/>
        <v>845000</v>
      </c>
      <c r="T333" s="1"/>
      <c r="V333" s="1"/>
    </row>
    <row r="334" spans="1:26" x14ac:dyDescent="0.25">
      <c r="A334" s="20" t="s">
        <v>23</v>
      </c>
      <c r="B334" s="42"/>
      <c r="C334" s="43">
        <v>100000</v>
      </c>
      <c r="D334" s="43">
        <v>25000</v>
      </c>
      <c r="E334" s="43">
        <v>200000</v>
      </c>
      <c r="F334" s="43">
        <v>0</v>
      </c>
      <c r="G334" s="15">
        <f t="shared" si="82"/>
        <v>325000</v>
      </c>
      <c r="H334" s="16">
        <v>18</v>
      </c>
      <c r="I334" s="26">
        <v>250000</v>
      </c>
      <c r="J334" s="25">
        <f t="shared" si="83"/>
        <v>17500000</v>
      </c>
      <c r="K334" s="26">
        <f t="shared" si="84"/>
        <v>266250</v>
      </c>
      <c r="L334" s="26"/>
      <c r="M334" s="25"/>
      <c r="N334" s="25"/>
      <c r="O334" s="25"/>
      <c r="P334" s="26"/>
      <c r="Q334" s="25"/>
      <c r="R334" s="27">
        <f t="shared" si="85"/>
        <v>841250</v>
      </c>
      <c r="T334" s="1"/>
      <c r="V334" s="1"/>
    </row>
    <row r="335" spans="1:26" x14ac:dyDescent="0.25">
      <c r="A335" s="20" t="s">
        <v>24</v>
      </c>
      <c r="B335" s="42"/>
      <c r="C335" s="43">
        <v>100000</v>
      </c>
      <c r="D335" s="43">
        <v>25000</v>
      </c>
      <c r="E335" s="43">
        <v>200000</v>
      </c>
      <c r="F335" s="43">
        <v>0</v>
      </c>
      <c r="G335" s="15">
        <f t="shared" si="82"/>
        <v>325000</v>
      </c>
      <c r="H335" s="16">
        <v>19</v>
      </c>
      <c r="I335" s="26">
        <v>250000</v>
      </c>
      <c r="J335" s="25">
        <f t="shared" si="83"/>
        <v>17250000</v>
      </c>
      <c r="K335" s="26">
        <f t="shared" si="84"/>
        <v>262500</v>
      </c>
      <c r="L335" s="26"/>
      <c r="M335" s="25"/>
      <c r="N335" s="25"/>
      <c r="O335" s="25">
        <v>2000000</v>
      </c>
      <c r="P335" s="26"/>
      <c r="Q335" s="25"/>
      <c r="R335" s="27">
        <f t="shared" si="85"/>
        <v>837500</v>
      </c>
      <c r="T335" s="1"/>
    </row>
    <row r="336" spans="1:26" x14ac:dyDescent="0.25">
      <c r="A336" s="20" t="s">
        <v>25</v>
      </c>
      <c r="B336" s="42"/>
      <c r="C336" s="43">
        <v>100000</v>
      </c>
      <c r="D336" s="43">
        <v>25000</v>
      </c>
      <c r="E336" s="43">
        <v>200000</v>
      </c>
      <c r="F336" s="43">
        <v>0</v>
      </c>
      <c r="G336" s="15">
        <f t="shared" si="82"/>
        <v>325000</v>
      </c>
      <c r="H336" s="16">
        <v>20</v>
      </c>
      <c r="I336" s="26">
        <v>250000</v>
      </c>
      <c r="J336" s="25">
        <f t="shared" si="83"/>
        <v>17000000</v>
      </c>
      <c r="K336" s="26">
        <f t="shared" si="84"/>
        <v>258750</v>
      </c>
      <c r="L336" s="26"/>
      <c r="M336" s="25"/>
      <c r="N336" s="25"/>
      <c r="O336" s="25">
        <v>2000000</v>
      </c>
      <c r="P336" s="26">
        <f t="shared" ref="P336:P338" si="86">0.02*O335</f>
        <v>40000</v>
      </c>
      <c r="Q336" s="25"/>
      <c r="R336" s="27">
        <f t="shared" si="85"/>
        <v>873750</v>
      </c>
      <c r="T336" s="1"/>
    </row>
    <row r="337" spans="1:22" x14ac:dyDescent="0.25">
      <c r="A337" s="20" t="s">
        <v>26</v>
      </c>
      <c r="B337" s="42"/>
      <c r="C337" s="43">
        <v>100000</v>
      </c>
      <c r="D337" s="43">
        <v>25000</v>
      </c>
      <c r="E337" s="43">
        <v>200000</v>
      </c>
      <c r="F337" s="43">
        <v>0</v>
      </c>
      <c r="G337" s="15">
        <f t="shared" si="82"/>
        <v>325000</v>
      </c>
      <c r="H337" s="16">
        <v>21</v>
      </c>
      <c r="I337" s="26">
        <v>250000</v>
      </c>
      <c r="J337" s="25">
        <f t="shared" si="83"/>
        <v>16750000</v>
      </c>
      <c r="K337" s="26">
        <f t="shared" si="84"/>
        <v>255000</v>
      </c>
      <c r="L337" s="26"/>
      <c r="M337" s="25"/>
      <c r="N337" s="25"/>
      <c r="O337" s="25">
        <v>2000000</v>
      </c>
      <c r="P337" s="26">
        <f t="shared" si="86"/>
        <v>40000</v>
      </c>
      <c r="Q337" s="25"/>
      <c r="R337" s="27">
        <f t="shared" si="85"/>
        <v>870000</v>
      </c>
    </row>
    <row r="338" spans="1:22" ht="15.75" thickBot="1" x14ac:dyDescent="0.3">
      <c r="A338" s="12" t="s">
        <v>15</v>
      </c>
      <c r="B338" s="44"/>
      <c r="C338" s="43">
        <v>100000</v>
      </c>
      <c r="D338" s="43">
        <v>25000</v>
      </c>
      <c r="E338" s="43">
        <v>200000</v>
      </c>
      <c r="F338" s="43">
        <v>0</v>
      </c>
      <c r="G338" s="15">
        <f t="shared" si="82"/>
        <v>325000</v>
      </c>
      <c r="H338" s="16">
        <v>22</v>
      </c>
      <c r="I338" s="26">
        <v>250000</v>
      </c>
      <c r="J338" s="25">
        <f t="shared" si="83"/>
        <v>16500000</v>
      </c>
      <c r="K338" s="26">
        <f t="shared" si="84"/>
        <v>251250</v>
      </c>
      <c r="L338" s="26"/>
      <c r="M338" s="25"/>
      <c r="N338" s="25"/>
      <c r="O338" s="25">
        <v>2000000</v>
      </c>
      <c r="P338" s="26">
        <f t="shared" si="86"/>
        <v>40000</v>
      </c>
      <c r="Q338" s="25"/>
      <c r="R338" s="27">
        <f t="shared" si="85"/>
        <v>866250</v>
      </c>
      <c r="T338" s="1"/>
    </row>
    <row r="339" spans="1:22" ht="15.75" thickBot="1" x14ac:dyDescent="0.3">
      <c r="A339" s="29" t="s">
        <v>0</v>
      </c>
      <c r="B339" s="30">
        <f t="shared" ref="B339:G339" si="87">SUM(B326:B338)</f>
        <v>100000</v>
      </c>
      <c r="C339" s="30">
        <f t="shared" si="87"/>
        <v>13500000</v>
      </c>
      <c r="D339" s="30">
        <f t="shared" si="87"/>
        <v>3600000</v>
      </c>
      <c r="E339" s="30">
        <f t="shared" si="87"/>
        <v>1600000</v>
      </c>
      <c r="F339" s="30">
        <f t="shared" si="87"/>
        <v>0</v>
      </c>
      <c r="G339" s="31">
        <f t="shared" si="87"/>
        <v>18800000</v>
      </c>
      <c r="H339" s="32"/>
      <c r="I339" s="71" t="s">
        <v>27</v>
      </c>
      <c r="J339" s="72"/>
      <c r="K339" s="33">
        <f>SUM(K326:K338)</f>
        <v>3262500</v>
      </c>
      <c r="L339" s="34"/>
      <c r="M339" s="71" t="s">
        <v>28</v>
      </c>
      <c r="N339" s="73"/>
      <c r="O339" s="72"/>
      <c r="P339" s="33">
        <f>SUM(P326:P338)</f>
        <v>120000</v>
      </c>
      <c r="Q339" s="34"/>
      <c r="R339" s="35"/>
      <c r="T339" s="1"/>
    </row>
    <row r="340" spans="1:22" s="36" customFormat="1" ht="15.75" thickBot="1" x14ac:dyDescent="0.3">
      <c r="C340" s="37"/>
      <c r="D340" s="37"/>
      <c r="F340" s="38"/>
      <c r="G340" s="38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T340" s="40"/>
    </row>
    <row r="341" spans="1:22" ht="15.75" customHeight="1" thickBot="1" x14ac:dyDescent="0.3">
      <c r="A341" s="2">
        <f>A324+1</f>
        <v>21</v>
      </c>
      <c r="B341" s="74" t="str">
        <f>VLOOKUP(A341,NAMA,2)</f>
        <v>NURHADI,SPd</v>
      </c>
      <c r="C341" s="75"/>
      <c r="D341" s="75"/>
      <c r="E341" s="75"/>
      <c r="F341" s="76"/>
      <c r="G341" s="3" t="s">
        <v>0</v>
      </c>
      <c r="H341" s="77" t="s">
        <v>1</v>
      </c>
      <c r="I341" s="78"/>
      <c r="J341" s="78"/>
      <c r="K341" s="78"/>
      <c r="L341" s="79"/>
      <c r="M341" s="80" t="s">
        <v>2</v>
      </c>
      <c r="N341" s="78"/>
      <c r="O341" s="78"/>
      <c r="P341" s="78"/>
      <c r="Q341" s="79"/>
      <c r="R341" s="69" t="s">
        <v>29</v>
      </c>
      <c r="T341" s="1"/>
    </row>
    <row r="342" spans="1:22" x14ac:dyDescent="0.25">
      <c r="A342" s="4" t="s">
        <v>4</v>
      </c>
      <c r="B342" s="5" t="s">
        <v>5</v>
      </c>
      <c r="C342" s="6" t="s">
        <v>6</v>
      </c>
      <c r="D342" s="6" t="s">
        <v>7</v>
      </c>
      <c r="E342" s="5" t="s">
        <v>8</v>
      </c>
      <c r="F342" s="5" t="s">
        <v>9</v>
      </c>
      <c r="G342" s="7" t="s">
        <v>10</v>
      </c>
      <c r="H342" s="8" t="s">
        <v>11</v>
      </c>
      <c r="I342" s="9" t="s">
        <v>0</v>
      </c>
      <c r="J342" s="9" t="s">
        <v>12</v>
      </c>
      <c r="K342" s="9" t="s">
        <v>13</v>
      </c>
      <c r="L342" s="10" t="s">
        <v>14</v>
      </c>
      <c r="M342" s="9" t="s">
        <v>11</v>
      </c>
      <c r="N342" s="9" t="s">
        <v>0</v>
      </c>
      <c r="O342" s="9" t="s">
        <v>12</v>
      </c>
      <c r="P342" s="9" t="s">
        <v>13</v>
      </c>
      <c r="Q342" s="10" t="s">
        <v>14</v>
      </c>
      <c r="R342" s="70"/>
      <c r="S342" s="11"/>
      <c r="T342" s="1"/>
    </row>
    <row r="343" spans="1:22" x14ac:dyDescent="0.25">
      <c r="A343" s="12" t="s">
        <v>15</v>
      </c>
      <c r="B343" s="41"/>
      <c r="C343" s="41"/>
      <c r="D343" s="41"/>
      <c r="E343" s="41"/>
      <c r="F343" s="41"/>
      <c r="G343" s="15"/>
      <c r="H343" s="16"/>
      <c r="I343" s="17"/>
      <c r="J343" s="18"/>
      <c r="K343" s="17"/>
      <c r="L343" s="17"/>
      <c r="M343" s="17"/>
      <c r="N343" s="17"/>
      <c r="O343" s="17"/>
      <c r="P343" s="17"/>
      <c r="Q343" s="17"/>
      <c r="R343" s="19"/>
      <c r="T343" s="1"/>
    </row>
    <row r="344" spans="1:22" x14ac:dyDescent="0.25">
      <c r="A344" s="20" t="s">
        <v>16</v>
      </c>
      <c r="B344" s="42"/>
      <c r="C344" s="45"/>
      <c r="D344" s="45"/>
      <c r="E344" s="45"/>
      <c r="F344" s="45"/>
      <c r="G344" s="15"/>
      <c r="H344" s="16"/>
      <c r="I344" s="26"/>
      <c r="J344" s="25"/>
      <c r="K344" s="26"/>
      <c r="L344" s="26"/>
      <c r="M344" s="25"/>
      <c r="N344" s="25"/>
      <c r="O344" s="25"/>
      <c r="P344" s="25"/>
      <c r="Q344" s="25"/>
      <c r="R344" s="27"/>
      <c r="T344" s="1"/>
    </row>
    <row r="345" spans="1:22" x14ac:dyDescent="0.25">
      <c r="A345" s="20" t="s">
        <v>17</v>
      </c>
      <c r="B345" s="42"/>
      <c r="C345" s="43"/>
      <c r="D345" s="43"/>
      <c r="E345" s="43"/>
      <c r="F345" s="43"/>
      <c r="G345" s="15"/>
      <c r="H345" s="16"/>
      <c r="I345" s="26"/>
      <c r="J345" s="25"/>
      <c r="K345" s="26"/>
      <c r="L345" s="26"/>
      <c r="M345" s="25"/>
      <c r="N345" s="25"/>
      <c r="O345" s="25"/>
      <c r="P345" s="25"/>
      <c r="Q345" s="25"/>
      <c r="R345" s="27"/>
      <c r="T345" s="1"/>
      <c r="V345" s="1"/>
    </row>
    <row r="346" spans="1:22" x14ac:dyDescent="0.25">
      <c r="A346" s="20" t="s">
        <v>18</v>
      </c>
      <c r="B346" s="42"/>
      <c r="C346" s="43"/>
      <c r="D346" s="43"/>
      <c r="E346" s="43"/>
      <c r="F346" s="43"/>
      <c r="G346" s="15"/>
      <c r="H346" s="16"/>
      <c r="I346" s="26"/>
      <c r="J346" s="25"/>
      <c r="K346" s="26"/>
      <c r="L346" s="26"/>
      <c r="M346" s="25"/>
      <c r="N346" s="25"/>
      <c r="O346" s="25"/>
      <c r="P346" s="25"/>
      <c r="Q346" s="25"/>
      <c r="R346" s="27"/>
      <c r="T346" s="1"/>
    </row>
    <row r="347" spans="1:22" x14ac:dyDescent="0.25">
      <c r="A347" s="20" t="s">
        <v>19</v>
      </c>
      <c r="B347" s="42"/>
      <c r="C347" s="43"/>
      <c r="D347" s="43"/>
      <c r="E347" s="43"/>
      <c r="F347" s="43"/>
      <c r="G347" s="15"/>
      <c r="H347" s="16"/>
      <c r="I347" s="26"/>
      <c r="J347" s="25"/>
      <c r="K347" s="26"/>
      <c r="L347" s="26"/>
      <c r="M347" s="25"/>
      <c r="N347" s="25"/>
      <c r="O347" s="25"/>
      <c r="P347" s="25"/>
      <c r="Q347" s="25"/>
      <c r="R347" s="27"/>
      <c r="T347" s="1"/>
    </row>
    <row r="348" spans="1:22" x14ac:dyDescent="0.25">
      <c r="A348" s="20" t="s">
        <v>20</v>
      </c>
      <c r="B348" s="42"/>
      <c r="C348" s="43"/>
      <c r="D348" s="43"/>
      <c r="E348" s="43"/>
      <c r="F348" s="43"/>
      <c r="G348" s="15"/>
      <c r="H348" s="16"/>
      <c r="I348" s="26"/>
      <c r="J348" s="25"/>
      <c r="K348" s="26"/>
      <c r="L348" s="26"/>
      <c r="M348" s="25"/>
      <c r="N348" s="25"/>
      <c r="O348" s="25"/>
      <c r="P348" s="25"/>
      <c r="Q348" s="25"/>
      <c r="R348" s="27"/>
      <c r="T348" s="1"/>
    </row>
    <row r="349" spans="1:22" x14ac:dyDescent="0.25">
      <c r="A349" s="20" t="s">
        <v>21</v>
      </c>
      <c r="B349" s="42"/>
      <c r="C349" s="43"/>
      <c r="D349" s="43"/>
      <c r="E349" s="43"/>
      <c r="F349" s="43"/>
      <c r="G349" s="15"/>
      <c r="H349" s="16"/>
      <c r="I349" s="26"/>
      <c r="J349" s="25"/>
      <c r="K349" s="26"/>
      <c r="L349" s="26"/>
      <c r="M349" s="25"/>
      <c r="N349" s="25"/>
      <c r="O349" s="25"/>
      <c r="P349" s="25"/>
      <c r="Q349" s="25"/>
      <c r="R349" s="27"/>
      <c r="T349" s="1"/>
    </row>
    <row r="350" spans="1:22" x14ac:dyDescent="0.25">
      <c r="A350" s="20" t="s">
        <v>22</v>
      </c>
      <c r="B350" s="42"/>
      <c r="C350" s="43"/>
      <c r="D350" s="43"/>
      <c r="E350" s="43"/>
      <c r="F350" s="43"/>
      <c r="G350" s="15"/>
      <c r="H350" s="16"/>
      <c r="I350" s="26"/>
      <c r="J350" s="25"/>
      <c r="K350" s="26"/>
      <c r="L350" s="26"/>
      <c r="M350" s="25"/>
      <c r="N350" s="25"/>
      <c r="O350" s="25"/>
      <c r="P350" s="25"/>
      <c r="Q350" s="25"/>
      <c r="R350" s="27"/>
      <c r="T350" s="1"/>
      <c r="V350" s="1"/>
    </row>
    <row r="351" spans="1:22" x14ac:dyDescent="0.25">
      <c r="A351" s="20" t="s">
        <v>23</v>
      </c>
      <c r="B351" s="42"/>
      <c r="C351" s="43"/>
      <c r="D351" s="43"/>
      <c r="E351" s="43"/>
      <c r="F351" s="43"/>
      <c r="G351" s="15"/>
      <c r="H351" s="16"/>
      <c r="I351" s="26"/>
      <c r="J351" s="25"/>
      <c r="K351" s="26"/>
      <c r="L351" s="26"/>
      <c r="M351" s="25"/>
      <c r="N351" s="25"/>
      <c r="O351" s="25"/>
      <c r="P351" s="25"/>
      <c r="Q351" s="25"/>
      <c r="R351" s="27"/>
      <c r="T351" s="1"/>
      <c r="V351" s="1"/>
    </row>
    <row r="352" spans="1:22" x14ac:dyDescent="0.25">
      <c r="A352" s="20" t="s">
        <v>24</v>
      </c>
      <c r="B352" s="42"/>
      <c r="C352" s="43"/>
      <c r="D352" s="43"/>
      <c r="E352" s="43"/>
      <c r="F352" s="43"/>
      <c r="G352" s="15"/>
      <c r="H352" s="16"/>
      <c r="I352" s="26"/>
      <c r="J352" s="25"/>
      <c r="K352" s="26"/>
      <c r="L352" s="26"/>
      <c r="M352" s="25"/>
      <c r="N352" s="25"/>
      <c r="O352" s="25"/>
      <c r="P352" s="25"/>
      <c r="Q352" s="25"/>
      <c r="R352" s="27"/>
      <c r="T352" s="1"/>
    </row>
    <row r="353" spans="1:22" x14ac:dyDescent="0.25">
      <c r="A353" s="20" t="s">
        <v>25</v>
      </c>
      <c r="B353" s="42"/>
      <c r="C353" s="43"/>
      <c r="D353" s="43"/>
      <c r="E353" s="43"/>
      <c r="F353" s="43"/>
      <c r="G353" s="15"/>
      <c r="H353" s="16"/>
      <c r="I353" s="26"/>
      <c r="J353" s="25"/>
      <c r="K353" s="26"/>
      <c r="L353" s="26"/>
      <c r="M353" s="25"/>
      <c r="N353" s="25"/>
      <c r="O353" s="25"/>
      <c r="P353" s="25"/>
      <c r="Q353" s="25"/>
      <c r="R353" s="27"/>
      <c r="T353" s="1"/>
    </row>
    <row r="354" spans="1:22" x14ac:dyDescent="0.25">
      <c r="A354" s="20" t="s">
        <v>26</v>
      </c>
      <c r="B354" s="42"/>
      <c r="C354" s="43"/>
      <c r="D354" s="43"/>
      <c r="E354" s="43"/>
      <c r="F354" s="43"/>
      <c r="G354" s="15"/>
      <c r="H354" s="16"/>
      <c r="I354" s="26"/>
      <c r="J354" s="25"/>
      <c r="K354" s="26"/>
      <c r="L354" s="26"/>
      <c r="M354" s="25"/>
      <c r="N354" s="25"/>
      <c r="O354" s="25"/>
      <c r="P354" s="25"/>
      <c r="Q354" s="25"/>
      <c r="R354" s="27"/>
    </row>
    <row r="355" spans="1:22" ht="15.75" thickBot="1" x14ac:dyDescent="0.3">
      <c r="A355" s="12" t="s">
        <v>15</v>
      </c>
      <c r="B355" s="44"/>
      <c r="C355" s="45"/>
      <c r="D355" s="45"/>
      <c r="E355" s="45"/>
      <c r="F355" s="45"/>
      <c r="G355" s="15"/>
      <c r="H355" s="16"/>
      <c r="I355" s="26"/>
      <c r="J355" s="25"/>
      <c r="K355" s="26"/>
      <c r="L355" s="26"/>
      <c r="M355" s="25"/>
      <c r="N355" s="25"/>
      <c r="O355" s="25"/>
      <c r="P355" s="25"/>
      <c r="Q355" s="25"/>
      <c r="R355" s="27"/>
      <c r="T355" s="1"/>
    </row>
    <row r="356" spans="1:22" ht="15.75" thickBot="1" x14ac:dyDescent="0.3">
      <c r="A356" s="29" t="s">
        <v>0</v>
      </c>
      <c r="B356" s="30">
        <f t="shared" ref="B356:G356" si="88">SUM(B343:B355)</f>
        <v>0</v>
      </c>
      <c r="C356" s="30">
        <f t="shared" si="88"/>
        <v>0</v>
      </c>
      <c r="D356" s="30">
        <f t="shared" si="88"/>
        <v>0</v>
      </c>
      <c r="E356" s="30">
        <f t="shared" si="88"/>
        <v>0</v>
      </c>
      <c r="F356" s="30">
        <f t="shared" si="88"/>
        <v>0</v>
      </c>
      <c r="G356" s="31">
        <f t="shared" si="88"/>
        <v>0</v>
      </c>
      <c r="H356" s="32"/>
      <c r="I356" s="71" t="s">
        <v>27</v>
      </c>
      <c r="J356" s="72"/>
      <c r="K356" s="33">
        <f>SUM(K343:K355)</f>
        <v>0</v>
      </c>
      <c r="L356" s="34"/>
      <c r="M356" s="71" t="s">
        <v>28</v>
      </c>
      <c r="N356" s="73"/>
      <c r="O356" s="72"/>
      <c r="P356" s="33">
        <f>SUM(P343:P355)</f>
        <v>0</v>
      </c>
      <c r="Q356" s="34"/>
      <c r="R356" s="35"/>
      <c r="T356" s="1"/>
    </row>
    <row r="357" spans="1:22" s="36" customFormat="1" ht="15.75" thickBot="1" x14ac:dyDescent="0.3">
      <c r="C357" s="37"/>
      <c r="D357" s="37"/>
      <c r="F357" s="38"/>
      <c r="G357" s="38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>
        <v>1</v>
      </c>
      <c r="T357" s="40"/>
    </row>
    <row r="358" spans="1:22" ht="15.75" customHeight="1" thickBot="1" x14ac:dyDescent="0.3">
      <c r="A358" s="2">
        <f>A341+1</f>
        <v>22</v>
      </c>
      <c r="B358" s="74" t="str">
        <f>VLOOKUP(A358,NAMA,2)</f>
        <v>SUGENG H,SPd</v>
      </c>
      <c r="C358" s="75"/>
      <c r="D358" s="75"/>
      <c r="E358" s="75"/>
      <c r="F358" s="76"/>
      <c r="G358" s="3" t="s">
        <v>0</v>
      </c>
      <c r="H358" s="77" t="s">
        <v>1</v>
      </c>
      <c r="I358" s="78"/>
      <c r="J358" s="78"/>
      <c r="K358" s="78"/>
      <c r="L358" s="79"/>
      <c r="M358" s="80" t="s">
        <v>2</v>
      </c>
      <c r="N358" s="78"/>
      <c r="O358" s="78"/>
      <c r="P358" s="78"/>
      <c r="Q358" s="79"/>
      <c r="R358" s="69" t="s">
        <v>29</v>
      </c>
      <c r="T358" s="1"/>
    </row>
    <row r="359" spans="1:22" x14ac:dyDescent="0.25">
      <c r="A359" s="4" t="s">
        <v>4</v>
      </c>
      <c r="B359" s="5" t="s">
        <v>5</v>
      </c>
      <c r="C359" s="6" t="s">
        <v>6</v>
      </c>
      <c r="D359" s="6" t="s">
        <v>7</v>
      </c>
      <c r="E359" s="5" t="s">
        <v>8</v>
      </c>
      <c r="F359" s="5" t="s">
        <v>9</v>
      </c>
      <c r="G359" s="7" t="s">
        <v>10</v>
      </c>
      <c r="H359" s="8" t="s">
        <v>11</v>
      </c>
      <c r="I359" s="9" t="s">
        <v>0</v>
      </c>
      <c r="J359" s="9" t="s">
        <v>12</v>
      </c>
      <c r="K359" s="9" t="s">
        <v>13</v>
      </c>
      <c r="L359" s="10" t="s">
        <v>14</v>
      </c>
      <c r="M359" s="9" t="s">
        <v>11</v>
      </c>
      <c r="N359" s="9" t="s">
        <v>0</v>
      </c>
      <c r="O359" s="9" t="s">
        <v>12</v>
      </c>
      <c r="P359" s="9" t="s">
        <v>13</v>
      </c>
      <c r="Q359" s="10" t="s">
        <v>14</v>
      </c>
      <c r="R359" s="70"/>
      <c r="S359" s="11"/>
      <c r="T359" s="1"/>
    </row>
    <row r="360" spans="1:22" x14ac:dyDescent="0.25">
      <c r="A360" s="12" t="s">
        <v>15</v>
      </c>
      <c r="B360" s="41">
        <v>100000</v>
      </c>
      <c r="C360" s="41">
        <v>17025000</v>
      </c>
      <c r="D360" s="41">
        <v>4097130</v>
      </c>
      <c r="E360" s="41">
        <v>2400000</v>
      </c>
      <c r="F360" s="41">
        <v>4000000</v>
      </c>
      <c r="G360" s="15">
        <f t="shared" ref="G360" si="89">SUM(B360:F360)</f>
        <v>27622130</v>
      </c>
      <c r="H360" s="16"/>
      <c r="I360" s="17"/>
      <c r="J360" s="18">
        <v>17500000</v>
      </c>
      <c r="K360" s="17"/>
      <c r="L360" s="17"/>
      <c r="M360" s="17"/>
      <c r="N360" s="17"/>
      <c r="O360" s="17"/>
      <c r="P360" s="17"/>
      <c r="Q360" s="17"/>
      <c r="R360" s="19"/>
      <c r="T360" s="1"/>
    </row>
    <row r="361" spans="1:22" x14ac:dyDescent="0.25">
      <c r="A361" s="20" t="s">
        <v>16</v>
      </c>
      <c r="B361" s="42"/>
      <c r="C361" s="45">
        <v>100000</v>
      </c>
      <c r="D361" s="45">
        <v>400000</v>
      </c>
      <c r="E361" s="45">
        <v>200000</v>
      </c>
      <c r="F361" s="45">
        <v>500000</v>
      </c>
      <c r="G361" s="15">
        <f t="shared" ref="G361:G372" si="90">SUM(B361:F361)</f>
        <v>1200000</v>
      </c>
      <c r="H361" s="16">
        <v>6</v>
      </c>
      <c r="I361" s="26">
        <v>500000</v>
      </c>
      <c r="J361" s="25">
        <f>J360-I361</f>
        <v>17000000</v>
      </c>
      <c r="K361" s="26">
        <f t="shared" ref="K361:K372" si="91">0.015*J360</f>
        <v>262500</v>
      </c>
      <c r="L361" s="26"/>
      <c r="M361" s="25"/>
      <c r="N361" s="25"/>
      <c r="O361" s="25"/>
      <c r="P361" s="25"/>
      <c r="Q361" s="25"/>
      <c r="R361" s="27">
        <f>K361+I361+G361</f>
        <v>1962500</v>
      </c>
      <c r="T361" s="1"/>
    </row>
    <row r="362" spans="1:22" x14ac:dyDescent="0.25">
      <c r="A362" s="20" t="s">
        <v>17</v>
      </c>
      <c r="B362" s="42"/>
      <c r="C362" s="45">
        <v>100000</v>
      </c>
      <c r="D362" s="45">
        <v>400000</v>
      </c>
      <c r="E362" s="45">
        <v>200000</v>
      </c>
      <c r="F362" s="45">
        <v>500000</v>
      </c>
      <c r="G362" s="15">
        <f t="shared" si="90"/>
        <v>1200000</v>
      </c>
      <c r="H362" s="16">
        <v>7</v>
      </c>
      <c r="I362" s="26">
        <v>500000</v>
      </c>
      <c r="J362" s="25">
        <f>J361-I362</f>
        <v>16500000</v>
      </c>
      <c r="K362" s="26">
        <f t="shared" si="91"/>
        <v>255000</v>
      </c>
      <c r="L362" s="26"/>
      <c r="M362" s="25"/>
      <c r="N362" s="25"/>
      <c r="O362" s="25"/>
      <c r="P362" s="25"/>
      <c r="Q362" s="25"/>
      <c r="R362" s="27">
        <f t="shared" ref="R362:R372" si="92">K362+I362+G362</f>
        <v>1955000</v>
      </c>
      <c r="T362" s="1"/>
      <c r="V362" s="1"/>
    </row>
    <row r="363" spans="1:22" x14ac:dyDescent="0.25">
      <c r="A363" s="20" t="s">
        <v>18</v>
      </c>
      <c r="B363" s="42"/>
      <c r="C363" s="45">
        <v>100000</v>
      </c>
      <c r="D363" s="45">
        <v>400000</v>
      </c>
      <c r="E363" s="45">
        <v>200000</v>
      </c>
      <c r="F363" s="45">
        <v>500000</v>
      </c>
      <c r="G363" s="15">
        <f t="shared" si="90"/>
        <v>1200000</v>
      </c>
      <c r="H363" s="16">
        <v>8</v>
      </c>
      <c r="I363" s="26">
        <v>500000</v>
      </c>
      <c r="J363" s="25">
        <f>J362-I363</f>
        <v>16000000</v>
      </c>
      <c r="K363" s="26">
        <f t="shared" si="91"/>
        <v>247500</v>
      </c>
      <c r="L363" s="26"/>
      <c r="M363" s="25"/>
      <c r="N363" s="25"/>
      <c r="O363" s="25"/>
      <c r="P363" s="25"/>
      <c r="Q363" s="25"/>
      <c r="R363" s="27">
        <f t="shared" si="92"/>
        <v>1947500</v>
      </c>
      <c r="T363" s="1"/>
    </row>
    <row r="364" spans="1:22" x14ac:dyDescent="0.25">
      <c r="A364" s="20" t="s">
        <v>19</v>
      </c>
      <c r="B364" s="42"/>
      <c r="C364" s="45">
        <v>100000</v>
      </c>
      <c r="D364" s="45">
        <v>400000</v>
      </c>
      <c r="E364" s="45">
        <v>-3000000</v>
      </c>
      <c r="F364" s="45">
        <v>500000</v>
      </c>
      <c r="G364" s="15">
        <f t="shared" si="90"/>
        <v>-2000000</v>
      </c>
      <c r="H364" s="16">
        <v>9</v>
      </c>
      <c r="I364" s="26">
        <v>500000</v>
      </c>
      <c r="J364" s="25">
        <f>J363-I364</f>
        <v>15500000</v>
      </c>
      <c r="K364" s="26">
        <f t="shared" si="91"/>
        <v>240000</v>
      </c>
      <c r="L364" s="26"/>
      <c r="M364" s="25"/>
      <c r="N364" s="25"/>
      <c r="O364" s="25"/>
      <c r="P364" s="25"/>
      <c r="Q364" s="25"/>
      <c r="R364" s="27">
        <f t="shared" si="92"/>
        <v>-1260000</v>
      </c>
      <c r="T364" s="1"/>
    </row>
    <row r="365" spans="1:22" x14ac:dyDescent="0.25">
      <c r="A365" s="20" t="s">
        <v>20</v>
      </c>
      <c r="B365" s="42"/>
      <c r="C365" s="45">
        <v>100000</v>
      </c>
      <c r="D365" s="45">
        <v>400000</v>
      </c>
      <c r="E365" s="45">
        <v>200000</v>
      </c>
      <c r="F365" s="45">
        <v>500000</v>
      </c>
      <c r="G365" s="15">
        <f t="shared" si="90"/>
        <v>1200000</v>
      </c>
      <c r="H365" s="16">
        <v>10</v>
      </c>
      <c r="I365" s="26">
        <v>500000</v>
      </c>
      <c r="J365" s="25">
        <f t="shared" ref="J365:J372" si="93">J364-I365</f>
        <v>15000000</v>
      </c>
      <c r="K365" s="26">
        <f t="shared" si="91"/>
        <v>232500</v>
      </c>
      <c r="L365" s="26"/>
      <c r="M365" s="25"/>
      <c r="N365" s="25"/>
      <c r="O365" s="25"/>
      <c r="P365" s="25"/>
      <c r="Q365" s="25"/>
      <c r="R365" s="27">
        <f t="shared" si="92"/>
        <v>1932500</v>
      </c>
      <c r="T365" s="1"/>
    </row>
    <row r="366" spans="1:22" x14ac:dyDescent="0.25">
      <c r="A366" s="20" t="s">
        <v>21</v>
      </c>
      <c r="B366" s="42"/>
      <c r="C366" s="45">
        <v>100000</v>
      </c>
      <c r="D366" s="45">
        <v>400000</v>
      </c>
      <c r="E366" s="45">
        <v>200000</v>
      </c>
      <c r="F366" s="45">
        <v>500000</v>
      </c>
      <c r="G366" s="15">
        <f t="shared" si="90"/>
        <v>1200000</v>
      </c>
      <c r="H366" s="16">
        <v>11</v>
      </c>
      <c r="I366" s="26">
        <v>500000</v>
      </c>
      <c r="J366" s="25">
        <f t="shared" si="93"/>
        <v>14500000</v>
      </c>
      <c r="K366" s="26">
        <f t="shared" si="91"/>
        <v>225000</v>
      </c>
      <c r="L366" s="26"/>
      <c r="M366" s="25"/>
      <c r="N366" s="25"/>
      <c r="O366" s="25"/>
      <c r="P366" s="25"/>
      <c r="Q366" s="25"/>
      <c r="R366" s="27">
        <f t="shared" si="92"/>
        <v>1925000</v>
      </c>
      <c r="T366" s="1"/>
    </row>
    <row r="367" spans="1:22" x14ac:dyDescent="0.25">
      <c r="A367" s="20" t="s">
        <v>22</v>
      </c>
      <c r="B367" s="42"/>
      <c r="C367" s="45">
        <v>100000</v>
      </c>
      <c r="D367" s="45">
        <v>400000</v>
      </c>
      <c r="E367" s="45">
        <v>200000</v>
      </c>
      <c r="F367" s="45">
        <v>500000</v>
      </c>
      <c r="G367" s="15">
        <f t="shared" si="90"/>
        <v>1200000</v>
      </c>
      <c r="H367" s="16">
        <v>12</v>
      </c>
      <c r="I367" s="26">
        <v>500000</v>
      </c>
      <c r="J367" s="25">
        <f t="shared" si="93"/>
        <v>14000000</v>
      </c>
      <c r="K367" s="26">
        <f t="shared" si="91"/>
        <v>217500</v>
      </c>
      <c r="L367" s="26"/>
      <c r="M367" s="25"/>
      <c r="N367" s="25"/>
      <c r="O367" s="25"/>
      <c r="P367" s="25"/>
      <c r="Q367" s="25"/>
      <c r="R367" s="27">
        <f t="shared" si="92"/>
        <v>1917500</v>
      </c>
      <c r="T367" s="1"/>
      <c r="V367" s="1"/>
    </row>
    <row r="368" spans="1:22" x14ac:dyDescent="0.25">
      <c r="A368" s="20" t="s">
        <v>23</v>
      </c>
      <c r="B368" s="42"/>
      <c r="C368" s="45">
        <v>100000</v>
      </c>
      <c r="D368" s="45">
        <v>400000</v>
      </c>
      <c r="E368" s="45">
        <v>200000</v>
      </c>
      <c r="F368" s="45">
        <v>500000</v>
      </c>
      <c r="G368" s="15">
        <f t="shared" si="90"/>
        <v>1200000</v>
      </c>
      <c r="H368" s="16">
        <v>13</v>
      </c>
      <c r="I368" s="26">
        <v>500000</v>
      </c>
      <c r="J368" s="25">
        <f t="shared" si="93"/>
        <v>13500000</v>
      </c>
      <c r="K368" s="26">
        <f t="shared" si="91"/>
        <v>210000</v>
      </c>
      <c r="L368" s="26"/>
      <c r="M368" s="25"/>
      <c r="N368" s="25"/>
      <c r="O368" s="25"/>
      <c r="P368" s="25"/>
      <c r="Q368" s="25"/>
      <c r="R368" s="27">
        <f t="shared" si="92"/>
        <v>1910000</v>
      </c>
      <c r="T368" s="1"/>
      <c r="V368" s="1"/>
    </row>
    <row r="369" spans="1:22" x14ac:dyDescent="0.25">
      <c r="A369" s="20" t="s">
        <v>24</v>
      </c>
      <c r="B369" s="42"/>
      <c r="C369" s="45">
        <v>100000</v>
      </c>
      <c r="D369" s="45">
        <v>400000</v>
      </c>
      <c r="E369" s="45">
        <v>200000</v>
      </c>
      <c r="F369" s="45">
        <v>500000</v>
      </c>
      <c r="G369" s="15">
        <f t="shared" si="90"/>
        <v>1200000</v>
      </c>
      <c r="H369" s="16">
        <v>14</v>
      </c>
      <c r="I369" s="26">
        <v>500000</v>
      </c>
      <c r="J369" s="25">
        <f t="shared" si="93"/>
        <v>13000000</v>
      </c>
      <c r="K369" s="26">
        <f t="shared" si="91"/>
        <v>202500</v>
      </c>
      <c r="L369" s="26"/>
      <c r="M369" s="25"/>
      <c r="N369" s="25"/>
      <c r="O369" s="25"/>
      <c r="P369" s="25"/>
      <c r="Q369" s="25"/>
      <c r="R369" s="27">
        <f t="shared" si="92"/>
        <v>1902500</v>
      </c>
      <c r="T369" s="1"/>
    </row>
    <row r="370" spans="1:22" x14ac:dyDescent="0.25">
      <c r="A370" s="20" t="s">
        <v>25</v>
      </c>
      <c r="B370" s="42"/>
      <c r="C370" s="45">
        <v>100000</v>
      </c>
      <c r="D370" s="45">
        <v>400000</v>
      </c>
      <c r="E370" s="45">
        <v>200000</v>
      </c>
      <c r="F370" s="45">
        <v>500000</v>
      </c>
      <c r="G370" s="15">
        <f t="shared" si="90"/>
        <v>1200000</v>
      </c>
      <c r="H370" s="16">
        <v>15</v>
      </c>
      <c r="I370" s="26">
        <v>500000</v>
      </c>
      <c r="J370" s="25">
        <f t="shared" si="93"/>
        <v>12500000</v>
      </c>
      <c r="K370" s="26">
        <f t="shared" si="91"/>
        <v>195000</v>
      </c>
      <c r="L370" s="26"/>
      <c r="M370" s="25"/>
      <c r="N370" s="25"/>
      <c r="O370" s="25"/>
      <c r="P370" s="25"/>
      <c r="Q370" s="25"/>
      <c r="R370" s="27">
        <f t="shared" si="92"/>
        <v>1895000</v>
      </c>
      <c r="T370" s="1"/>
    </row>
    <row r="371" spans="1:22" x14ac:dyDescent="0.25">
      <c r="A371" s="20" t="s">
        <v>26</v>
      </c>
      <c r="B371" s="42"/>
      <c r="C371" s="45">
        <v>100000</v>
      </c>
      <c r="D371" s="45">
        <v>400000</v>
      </c>
      <c r="E371" s="45">
        <v>200000</v>
      </c>
      <c r="F371" s="45">
        <v>500000</v>
      </c>
      <c r="G371" s="15">
        <f t="shared" si="90"/>
        <v>1200000</v>
      </c>
      <c r="H371" s="16">
        <v>16</v>
      </c>
      <c r="I371" s="26">
        <v>500000</v>
      </c>
      <c r="J371" s="25">
        <f t="shared" si="93"/>
        <v>12000000</v>
      </c>
      <c r="K371" s="26">
        <f t="shared" si="91"/>
        <v>187500</v>
      </c>
      <c r="L371" s="26"/>
      <c r="M371" s="25"/>
      <c r="N371" s="25"/>
      <c r="O371" s="25"/>
      <c r="P371" s="25"/>
      <c r="Q371" s="25"/>
      <c r="R371" s="27">
        <f t="shared" si="92"/>
        <v>1887500</v>
      </c>
    </row>
    <row r="372" spans="1:22" ht="15.75" thickBot="1" x14ac:dyDescent="0.3">
      <c r="A372" s="12" t="s">
        <v>15</v>
      </c>
      <c r="B372" s="44"/>
      <c r="C372" s="45">
        <v>100000</v>
      </c>
      <c r="D372" s="45">
        <v>400000</v>
      </c>
      <c r="E372" s="45">
        <v>200000</v>
      </c>
      <c r="F372" s="45">
        <v>500000</v>
      </c>
      <c r="G372" s="15">
        <f t="shared" si="90"/>
        <v>1200000</v>
      </c>
      <c r="H372" s="16">
        <v>17</v>
      </c>
      <c r="I372" s="26">
        <v>500000</v>
      </c>
      <c r="J372" s="25">
        <f t="shared" si="93"/>
        <v>11500000</v>
      </c>
      <c r="K372" s="26">
        <f t="shared" si="91"/>
        <v>180000</v>
      </c>
      <c r="L372" s="26"/>
      <c r="M372" s="25"/>
      <c r="N372" s="25"/>
      <c r="O372" s="25"/>
      <c r="P372" s="25"/>
      <c r="Q372" s="25"/>
      <c r="R372" s="27">
        <f t="shared" si="92"/>
        <v>1880000</v>
      </c>
      <c r="T372" s="1"/>
    </row>
    <row r="373" spans="1:22" ht="15.75" thickBot="1" x14ac:dyDescent="0.3">
      <c r="A373" s="29" t="s">
        <v>0</v>
      </c>
      <c r="B373" s="30">
        <f t="shared" ref="B373:F373" si="94">SUM(B360:B372)</f>
        <v>100000</v>
      </c>
      <c r="C373" s="30">
        <f t="shared" si="94"/>
        <v>18225000</v>
      </c>
      <c r="D373" s="30">
        <f t="shared" si="94"/>
        <v>8897130</v>
      </c>
      <c r="E373" s="30">
        <f t="shared" si="94"/>
        <v>1600000</v>
      </c>
      <c r="F373" s="30">
        <f t="shared" si="94"/>
        <v>10000000</v>
      </c>
      <c r="G373" s="15">
        <f t="shared" ref="G373" si="95">SUM(B373:F373)</f>
        <v>38822130</v>
      </c>
      <c r="H373" s="32"/>
      <c r="I373" s="71" t="s">
        <v>27</v>
      </c>
      <c r="J373" s="72"/>
      <c r="K373" s="33">
        <f>SUM(K360:K372)</f>
        <v>2655000</v>
      </c>
      <c r="L373" s="34"/>
      <c r="M373" s="71" t="s">
        <v>28</v>
      </c>
      <c r="N373" s="73"/>
      <c r="O373" s="72"/>
      <c r="P373" s="33">
        <f>SUM(P360:P372)</f>
        <v>0</v>
      </c>
      <c r="Q373" s="34"/>
      <c r="R373" s="35"/>
      <c r="T373" s="1"/>
    </row>
    <row r="374" spans="1:22" s="36" customFormat="1" ht="15.75" thickBot="1" x14ac:dyDescent="0.3">
      <c r="C374" s="37"/>
      <c r="D374" s="37"/>
      <c r="F374" s="38"/>
      <c r="G374" s="38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T374" s="40"/>
    </row>
    <row r="375" spans="1:22" ht="15.75" customHeight="1" thickBot="1" x14ac:dyDescent="0.3">
      <c r="A375" s="2">
        <f>A358+1</f>
        <v>23</v>
      </c>
      <c r="B375" s="74" t="str">
        <f>VLOOKUP(A375,NAMA,2)</f>
        <v>ANGGRAINI B,SPd</v>
      </c>
      <c r="C375" s="75"/>
      <c r="D375" s="75"/>
      <c r="E375" s="75"/>
      <c r="F375" s="76"/>
      <c r="G375" s="3" t="s">
        <v>0</v>
      </c>
      <c r="H375" s="77" t="s">
        <v>1</v>
      </c>
      <c r="I375" s="78"/>
      <c r="J375" s="78"/>
      <c r="K375" s="78"/>
      <c r="L375" s="79"/>
      <c r="M375" s="80" t="s">
        <v>2</v>
      </c>
      <c r="N375" s="78"/>
      <c r="O375" s="78"/>
      <c r="P375" s="78"/>
      <c r="Q375" s="79"/>
      <c r="R375" s="69" t="s">
        <v>29</v>
      </c>
      <c r="T375" s="1"/>
    </row>
    <row r="376" spans="1:22" x14ac:dyDescent="0.25">
      <c r="A376" s="4" t="s">
        <v>4</v>
      </c>
      <c r="B376" s="5" t="s">
        <v>5</v>
      </c>
      <c r="C376" s="6" t="s">
        <v>6</v>
      </c>
      <c r="D376" s="6" t="s">
        <v>7</v>
      </c>
      <c r="E376" s="5" t="s">
        <v>8</v>
      </c>
      <c r="F376" s="5" t="s">
        <v>9</v>
      </c>
      <c r="G376" s="7" t="s">
        <v>10</v>
      </c>
      <c r="H376" s="8" t="s">
        <v>11</v>
      </c>
      <c r="I376" s="9" t="s">
        <v>0</v>
      </c>
      <c r="J376" s="9" t="s">
        <v>12</v>
      </c>
      <c r="K376" s="9" t="s">
        <v>13</v>
      </c>
      <c r="L376" s="10" t="s">
        <v>14</v>
      </c>
      <c r="M376" s="9" t="s">
        <v>11</v>
      </c>
      <c r="N376" s="9" t="s">
        <v>0</v>
      </c>
      <c r="O376" s="9" t="s">
        <v>12</v>
      </c>
      <c r="P376" s="9" t="s">
        <v>13</v>
      </c>
      <c r="Q376" s="10" t="s">
        <v>14</v>
      </c>
      <c r="R376" s="70"/>
      <c r="S376" s="11"/>
      <c r="T376" s="1"/>
    </row>
    <row r="377" spans="1:22" x14ac:dyDescent="0.25">
      <c r="A377" s="12" t="s">
        <v>15</v>
      </c>
      <c r="B377" s="41">
        <v>100000</v>
      </c>
      <c r="C377" s="41">
        <v>6828000</v>
      </c>
      <c r="D377" s="41">
        <v>3656261</v>
      </c>
      <c r="E377" s="41">
        <v>1200000</v>
      </c>
      <c r="F377" s="41">
        <v>800000</v>
      </c>
      <c r="G377" s="15">
        <f t="shared" ref="G377" si="96">SUM(B377:F377)</f>
        <v>12584261</v>
      </c>
      <c r="H377" s="16"/>
      <c r="I377" s="17"/>
      <c r="J377" s="18">
        <v>26920000</v>
      </c>
      <c r="K377" s="17"/>
      <c r="L377" s="17"/>
      <c r="M377" s="17"/>
      <c r="N377" s="17"/>
      <c r="O377" s="17"/>
      <c r="P377" s="17"/>
      <c r="Q377" s="17"/>
      <c r="R377" s="19"/>
      <c r="T377" s="1"/>
    </row>
    <row r="378" spans="1:22" x14ac:dyDescent="0.25">
      <c r="A378" s="20" t="s">
        <v>16</v>
      </c>
      <c r="B378" s="42"/>
      <c r="C378" s="43">
        <v>100000</v>
      </c>
      <c r="D378" s="43">
        <v>5000</v>
      </c>
      <c r="E378" s="43">
        <v>150000</v>
      </c>
      <c r="F378" s="43">
        <v>100000</v>
      </c>
      <c r="G378" s="15">
        <f t="shared" ref="G378:G389" si="97">C378+D378+E378+F378</f>
        <v>355000</v>
      </c>
      <c r="H378" s="16">
        <v>56</v>
      </c>
      <c r="I378" s="26">
        <v>500000</v>
      </c>
      <c r="J378" s="25">
        <f t="shared" ref="J378:J387" si="98">J377-I378</f>
        <v>26420000</v>
      </c>
      <c r="K378" s="26">
        <f t="shared" ref="K378:K389" si="99">0.015*J377</f>
        <v>403800</v>
      </c>
      <c r="L378" s="26"/>
      <c r="M378" s="25"/>
      <c r="N378" s="25"/>
      <c r="O378" s="25"/>
      <c r="P378" s="25"/>
      <c r="Q378" s="25"/>
      <c r="R378" s="27">
        <f t="shared" ref="R378:R389" si="100">K378+I378+G378+P378</f>
        <v>1258800</v>
      </c>
      <c r="T378" s="1"/>
    </row>
    <row r="379" spans="1:22" x14ac:dyDescent="0.25">
      <c r="A379" s="20" t="s">
        <v>17</v>
      </c>
      <c r="B379" s="42"/>
      <c r="C379" s="43">
        <v>100000</v>
      </c>
      <c r="D379" s="43">
        <v>5000</v>
      </c>
      <c r="E379" s="43">
        <v>150000</v>
      </c>
      <c r="F379" s="68">
        <v>-900000</v>
      </c>
      <c r="G379" s="15">
        <f t="shared" si="97"/>
        <v>-645000</v>
      </c>
      <c r="H379" s="16">
        <v>57</v>
      </c>
      <c r="I379" s="26">
        <v>500000</v>
      </c>
      <c r="J379" s="25">
        <f t="shared" si="98"/>
        <v>25920000</v>
      </c>
      <c r="K379" s="26">
        <f t="shared" si="99"/>
        <v>396300</v>
      </c>
      <c r="L379" s="26"/>
      <c r="M379" s="25"/>
      <c r="N379" s="25"/>
      <c r="O379" s="25">
        <v>4000000</v>
      </c>
      <c r="P379" s="26"/>
      <c r="Q379" s="25"/>
      <c r="R379" s="27">
        <f t="shared" si="100"/>
        <v>251300</v>
      </c>
      <c r="T379" s="1"/>
      <c r="V379" s="1"/>
    </row>
    <row r="380" spans="1:22" x14ac:dyDescent="0.25">
      <c r="A380" s="20" t="s">
        <v>18</v>
      </c>
      <c r="B380" s="42"/>
      <c r="C380" s="43">
        <v>100000</v>
      </c>
      <c r="D380" s="43">
        <v>5000</v>
      </c>
      <c r="E380" s="43">
        <v>150000</v>
      </c>
      <c r="F380" s="43">
        <v>100000</v>
      </c>
      <c r="G380" s="15">
        <f t="shared" si="97"/>
        <v>355000</v>
      </c>
      <c r="H380" s="16">
        <v>58</v>
      </c>
      <c r="I380" s="26">
        <v>500000</v>
      </c>
      <c r="J380" s="25">
        <f t="shared" si="98"/>
        <v>25420000</v>
      </c>
      <c r="K380" s="26">
        <f t="shared" si="99"/>
        <v>388800</v>
      </c>
      <c r="L380" s="26"/>
      <c r="M380" s="25">
        <v>1</v>
      </c>
      <c r="N380" s="25">
        <v>2500000</v>
      </c>
      <c r="O380" s="25">
        <f>O379-N380</f>
        <v>1500000</v>
      </c>
      <c r="P380" s="26"/>
      <c r="Q380" s="25"/>
      <c r="R380" s="27">
        <f t="shared" si="100"/>
        <v>1243800</v>
      </c>
      <c r="T380" s="1"/>
    </row>
    <row r="381" spans="1:22" x14ac:dyDescent="0.25">
      <c r="A381" s="20" t="s">
        <v>19</v>
      </c>
      <c r="B381" s="42"/>
      <c r="C381" s="43">
        <v>100000</v>
      </c>
      <c r="D381" s="43">
        <v>5000</v>
      </c>
      <c r="E381" s="43">
        <v>-1650000</v>
      </c>
      <c r="F381" s="43">
        <v>100000</v>
      </c>
      <c r="G381" s="15">
        <f t="shared" si="97"/>
        <v>-1445000</v>
      </c>
      <c r="H381" s="16">
        <v>59</v>
      </c>
      <c r="I381" s="26">
        <v>500000</v>
      </c>
      <c r="J381" s="25">
        <f t="shared" si="98"/>
        <v>24920000</v>
      </c>
      <c r="K381" s="26">
        <f t="shared" si="99"/>
        <v>381300</v>
      </c>
      <c r="L381" s="26"/>
      <c r="M381" s="25"/>
      <c r="N381" s="25"/>
      <c r="O381" s="25">
        <f t="shared" ref="O381:O387" si="101">O380-N381</f>
        <v>1500000</v>
      </c>
      <c r="P381" s="26">
        <f>0.02*O380</f>
        <v>30000</v>
      </c>
      <c r="Q381" s="25"/>
      <c r="R381" s="27">
        <f t="shared" si="100"/>
        <v>-533700</v>
      </c>
      <c r="T381" s="1"/>
    </row>
    <row r="382" spans="1:22" x14ac:dyDescent="0.25">
      <c r="A382" s="20" t="s">
        <v>20</v>
      </c>
      <c r="B382" s="42"/>
      <c r="C382" s="43">
        <v>100000</v>
      </c>
      <c r="D382" s="43">
        <v>5000</v>
      </c>
      <c r="E382" s="43">
        <v>150000</v>
      </c>
      <c r="F382" s="43">
        <v>100000</v>
      </c>
      <c r="G382" s="15">
        <f t="shared" si="97"/>
        <v>355000</v>
      </c>
      <c r="H382" s="16">
        <v>60</v>
      </c>
      <c r="I382" s="26">
        <v>500000</v>
      </c>
      <c r="J382" s="25">
        <f t="shared" si="98"/>
        <v>24420000</v>
      </c>
      <c r="K382" s="26">
        <f t="shared" si="99"/>
        <v>373800</v>
      </c>
      <c r="L382" s="26"/>
      <c r="M382" s="25"/>
      <c r="N382" s="25"/>
      <c r="O382" s="25">
        <f t="shared" si="101"/>
        <v>1500000</v>
      </c>
      <c r="P382" s="26">
        <f t="shared" ref="P382:P389" si="102">0.015*O381</f>
        <v>22500</v>
      </c>
      <c r="Q382" s="25"/>
      <c r="R382" s="27">
        <f t="shared" si="100"/>
        <v>1251300</v>
      </c>
      <c r="T382" s="1"/>
    </row>
    <row r="383" spans="1:22" x14ac:dyDescent="0.25">
      <c r="A383" s="20" t="s">
        <v>21</v>
      </c>
      <c r="B383" s="42"/>
      <c r="C383" s="43">
        <v>100000</v>
      </c>
      <c r="D383" s="43">
        <v>5000</v>
      </c>
      <c r="E383" s="43">
        <v>150000</v>
      </c>
      <c r="F383" s="43">
        <v>100000</v>
      </c>
      <c r="G383" s="15">
        <f t="shared" si="97"/>
        <v>355000</v>
      </c>
      <c r="H383" s="16">
        <v>61</v>
      </c>
      <c r="I383" s="26">
        <v>500000</v>
      </c>
      <c r="J383" s="25">
        <f t="shared" si="98"/>
        <v>23920000</v>
      </c>
      <c r="K383" s="26">
        <f t="shared" si="99"/>
        <v>366300</v>
      </c>
      <c r="L383" s="26"/>
      <c r="M383" s="25"/>
      <c r="N383" s="25"/>
      <c r="O383" s="25">
        <f t="shared" si="101"/>
        <v>1500000</v>
      </c>
      <c r="P383" s="26">
        <f t="shared" si="102"/>
        <v>22500</v>
      </c>
      <c r="Q383" s="25"/>
      <c r="R383" s="27">
        <f t="shared" si="100"/>
        <v>1243800</v>
      </c>
      <c r="T383" s="1"/>
    </row>
    <row r="384" spans="1:22" x14ac:dyDescent="0.25">
      <c r="A384" s="20" t="s">
        <v>22</v>
      </c>
      <c r="B384" s="42"/>
      <c r="C384" s="43">
        <v>100000</v>
      </c>
      <c r="D384" s="43">
        <v>5000</v>
      </c>
      <c r="E384" s="43">
        <v>150000</v>
      </c>
      <c r="F384" s="43">
        <v>100000</v>
      </c>
      <c r="G384" s="15">
        <f t="shared" si="97"/>
        <v>355000</v>
      </c>
      <c r="H384" s="16">
        <v>62</v>
      </c>
      <c r="I384" s="26">
        <v>500000</v>
      </c>
      <c r="J384" s="25">
        <f t="shared" si="98"/>
        <v>23420000</v>
      </c>
      <c r="K384" s="26">
        <f t="shared" si="99"/>
        <v>358800</v>
      </c>
      <c r="L384" s="26"/>
      <c r="M384" s="25"/>
      <c r="N384" s="25"/>
      <c r="O384" s="25">
        <f t="shared" si="101"/>
        <v>1500000</v>
      </c>
      <c r="P384" s="26">
        <f t="shared" si="102"/>
        <v>22500</v>
      </c>
      <c r="Q384" s="25"/>
      <c r="R384" s="27">
        <f t="shared" si="100"/>
        <v>1236300</v>
      </c>
      <c r="T384" s="1"/>
      <c r="V384" s="1"/>
    </row>
    <row r="385" spans="1:22" x14ac:dyDescent="0.25">
      <c r="A385" s="20" t="s">
        <v>23</v>
      </c>
      <c r="B385" s="42"/>
      <c r="C385" s="43">
        <v>100000</v>
      </c>
      <c r="D385" s="43">
        <v>5000</v>
      </c>
      <c r="E385" s="43">
        <v>150000</v>
      </c>
      <c r="F385" s="43">
        <v>100000</v>
      </c>
      <c r="G385" s="15">
        <f t="shared" si="97"/>
        <v>355000</v>
      </c>
      <c r="H385" s="16">
        <v>63</v>
      </c>
      <c r="I385" s="26">
        <v>500000</v>
      </c>
      <c r="J385" s="25">
        <f t="shared" si="98"/>
        <v>22920000</v>
      </c>
      <c r="K385" s="26">
        <f t="shared" si="99"/>
        <v>351300</v>
      </c>
      <c r="L385" s="26"/>
      <c r="M385" s="25"/>
      <c r="N385" s="25"/>
      <c r="O385" s="25">
        <f t="shared" si="101"/>
        <v>1500000</v>
      </c>
      <c r="P385" s="26">
        <f t="shared" si="102"/>
        <v>22500</v>
      </c>
      <c r="Q385" s="25"/>
      <c r="R385" s="27">
        <f t="shared" si="100"/>
        <v>1228800</v>
      </c>
      <c r="T385" s="1"/>
      <c r="V385" s="1"/>
    </row>
    <row r="386" spans="1:22" x14ac:dyDescent="0.25">
      <c r="A386" s="20" t="s">
        <v>24</v>
      </c>
      <c r="B386" s="42"/>
      <c r="C386" s="43">
        <v>100000</v>
      </c>
      <c r="D386" s="43">
        <v>5000</v>
      </c>
      <c r="E386" s="43">
        <v>150000</v>
      </c>
      <c r="F386" s="43">
        <v>100000</v>
      </c>
      <c r="G386" s="15">
        <f t="shared" si="97"/>
        <v>355000</v>
      </c>
      <c r="H386" s="16">
        <v>64</v>
      </c>
      <c r="I386" s="26">
        <v>500000</v>
      </c>
      <c r="J386" s="25">
        <f t="shared" si="98"/>
        <v>22420000</v>
      </c>
      <c r="K386" s="26">
        <f t="shared" si="99"/>
        <v>343800</v>
      </c>
      <c r="L386" s="26"/>
      <c r="M386" s="25"/>
      <c r="N386" s="25"/>
      <c r="O386" s="25">
        <f t="shared" si="101"/>
        <v>1500000</v>
      </c>
      <c r="P386" s="26">
        <f t="shared" si="102"/>
        <v>22500</v>
      </c>
      <c r="Q386" s="25"/>
      <c r="R386" s="27">
        <f t="shared" si="100"/>
        <v>1221300</v>
      </c>
      <c r="T386" s="1"/>
    </row>
    <row r="387" spans="1:22" x14ac:dyDescent="0.25">
      <c r="A387" s="20" t="s">
        <v>25</v>
      </c>
      <c r="B387" s="42"/>
      <c r="C387" s="43">
        <v>100000</v>
      </c>
      <c r="D387" s="43">
        <v>5000</v>
      </c>
      <c r="E387" s="43">
        <v>150000</v>
      </c>
      <c r="F387" s="43">
        <v>-700000</v>
      </c>
      <c r="G387" s="15">
        <f t="shared" si="97"/>
        <v>-445000</v>
      </c>
      <c r="H387" s="16">
        <v>65</v>
      </c>
      <c r="I387" s="26">
        <v>500000</v>
      </c>
      <c r="J387" s="25">
        <f t="shared" si="98"/>
        <v>21920000</v>
      </c>
      <c r="K387" s="26">
        <f t="shared" si="99"/>
        <v>336300</v>
      </c>
      <c r="L387" s="26"/>
      <c r="M387" s="25"/>
      <c r="N387" s="25"/>
      <c r="O387" s="25">
        <f t="shared" si="101"/>
        <v>1500000</v>
      </c>
      <c r="P387" s="26">
        <f t="shared" si="102"/>
        <v>22500</v>
      </c>
      <c r="Q387" s="25"/>
      <c r="R387" s="27">
        <f t="shared" si="100"/>
        <v>413800</v>
      </c>
      <c r="T387" s="1"/>
    </row>
    <row r="388" spans="1:22" x14ac:dyDescent="0.25">
      <c r="A388" s="20" t="s">
        <v>26</v>
      </c>
      <c r="B388" s="42"/>
      <c r="C388" s="43">
        <v>100000</v>
      </c>
      <c r="D388" s="43">
        <v>5000</v>
      </c>
      <c r="E388" s="43">
        <v>150000</v>
      </c>
      <c r="F388" s="43">
        <v>100000</v>
      </c>
      <c r="G388" s="15">
        <f t="shared" si="97"/>
        <v>355000</v>
      </c>
      <c r="H388" s="16">
        <v>66</v>
      </c>
      <c r="I388" s="26">
        <v>500000</v>
      </c>
      <c r="J388" s="25">
        <f>J387-I388+1500000</f>
        <v>22920000</v>
      </c>
      <c r="K388" s="26">
        <f t="shared" si="99"/>
        <v>328800</v>
      </c>
      <c r="L388" s="26"/>
      <c r="M388" s="25"/>
      <c r="N388" s="25">
        <v>1500000</v>
      </c>
      <c r="O388" s="25">
        <f>O387-N388</f>
        <v>0</v>
      </c>
      <c r="P388" s="26">
        <f t="shared" si="102"/>
        <v>22500</v>
      </c>
      <c r="Q388" s="25"/>
      <c r="R388" s="27">
        <f t="shared" si="100"/>
        <v>1206300</v>
      </c>
    </row>
    <row r="389" spans="1:22" ht="15.75" thickBot="1" x14ac:dyDescent="0.3">
      <c r="A389" s="12" t="s">
        <v>15</v>
      </c>
      <c r="B389" s="44"/>
      <c r="C389" s="43">
        <v>100000</v>
      </c>
      <c r="D389" s="43">
        <v>5000</v>
      </c>
      <c r="E389" s="43">
        <v>150000</v>
      </c>
      <c r="F389" s="43">
        <v>100000</v>
      </c>
      <c r="G389" s="15">
        <f t="shared" si="97"/>
        <v>355000</v>
      </c>
      <c r="H389" s="16">
        <v>67</v>
      </c>
      <c r="I389" s="26">
        <v>500000</v>
      </c>
      <c r="J389" s="25">
        <f>J388-I389</f>
        <v>22420000</v>
      </c>
      <c r="K389" s="26">
        <f t="shared" si="99"/>
        <v>343800</v>
      </c>
      <c r="L389" s="26"/>
      <c r="M389" s="25"/>
      <c r="N389" s="25"/>
      <c r="O389" s="25"/>
      <c r="P389" s="26">
        <f t="shared" si="102"/>
        <v>0</v>
      </c>
      <c r="Q389" s="25"/>
      <c r="R389" s="27">
        <f t="shared" si="100"/>
        <v>1198800</v>
      </c>
      <c r="T389" s="1"/>
    </row>
    <row r="390" spans="1:22" ht="15.75" thickBot="1" x14ac:dyDescent="0.3">
      <c r="A390" s="29" t="s">
        <v>0</v>
      </c>
      <c r="B390" s="30">
        <f t="shared" ref="B390:F390" si="103">SUM(B377:B389)</f>
        <v>100000</v>
      </c>
      <c r="C390" s="30">
        <f t="shared" si="103"/>
        <v>8028000</v>
      </c>
      <c r="D390" s="30">
        <f t="shared" si="103"/>
        <v>3716261</v>
      </c>
      <c r="E390" s="30">
        <f t="shared" si="103"/>
        <v>1200000</v>
      </c>
      <c r="F390" s="30">
        <f t="shared" si="103"/>
        <v>200000</v>
      </c>
      <c r="G390" s="15">
        <f t="shared" ref="G390" si="104">SUM(B390:F390)</f>
        <v>13244261</v>
      </c>
      <c r="H390" s="32"/>
      <c r="I390" s="71" t="s">
        <v>27</v>
      </c>
      <c r="J390" s="72"/>
      <c r="K390" s="33">
        <f>SUM(K377:K389)</f>
        <v>4373100</v>
      </c>
      <c r="L390" s="34"/>
      <c r="M390" s="71" t="s">
        <v>28</v>
      </c>
      <c r="N390" s="73"/>
      <c r="O390" s="72"/>
      <c r="P390" s="33">
        <f>SUM(P377:P389)</f>
        <v>187500</v>
      </c>
      <c r="Q390" s="34"/>
      <c r="R390" s="35"/>
      <c r="T390" s="1"/>
    </row>
    <row r="391" spans="1:22" s="36" customFormat="1" ht="15.75" thickBot="1" x14ac:dyDescent="0.3">
      <c r="C391" s="37"/>
      <c r="D391" s="37"/>
      <c r="F391" s="38"/>
      <c r="G391" s="38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T391" s="40"/>
    </row>
    <row r="392" spans="1:22" ht="15.75" customHeight="1" thickBot="1" x14ac:dyDescent="0.3">
      <c r="A392" s="2">
        <f>A375+1</f>
        <v>24</v>
      </c>
      <c r="B392" s="74" t="str">
        <f>VLOOKUP(A392,NAMA,2)</f>
        <v>SUYANTO,SPd</v>
      </c>
      <c r="C392" s="75"/>
      <c r="D392" s="75"/>
      <c r="E392" s="75"/>
      <c r="F392" s="76"/>
      <c r="G392" s="3" t="s">
        <v>0</v>
      </c>
      <c r="H392" s="77" t="s">
        <v>1</v>
      </c>
      <c r="I392" s="78"/>
      <c r="J392" s="78"/>
      <c r="K392" s="78"/>
      <c r="L392" s="79"/>
      <c r="M392" s="80" t="s">
        <v>2</v>
      </c>
      <c r="N392" s="78"/>
      <c r="O392" s="78"/>
      <c r="P392" s="78"/>
      <c r="Q392" s="79"/>
      <c r="R392" s="69" t="s">
        <v>29</v>
      </c>
      <c r="T392" s="1"/>
    </row>
    <row r="393" spans="1:22" x14ac:dyDescent="0.25">
      <c r="A393" s="4" t="s">
        <v>4</v>
      </c>
      <c r="B393" s="5" t="s">
        <v>5</v>
      </c>
      <c r="C393" s="6" t="s">
        <v>6</v>
      </c>
      <c r="D393" s="6" t="s">
        <v>7</v>
      </c>
      <c r="E393" s="5" t="s">
        <v>8</v>
      </c>
      <c r="F393" s="5" t="s">
        <v>9</v>
      </c>
      <c r="G393" s="7" t="s">
        <v>10</v>
      </c>
      <c r="H393" s="8" t="s">
        <v>11</v>
      </c>
      <c r="I393" s="9" t="s">
        <v>0</v>
      </c>
      <c r="J393" s="9" t="s">
        <v>12</v>
      </c>
      <c r="K393" s="9" t="s">
        <v>13</v>
      </c>
      <c r="L393" s="10" t="s">
        <v>14</v>
      </c>
      <c r="M393" s="9" t="s">
        <v>11</v>
      </c>
      <c r="N393" s="9" t="s">
        <v>0</v>
      </c>
      <c r="O393" s="9" t="s">
        <v>12</v>
      </c>
      <c r="P393" s="9" t="s">
        <v>13</v>
      </c>
      <c r="Q393" s="10" t="s">
        <v>14</v>
      </c>
      <c r="R393" s="70"/>
      <c r="S393" s="11"/>
      <c r="T393" s="1"/>
    </row>
    <row r="394" spans="1:22" x14ac:dyDescent="0.25">
      <c r="A394" s="12" t="s">
        <v>15</v>
      </c>
      <c r="B394" s="41">
        <v>100000</v>
      </c>
      <c r="C394" s="41">
        <v>16900000</v>
      </c>
      <c r="D394" s="41">
        <v>2271930</v>
      </c>
      <c r="E394" s="41">
        <v>1600000</v>
      </c>
      <c r="F394" s="41">
        <v>2200000</v>
      </c>
      <c r="G394" s="15">
        <f t="shared" ref="G394" si="105">SUM(B394:F394)</f>
        <v>23071930</v>
      </c>
      <c r="H394" s="16"/>
      <c r="I394" s="17"/>
      <c r="J394" s="18"/>
      <c r="K394" s="17"/>
      <c r="L394" s="17"/>
      <c r="M394" s="17"/>
      <c r="N394" s="17"/>
      <c r="O394" s="17"/>
      <c r="P394" s="17"/>
      <c r="Q394" s="17"/>
      <c r="R394" s="19"/>
      <c r="T394" s="1"/>
    </row>
    <row r="395" spans="1:22" x14ac:dyDescent="0.25">
      <c r="A395" s="20" t="s">
        <v>16</v>
      </c>
      <c r="B395" s="42"/>
      <c r="C395" s="45">
        <v>100000</v>
      </c>
      <c r="D395" s="45">
        <v>5000</v>
      </c>
      <c r="E395" s="45">
        <v>200000</v>
      </c>
      <c r="F395" s="45">
        <v>200000</v>
      </c>
      <c r="G395" s="15">
        <f t="shared" ref="G395:G404" si="106">C395+D395+E395+F395</f>
        <v>505000</v>
      </c>
      <c r="H395" s="16"/>
      <c r="I395" s="26"/>
      <c r="J395" s="25"/>
      <c r="K395" s="26"/>
      <c r="L395" s="26"/>
      <c r="M395" s="25"/>
      <c r="N395" s="25"/>
      <c r="O395" s="17"/>
      <c r="P395" s="26">
        <f t="shared" ref="P395" si="107">0.02*O394</f>
        <v>0</v>
      </c>
      <c r="Q395" s="25"/>
      <c r="R395" s="27">
        <f>K395+I395+G395+P395</f>
        <v>505000</v>
      </c>
      <c r="T395" s="1"/>
    </row>
    <row r="396" spans="1:22" x14ac:dyDescent="0.25">
      <c r="A396" s="20" t="s">
        <v>17</v>
      </c>
      <c r="B396" s="42"/>
      <c r="C396" s="45">
        <v>100000</v>
      </c>
      <c r="D396" s="45">
        <v>5000</v>
      </c>
      <c r="E396" s="45">
        <v>200000</v>
      </c>
      <c r="F396" s="45">
        <v>200000</v>
      </c>
      <c r="G396" s="15">
        <f t="shared" si="106"/>
        <v>505000</v>
      </c>
      <c r="H396" s="61"/>
      <c r="I396" s="26"/>
      <c r="J396" s="25"/>
      <c r="K396" s="26"/>
      <c r="L396" s="26"/>
      <c r="M396" s="25"/>
      <c r="N396" s="25"/>
      <c r="O396" s="25"/>
      <c r="P396" s="25"/>
      <c r="Q396" s="25"/>
      <c r="R396" s="27">
        <f t="shared" ref="R396:R406" si="108">K396+I396+G396</f>
        <v>505000</v>
      </c>
      <c r="T396" s="1"/>
      <c r="V396" s="1"/>
    </row>
    <row r="397" spans="1:22" x14ac:dyDescent="0.25">
      <c r="A397" s="20" t="s">
        <v>18</v>
      </c>
      <c r="B397" s="42"/>
      <c r="C397" s="45">
        <v>100000</v>
      </c>
      <c r="D397" s="45">
        <v>5000</v>
      </c>
      <c r="E397" s="45">
        <v>200000</v>
      </c>
      <c r="F397" s="45">
        <v>200000</v>
      </c>
      <c r="G397" s="15">
        <f t="shared" si="106"/>
        <v>505000</v>
      </c>
      <c r="H397" s="16"/>
      <c r="I397" s="26"/>
      <c r="J397" s="25"/>
      <c r="K397" s="26"/>
      <c r="L397" s="26"/>
      <c r="M397" s="25"/>
      <c r="N397" s="25"/>
      <c r="O397" s="25"/>
      <c r="P397" s="25"/>
      <c r="Q397" s="25"/>
      <c r="R397" s="27">
        <f t="shared" si="108"/>
        <v>505000</v>
      </c>
      <c r="T397" s="1"/>
    </row>
    <row r="398" spans="1:22" x14ac:dyDescent="0.25">
      <c r="A398" s="20" t="s">
        <v>19</v>
      </c>
      <c r="B398" s="42"/>
      <c r="C398" s="45">
        <v>100000</v>
      </c>
      <c r="D398" s="45">
        <v>5000</v>
      </c>
      <c r="E398" s="45">
        <v>-2200000</v>
      </c>
      <c r="F398" s="45">
        <v>200000</v>
      </c>
      <c r="G398" s="15">
        <f t="shared" si="106"/>
        <v>-1895000</v>
      </c>
      <c r="H398" s="16"/>
      <c r="I398" s="26"/>
      <c r="J398" s="25"/>
      <c r="K398" s="26"/>
      <c r="L398" s="26"/>
      <c r="M398" s="25"/>
      <c r="N398" s="25"/>
      <c r="O398" s="25"/>
      <c r="P398" s="25"/>
      <c r="Q398" s="25"/>
      <c r="R398" s="27">
        <f t="shared" si="108"/>
        <v>-1895000</v>
      </c>
      <c r="T398" s="1"/>
    </row>
    <row r="399" spans="1:22" x14ac:dyDescent="0.25">
      <c r="A399" s="20" t="s">
        <v>20</v>
      </c>
      <c r="B399" s="42"/>
      <c r="C399" s="45">
        <v>100000</v>
      </c>
      <c r="D399" s="45">
        <v>5000</v>
      </c>
      <c r="E399" s="45">
        <v>200000</v>
      </c>
      <c r="F399" s="45">
        <v>200000</v>
      </c>
      <c r="G399" s="15">
        <f t="shared" si="106"/>
        <v>505000</v>
      </c>
      <c r="H399" s="16"/>
      <c r="I399" s="26"/>
      <c r="J399" s="25"/>
      <c r="K399" s="26"/>
      <c r="L399" s="26"/>
      <c r="M399" s="25"/>
      <c r="N399" s="25"/>
      <c r="O399" s="25"/>
      <c r="P399" s="25"/>
      <c r="Q399" s="25"/>
      <c r="R399" s="27">
        <f t="shared" si="108"/>
        <v>505000</v>
      </c>
      <c r="T399" s="1"/>
    </row>
    <row r="400" spans="1:22" x14ac:dyDescent="0.25">
      <c r="A400" s="20" t="s">
        <v>21</v>
      </c>
      <c r="B400" s="42"/>
      <c r="C400" s="45">
        <v>100000</v>
      </c>
      <c r="D400" s="45">
        <v>5000</v>
      </c>
      <c r="E400" s="45">
        <v>200000</v>
      </c>
      <c r="F400" s="45">
        <v>200000</v>
      </c>
      <c r="G400" s="15">
        <f t="shared" si="106"/>
        <v>505000</v>
      </c>
      <c r="H400" s="16"/>
      <c r="I400" s="26"/>
      <c r="J400" s="25"/>
      <c r="K400" s="26"/>
      <c r="L400" s="26"/>
      <c r="M400" s="25"/>
      <c r="N400" s="25"/>
      <c r="O400" s="25"/>
      <c r="P400" s="26"/>
      <c r="Q400" s="25"/>
      <c r="R400" s="27">
        <f t="shared" si="108"/>
        <v>505000</v>
      </c>
      <c r="T400" s="1"/>
    </row>
    <row r="401" spans="1:22" x14ac:dyDescent="0.25">
      <c r="A401" s="20" t="s">
        <v>22</v>
      </c>
      <c r="B401" s="42"/>
      <c r="C401" s="45">
        <v>100000</v>
      </c>
      <c r="D401" s="45">
        <v>5000</v>
      </c>
      <c r="E401" s="45">
        <v>200000</v>
      </c>
      <c r="F401" s="45">
        <v>200000</v>
      </c>
      <c r="G401" s="15">
        <f t="shared" si="106"/>
        <v>505000</v>
      </c>
      <c r="H401" s="16"/>
      <c r="I401" s="26"/>
      <c r="J401" s="25"/>
      <c r="K401" s="26"/>
      <c r="L401" s="26"/>
      <c r="M401" s="25"/>
      <c r="N401" s="25"/>
      <c r="O401" s="25"/>
      <c r="P401" s="26"/>
      <c r="Q401" s="25"/>
      <c r="R401" s="27">
        <f t="shared" si="108"/>
        <v>505000</v>
      </c>
      <c r="T401" s="1"/>
      <c r="V401" s="1"/>
    </row>
    <row r="402" spans="1:22" x14ac:dyDescent="0.25">
      <c r="A402" s="20" t="s">
        <v>23</v>
      </c>
      <c r="B402" s="42"/>
      <c r="C402" s="45">
        <v>100000</v>
      </c>
      <c r="D402" s="45">
        <v>5000</v>
      </c>
      <c r="E402" s="45">
        <v>200000</v>
      </c>
      <c r="F402" s="45">
        <v>200000</v>
      </c>
      <c r="G402" s="15">
        <f t="shared" si="106"/>
        <v>505000</v>
      </c>
      <c r="H402" s="16"/>
      <c r="I402" s="26"/>
      <c r="J402" s="25">
        <v>10000000</v>
      </c>
      <c r="K402" s="26"/>
      <c r="L402" s="26"/>
      <c r="M402" s="25"/>
      <c r="N402" s="25"/>
      <c r="O402" s="25"/>
      <c r="P402" s="26"/>
      <c r="Q402" s="25"/>
      <c r="R402" s="27">
        <f t="shared" si="108"/>
        <v>505000</v>
      </c>
      <c r="T402" s="1"/>
      <c r="V402" s="1"/>
    </row>
    <row r="403" spans="1:22" x14ac:dyDescent="0.25">
      <c r="A403" s="20" t="s">
        <v>24</v>
      </c>
      <c r="B403" s="42"/>
      <c r="C403" s="45">
        <v>100000</v>
      </c>
      <c r="D403" s="45">
        <v>5000</v>
      </c>
      <c r="E403" s="45">
        <v>200000</v>
      </c>
      <c r="F403" s="45">
        <v>200000</v>
      </c>
      <c r="G403" s="15">
        <f t="shared" si="106"/>
        <v>505000</v>
      </c>
      <c r="H403" s="16">
        <v>1</v>
      </c>
      <c r="I403" s="26">
        <v>1000000</v>
      </c>
      <c r="J403" s="25">
        <f>J402-I403</f>
        <v>9000000</v>
      </c>
      <c r="K403" s="26">
        <f t="shared" ref="K403:K406" si="109">0.015*J402</f>
        <v>150000</v>
      </c>
      <c r="L403" s="26"/>
      <c r="M403" s="25"/>
      <c r="N403" s="25"/>
      <c r="O403" s="25"/>
      <c r="P403" s="26"/>
      <c r="Q403" s="25"/>
      <c r="R403" s="27">
        <f t="shared" si="108"/>
        <v>1655000</v>
      </c>
      <c r="T403" s="1"/>
    </row>
    <row r="404" spans="1:22" x14ac:dyDescent="0.25">
      <c r="A404" s="20" t="s">
        <v>25</v>
      </c>
      <c r="B404" s="42"/>
      <c r="C404" s="45">
        <v>100000</v>
      </c>
      <c r="D404" s="45">
        <v>5000</v>
      </c>
      <c r="E404" s="45">
        <v>200000</v>
      </c>
      <c r="F404" s="45">
        <v>200000</v>
      </c>
      <c r="G404" s="15">
        <f t="shared" si="106"/>
        <v>505000</v>
      </c>
      <c r="H404" s="16">
        <v>2</v>
      </c>
      <c r="I404" s="26">
        <v>1000000</v>
      </c>
      <c r="J404" s="25">
        <f t="shared" ref="J404:J406" si="110">J403-I404</f>
        <v>8000000</v>
      </c>
      <c r="K404" s="26">
        <f t="shared" si="109"/>
        <v>135000</v>
      </c>
      <c r="L404" s="26"/>
      <c r="M404" s="25"/>
      <c r="N404" s="25"/>
      <c r="O404" s="25"/>
      <c r="P404" s="26"/>
      <c r="Q404" s="25"/>
      <c r="R404" s="27">
        <f t="shared" si="108"/>
        <v>1640000</v>
      </c>
      <c r="T404" s="1"/>
    </row>
    <row r="405" spans="1:22" x14ac:dyDescent="0.25">
      <c r="A405" s="20" t="s">
        <v>26</v>
      </c>
      <c r="B405" s="42"/>
      <c r="C405" s="45">
        <v>100000</v>
      </c>
      <c r="D405" s="45">
        <v>5000</v>
      </c>
      <c r="E405" s="45">
        <v>200000</v>
      </c>
      <c r="F405" s="45">
        <v>200000</v>
      </c>
      <c r="G405" s="15">
        <f>C405+D405+E405+F405</f>
        <v>505000</v>
      </c>
      <c r="H405" s="16">
        <v>3</v>
      </c>
      <c r="I405" s="26">
        <v>1000000</v>
      </c>
      <c r="J405" s="25">
        <f t="shared" si="110"/>
        <v>7000000</v>
      </c>
      <c r="K405" s="26">
        <f t="shared" si="109"/>
        <v>120000</v>
      </c>
      <c r="L405" s="26"/>
      <c r="M405" s="25"/>
      <c r="N405" s="25"/>
      <c r="O405" s="25"/>
      <c r="P405" s="26"/>
      <c r="Q405" s="25"/>
      <c r="R405" s="27">
        <f t="shared" si="108"/>
        <v>1625000</v>
      </c>
    </row>
    <row r="406" spans="1:22" ht="15.75" thickBot="1" x14ac:dyDescent="0.3">
      <c r="A406" s="12" t="s">
        <v>15</v>
      </c>
      <c r="B406" s="44"/>
      <c r="C406" s="45">
        <v>100000</v>
      </c>
      <c r="D406" s="45">
        <v>5000</v>
      </c>
      <c r="E406" s="45">
        <v>200000</v>
      </c>
      <c r="F406" s="45">
        <v>200000</v>
      </c>
      <c r="G406" s="15">
        <f>C406+D406+E406+F406</f>
        <v>505000</v>
      </c>
      <c r="H406" s="16">
        <v>4</v>
      </c>
      <c r="I406" s="26">
        <v>1000000</v>
      </c>
      <c r="J406" s="25">
        <f t="shared" si="110"/>
        <v>6000000</v>
      </c>
      <c r="K406" s="26">
        <f t="shared" si="109"/>
        <v>105000</v>
      </c>
      <c r="L406" s="26"/>
      <c r="M406" s="25"/>
      <c r="N406" s="25"/>
      <c r="O406" s="25"/>
      <c r="P406" s="26"/>
      <c r="Q406" s="25"/>
      <c r="R406" s="27">
        <f t="shared" si="108"/>
        <v>1610000</v>
      </c>
      <c r="T406" s="1"/>
    </row>
    <row r="407" spans="1:22" ht="15.75" thickBot="1" x14ac:dyDescent="0.3">
      <c r="A407" s="29" t="s">
        <v>0</v>
      </c>
      <c r="B407" s="30">
        <f t="shared" ref="B407" si="111">SUM(B394:B406)</f>
        <v>100000</v>
      </c>
      <c r="C407" s="30">
        <f>SUM(C394:C406)</f>
        <v>18100000</v>
      </c>
      <c r="D407" s="30">
        <f>SUM(D394:D406)</f>
        <v>2331930</v>
      </c>
      <c r="E407" s="30">
        <f>SUM(E394:E406)</f>
        <v>1600000</v>
      </c>
      <c r="F407" s="30">
        <f>SUM(F394:F406)</f>
        <v>4600000</v>
      </c>
      <c r="G407" s="15">
        <f t="shared" ref="G407" si="112">SUM(B407:F407)</f>
        <v>26731930</v>
      </c>
      <c r="H407" s="32"/>
      <c r="I407" s="71" t="s">
        <v>27</v>
      </c>
      <c r="J407" s="72"/>
      <c r="K407" s="33">
        <f>SUM(K394:K406)</f>
        <v>510000</v>
      </c>
      <c r="L407" s="34"/>
      <c r="M407" s="71" t="s">
        <v>28</v>
      </c>
      <c r="N407" s="73"/>
      <c r="O407" s="72"/>
      <c r="P407" s="33">
        <f>SUM(P394:P406)</f>
        <v>0</v>
      </c>
      <c r="Q407" s="34"/>
      <c r="R407" s="35"/>
      <c r="T407" s="1"/>
    </row>
    <row r="408" spans="1:22" s="36" customFormat="1" ht="15.75" thickBot="1" x14ac:dyDescent="0.3">
      <c r="C408" s="37"/>
      <c r="D408" s="37"/>
      <c r="F408" s="38"/>
      <c r="G408" s="38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T408" s="40"/>
    </row>
    <row r="409" spans="1:22" ht="15.75" customHeight="1" thickBot="1" x14ac:dyDescent="0.3">
      <c r="A409" s="2">
        <f>A392+1</f>
        <v>25</v>
      </c>
      <c r="B409" s="74" t="str">
        <f>VLOOKUP(A409,NAMA,2)</f>
        <v>ARIS W.,SPd</v>
      </c>
      <c r="C409" s="75"/>
      <c r="D409" s="75"/>
      <c r="E409" s="75"/>
      <c r="F409" s="76"/>
      <c r="G409" s="3" t="s">
        <v>0</v>
      </c>
      <c r="H409" s="77" t="s">
        <v>1</v>
      </c>
      <c r="I409" s="78"/>
      <c r="J409" s="78"/>
      <c r="K409" s="78"/>
      <c r="L409" s="79"/>
      <c r="M409" s="80" t="s">
        <v>2</v>
      </c>
      <c r="N409" s="78"/>
      <c r="O409" s="78"/>
      <c r="P409" s="78"/>
      <c r="Q409" s="79"/>
      <c r="R409" s="69" t="s">
        <v>29</v>
      </c>
      <c r="T409" s="1"/>
    </row>
    <row r="410" spans="1:22" x14ac:dyDescent="0.25">
      <c r="A410" s="4" t="s">
        <v>4</v>
      </c>
      <c r="B410" s="5" t="s">
        <v>5</v>
      </c>
      <c r="C410" s="6" t="s">
        <v>6</v>
      </c>
      <c r="D410" s="6" t="s">
        <v>7</v>
      </c>
      <c r="E410" s="5" t="s">
        <v>8</v>
      </c>
      <c r="F410" s="5" t="s">
        <v>9</v>
      </c>
      <c r="G410" s="7" t="s">
        <v>10</v>
      </c>
      <c r="H410" s="8" t="s">
        <v>11</v>
      </c>
      <c r="I410" s="9" t="s">
        <v>0</v>
      </c>
      <c r="J410" s="9" t="s">
        <v>12</v>
      </c>
      <c r="K410" s="9" t="s">
        <v>13</v>
      </c>
      <c r="L410" s="10" t="s">
        <v>14</v>
      </c>
      <c r="M410" s="9" t="s">
        <v>11</v>
      </c>
      <c r="N410" s="9" t="s">
        <v>0</v>
      </c>
      <c r="O410" s="9" t="s">
        <v>12</v>
      </c>
      <c r="P410" s="9" t="s">
        <v>13</v>
      </c>
      <c r="Q410" s="10" t="s">
        <v>14</v>
      </c>
      <c r="R410" s="70"/>
      <c r="S410" s="11"/>
      <c r="T410" s="1"/>
    </row>
    <row r="411" spans="1:22" x14ac:dyDescent="0.25">
      <c r="A411" s="12" t="s">
        <v>15</v>
      </c>
      <c r="B411" s="41"/>
      <c r="C411" s="41"/>
      <c r="D411" s="41"/>
      <c r="E411" s="41"/>
      <c r="F411" s="41"/>
      <c r="G411" s="15"/>
      <c r="H411" s="16"/>
      <c r="I411" s="17"/>
      <c r="J411" s="18">
        <v>0</v>
      </c>
      <c r="K411" s="17"/>
      <c r="L411" s="17"/>
      <c r="M411" s="17"/>
      <c r="N411" s="17"/>
      <c r="O411" s="17"/>
      <c r="P411" s="17"/>
      <c r="Q411" s="17"/>
      <c r="R411" s="19"/>
      <c r="T411" s="1"/>
    </row>
    <row r="412" spans="1:22" x14ac:dyDescent="0.25">
      <c r="A412" s="20" t="s">
        <v>16</v>
      </c>
      <c r="B412" s="42"/>
      <c r="C412" s="45"/>
      <c r="D412" s="45"/>
      <c r="E412" s="45"/>
      <c r="F412" s="45"/>
      <c r="G412" s="15"/>
      <c r="H412" s="16"/>
      <c r="I412" s="26"/>
      <c r="J412" s="25"/>
      <c r="K412" s="26">
        <f t="shared" ref="K412:K423" si="113">0.015*J411</f>
        <v>0</v>
      </c>
      <c r="L412" s="26"/>
      <c r="M412" s="25"/>
      <c r="N412" s="25"/>
      <c r="O412" s="25"/>
      <c r="P412" s="25"/>
      <c r="Q412" s="25"/>
      <c r="R412" s="27">
        <f t="shared" ref="R412:R423" si="114">G412+I412+K412</f>
        <v>0</v>
      </c>
      <c r="T412" s="1"/>
    </row>
    <row r="413" spans="1:22" x14ac:dyDescent="0.25">
      <c r="A413" s="20" t="s">
        <v>17</v>
      </c>
      <c r="B413" s="42"/>
      <c r="C413" s="45"/>
      <c r="D413" s="45"/>
      <c r="E413" s="45"/>
      <c r="F413" s="45"/>
      <c r="G413" s="15"/>
      <c r="H413" s="16"/>
      <c r="I413" s="26"/>
      <c r="J413" s="25"/>
      <c r="K413" s="26">
        <f t="shared" si="113"/>
        <v>0</v>
      </c>
      <c r="L413" s="26"/>
      <c r="M413" s="25"/>
      <c r="N413" s="25"/>
      <c r="O413" s="25"/>
      <c r="P413" s="25"/>
      <c r="Q413" s="25"/>
      <c r="R413" s="27">
        <f t="shared" si="114"/>
        <v>0</v>
      </c>
      <c r="T413" s="1"/>
      <c r="V413" s="1"/>
    </row>
    <row r="414" spans="1:22" x14ac:dyDescent="0.25">
      <c r="A414" s="20" t="s">
        <v>18</v>
      </c>
      <c r="B414" s="42"/>
      <c r="C414" s="45"/>
      <c r="D414" s="45"/>
      <c r="E414" s="45"/>
      <c r="F414" s="45"/>
      <c r="G414" s="15"/>
      <c r="H414" s="16"/>
      <c r="I414" s="26"/>
      <c r="J414" s="25"/>
      <c r="K414" s="26">
        <f t="shared" si="113"/>
        <v>0</v>
      </c>
      <c r="L414" s="26"/>
      <c r="M414" s="25"/>
      <c r="N414" s="25"/>
      <c r="O414" s="25"/>
      <c r="P414" s="25"/>
      <c r="Q414" s="25"/>
      <c r="R414" s="27">
        <f t="shared" si="114"/>
        <v>0</v>
      </c>
      <c r="T414" s="1"/>
    </row>
    <row r="415" spans="1:22" x14ac:dyDescent="0.25">
      <c r="A415" s="20" t="s">
        <v>19</v>
      </c>
      <c r="B415" s="42"/>
      <c r="C415" s="45"/>
      <c r="D415" s="45"/>
      <c r="E415" s="45"/>
      <c r="F415" s="45"/>
      <c r="G415" s="15"/>
      <c r="H415" s="16"/>
      <c r="I415" s="26"/>
      <c r="J415" s="25"/>
      <c r="K415" s="26">
        <f t="shared" si="113"/>
        <v>0</v>
      </c>
      <c r="L415" s="26"/>
      <c r="M415" s="25"/>
      <c r="N415" s="25"/>
      <c r="O415" s="25"/>
      <c r="P415" s="25"/>
      <c r="Q415" s="25"/>
      <c r="R415" s="27">
        <f t="shared" si="114"/>
        <v>0</v>
      </c>
      <c r="T415" s="1"/>
    </row>
    <row r="416" spans="1:22" x14ac:dyDescent="0.25">
      <c r="A416" s="20" t="s">
        <v>20</v>
      </c>
      <c r="B416" s="42"/>
      <c r="C416" s="45"/>
      <c r="D416" s="45"/>
      <c r="E416" s="45"/>
      <c r="F416" s="45"/>
      <c r="G416" s="15"/>
      <c r="H416" s="16"/>
      <c r="I416" s="26"/>
      <c r="J416" s="25"/>
      <c r="K416" s="26">
        <f t="shared" si="113"/>
        <v>0</v>
      </c>
      <c r="L416" s="26"/>
      <c r="M416" s="25"/>
      <c r="N416" s="25"/>
      <c r="O416" s="25"/>
      <c r="P416" s="25"/>
      <c r="Q416" s="25"/>
      <c r="R416" s="27">
        <f t="shared" si="114"/>
        <v>0</v>
      </c>
      <c r="T416" s="1"/>
    </row>
    <row r="417" spans="1:22" x14ac:dyDescent="0.25">
      <c r="A417" s="20" t="s">
        <v>21</v>
      </c>
      <c r="B417" s="42"/>
      <c r="C417" s="45"/>
      <c r="D417" s="45"/>
      <c r="E417" s="45"/>
      <c r="F417" s="45"/>
      <c r="G417" s="15"/>
      <c r="H417" s="16"/>
      <c r="I417" s="26"/>
      <c r="J417" s="25"/>
      <c r="K417" s="26">
        <f t="shared" si="113"/>
        <v>0</v>
      </c>
      <c r="L417" s="26"/>
      <c r="M417" s="25"/>
      <c r="N417" s="25"/>
      <c r="O417" s="25"/>
      <c r="P417" s="25"/>
      <c r="Q417" s="25"/>
      <c r="R417" s="27">
        <f t="shared" si="114"/>
        <v>0</v>
      </c>
      <c r="T417" s="1"/>
    </row>
    <row r="418" spans="1:22" x14ac:dyDescent="0.25">
      <c r="A418" s="20" t="s">
        <v>22</v>
      </c>
      <c r="B418" s="42"/>
      <c r="C418" s="45"/>
      <c r="D418" s="45"/>
      <c r="E418" s="45"/>
      <c r="F418" s="45"/>
      <c r="G418" s="15"/>
      <c r="H418" s="16"/>
      <c r="I418" s="26"/>
      <c r="J418" s="25"/>
      <c r="K418" s="26">
        <f t="shared" si="113"/>
        <v>0</v>
      </c>
      <c r="L418" s="26"/>
      <c r="M418" s="25"/>
      <c r="N418" s="25"/>
      <c r="O418" s="25"/>
      <c r="P418" s="25"/>
      <c r="Q418" s="25"/>
      <c r="R418" s="27">
        <f t="shared" si="114"/>
        <v>0</v>
      </c>
      <c r="T418" s="1"/>
      <c r="V418" s="1"/>
    </row>
    <row r="419" spans="1:22" x14ac:dyDescent="0.25">
      <c r="A419" s="20" t="s">
        <v>23</v>
      </c>
      <c r="B419" s="42"/>
      <c r="C419" s="45"/>
      <c r="D419" s="45"/>
      <c r="E419" s="45"/>
      <c r="F419" s="45"/>
      <c r="G419" s="15"/>
      <c r="H419" s="16"/>
      <c r="I419" s="26"/>
      <c r="J419" s="25"/>
      <c r="K419" s="26">
        <f t="shared" si="113"/>
        <v>0</v>
      </c>
      <c r="L419" s="26"/>
      <c r="M419" s="25"/>
      <c r="N419" s="25"/>
      <c r="O419" s="25"/>
      <c r="P419" s="25"/>
      <c r="Q419" s="25"/>
      <c r="R419" s="27">
        <f t="shared" si="114"/>
        <v>0</v>
      </c>
      <c r="T419" s="1"/>
      <c r="V419" s="1"/>
    </row>
    <row r="420" spans="1:22" x14ac:dyDescent="0.25">
      <c r="A420" s="20" t="s">
        <v>24</v>
      </c>
      <c r="B420" s="42"/>
      <c r="C420" s="45"/>
      <c r="D420" s="45"/>
      <c r="E420" s="45"/>
      <c r="F420" s="45"/>
      <c r="G420" s="15"/>
      <c r="H420" s="16"/>
      <c r="I420" s="26"/>
      <c r="J420" s="25"/>
      <c r="K420" s="26">
        <f t="shared" si="113"/>
        <v>0</v>
      </c>
      <c r="L420" s="26"/>
      <c r="M420" s="25"/>
      <c r="N420" s="25"/>
      <c r="O420" s="25"/>
      <c r="P420" s="25"/>
      <c r="Q420" s="25"/>
      <c r="R420" s="27">
        <f t="shared" si="114"/>
        <v>0</v>
      </c>
      <c r="T420" s="1"/>
    </row>
    <row r="421" spans="1:22" x14ac:dyDescent="0.25">
      <c r="A421" s="20" t="s">
        <v>25</v>
      </c>
      <c r="B421" s="42"/>
      <c r="C421" s="45"/>
      <c r="D421" s="45"/>
      <c r="E421" s="45"/>
      <c r="F421" s="45"/>
      <c r="G421" s="15"/>
      <c r="H421" s="16"/>
      <c r="I421" s="26"/>
      <c r="J421" s="25"/>
      <c r="K421" s="26">
        <f t="shared" si="113"/>
        <v>0</v>
      </c>
      <c r="L421" s="26"/>
      <c r="M421" s="25"/>
      <c r="N421" s="25"/>
      <c r="O421" s="25"/>
      <c r="P421" s="25"/>
      <c r="Q421" s="25"/>
      <c r="R421" s="27">
        <f t="shared" si="114"/>
        <v>0</v>
      </c>
      <c r="T421" s="1"/>
    </row>
    <row r="422" spans="1:22" x14ac:dyDescent="0.25">
      <c r="A422" s="20" t="s">
        <v>26</v>
      </c>
      <c r="B422" s="42"/>
      <c r="C422" s="45"/>
      <c r="D422" s="45"/>
      <c r="E422" s="45"/>
      <c r="F422" s="45"/>
      <c r="G422" s="15"/>
      <c r="H422" s="16"/>
      <c r="I422" s="26"/>
      <c r="J422" s="25"/>
      <c r="K422" s="26">
        <f t="shared" si="113"/>
        <v>0</v>
      </c>
      <c r="L422" s="26"/>
      <c r="M422" s="25"/>
      <c r="N422" s="25"/>
      <c r="O422" s="25"/>
      <c r="P422" s="25"/>
      <c r="Q422" s="25"/>
      <c r="R422" s="27">
        <f t="shared" si="114"/>
        <v>0</v>
      </c>
    </row>
    <row r="423" spans="1:22" ht="15.75" thickBot="1" x14ac:dyDescent="0.3">
      <c r="A423" s="12" t="s">
        <v>15</v>
      </c>
      <c r="B423" s="44"/>
      <c r="C423" s="45"/>
      <c r="D423" s="45"/>
      <c r="E423" s="45"/>
      <c r="F423" s="45"/>
      <c r="G423" s="15"/>
      <c r="H423" s="16"/>
      <c r="I423" s="26"/>
      <c r="J423" s="25"/>
      <c r="K423" s="26">
        <f t="shared" si="113"/>
        <v>0</v>
      </c>
      <c r="L423" s="26"/>
      <c r="M423" s="25"/>
      <c r="N423" s="25"/>
      <c r="O423" s="25"/>
      <c r="P423" s="25"/>
      <c r="Q423" s="25"/>
      <c r="R423" s="27">
        <f t="shared" si="114"/>
        <v>0</v>
      </c>
      <c r="T423" s="1"/>
    </row>
    <row r="424" spans="1:22" ht="15.75" thickBot="1" x14ac:dyDescent="0.3">
      <c r="A424" s="29" t="s">
        <v>0</v>
      </c>
      <c r="B424" s="30"/>
      <c r="C424" s="30"/>
      <c r="D424" s="30"/>
      <c r="E424" s="30"/>
      <c r="F424" s="30"/>
      <c r="G424" s="15"/>
      <c r="H424" s="32"/>
      <c r="I424" s="71" t="s">
        <v>27</v>
      </c>
      <c r="J424" s="72"/>
      <c r="K424" s="33">
        <f>SUM(K411:K423)</f>
        <v>0</v>
      </c>
      <c r="L424" s="34"/>
      <c r="M424" s="71" t="s">
        <v>28</v>
      </c>
      <c r="N424" s="73"/>
      <c r="O424" s="72"/>
      <c r="P424" s="33">
        <f>SUM(P411:P423)</f>
        <v>0</v>
      </c>
      <c r="Q424" s="34"/>
      <c r="R424" s="35"/>
      <c r="T424" s="1"/>
    </row>
    <row r="425" spans="1:22" s="36" customFormat="1" ht="15.75" thickBot="1" x14ac:dyDescent="0.3">
      <c r="C425" s="37"/>
      <c r="D425" s="37"/>
      <c r="F425" s="38"/>
      <c r="G425" s="38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T425" s="40"/>
    </row>
    <row r="426" spans="1:22" ht="15.75" customHeight="1" thickBot="1" x14ac:dyDescent="0.3">
      <c r="A426" s="2">
        <f>A409+1</f>
        <v>26</v>
      </c>
      <c r="B426" s="74" t="str">
        <f>VLOOKUP(A426,NAMA,2)</f>
        <v>ERNIA P,SPd</v>
      </c>
      <c r="C426" s="75"/>
      <c r="D426" s="75"/>
      <c r="E426" s="75"/>
      <c r="F426" s="76"/>
      <c r="G426" s="3" t="s">
        <v>0</v>
      </c>
      <c r="H426" s="77" t="s">
        <v>1</v>
      </c>
      <c r="I426" s="78"/>
      <c r="J426" s="78"/>
      <c r="K426" s="78"/>
      <c r="L426" s="79"/>
      <c r="M426" s="80" t="s">
        <v>2</v>
      </c>
      <c r="N426" s="78"/>
      <c r="O426" s="78"/>
      <c r="P426" s="78"/>
      <c r="Q426" s="79"/>
      <c r="R426" s="69" t="s">
        <v>29</v>
      </c>
      <c r="T426" s="1"/>
    </row>
    <row r="427" spans="1:22" x14ac:dyDescent="0.25">
      <c r="A427" s="4" t="s">
        <v>4</v>
      </c>
      <c r="B427" s="5" t="s">
        <v>5</v>
      </c>
      <c r="C427" s="6" t="s">
        <v>6</v>
      </c>
      <c r="D427" s="6" t="s">
        <v>7</v>
      </c>
      <c r="E427" s="5" t="s">
        <v>8</v>
      </c>
      <c r="F427" s="5" t="s">
        <v>9</v>
      </c>
      <c r="G427" s="7" t="s">
        <v>10</v>
      </c>
      <c r="H427" s="8" t="s">
        <v>11</v>
      </c>
      <c r="I427" s="9" t="s">
        <v>0</v>
      </c>
      <c r="J427" s="9" t="s">
        <v>12</v>
      </c>
      <c r="K427" s="9" t="s">
        <v>13</v>
      </c>
      <c r="L427" s="10" t="s">
        <v>14</v>
      </c>
      <c r="M427" s="9" t="s">
        <v>11</v>
      </c>
      <c r="N427" s="9" t="s">
        <v>0</v>
      </c>
      <c r="O427" s="9" t="s">
        <v>12</v>
      </c>
      <c r="P427" s="9" t="s">
        <v>13</v>
      </c>
      <c r="Q427" s="10" t="s">
        <v>14</v>
      </c>
      <c r="R427" s="70"/>
      <c r="S427" s="11"/>
      <c r="T427" s="1"/>
    </row>
    <row r="428" spans="1:22" x14ac:dyDescent="0.25">
      <c r="A428" s="12" t="s">
        <v>15</v>
      </c>
      <c r="B428" s="41"/>
      <c r="C428" s="41"/>
      <c r="D428" s="41"/>
      <c r="E428" s="41"/>
      <c r="F428" s="41"/>
      <c r="G428" s="15"/>
      <c r="H428" s="16"/>
      <c r="I428" s="17"/>
      <c r="J428" s="18"/>
      <c r="K428" s="17"/>
      <c r="L428" s="17"/>
      <c r="M428" s="17"/>
      <c r="N428" s="17"/>
      <c r="O428" s="17"/>
      <c r="P428" s="17"/>
      <c r="Q428" s="17"/>
      <c r="R428" s="19"/>
      <c r="T428" s="1"/>
    </row>
    <row r="429" spans="1:22" x14ac:dyDescent="0.25">
      <c r="A429" s="20" t="s">
        <v>16</v>
      </c>
      <c r="B429" s="42"/>
      <c r="C429" s="43"/>
      <c r="D429" s="43"/>
      <c r="E429" s="43"/>
      <c r="F429" s="43"/>
      <c r="G429" s="15"/>
      <c r="H429" s="16"/>
      <c r="I429" s="26"/>
      <c r="J429" s="25"/>
      <c r="K429" s="26"/>
      <c r="L429" s="26"/>
      <c r="M429" s="25"/>
      <c r="N429" s="25"/>
      <c r="O429" s="25"/>
      <c r="P429" s="25"/>
      <c r="Q429" s="25"/>
      <c r="R429" s="27"/>
      <c r="T429" s="1"/>
    </row>
    <row r="430" spans="1:22" x14ac:dyDescent="0.25">
      <c r="A430" s="20" t="s">
        <v>17</v>
      </c>
      <c r="B430" s="42"/>
      <c r="C430" s="43"/>
      <c r="D430" s="43"/>
      <c r="E430" s="43"/>
      <c r="F430" s="43"/>
      <c r="G430" s="15"/>
      <c r="H430" s="16"/>
      <c r="I430" s="26"/>
      <c r="J430" s="25"/>
      <c r="K430" s="26"/>
      <c r="L430" s="26"/>
      <c r="M430" s="25"/>
      <c r="N430" s="25"/>
      <c r="O430" s="25"/>
      <c r="P430" s="25"/>
      <c r="Q430" s="25"/>
      <c r="R430" s="27"/>
      <c r="T430" s="1"/>
      <c r="V430" s="1"/>
    </row>
    <row r="431" spans="1:22" x14ac:dyDescent="0.25">
      <c r="A431" s="20" t="s">
        <v>18</v>
      </c>
      <c r="B431" s="42"/>
      <c r="C431" s="43"/>
      <c r="D431" s="43"/>
      <c r="E431" s="43"/>
      <c r="F431" s="43"/>
      <c r="G431" s="15"/>
      <c r="H431" s="16"/>
      <c r="I431" s="26"/>
      <c r="J431" s="25"/>
      <c r="K431" s="26"/>
      <c r="L431" s="26"/>
      <c r="M431" s="25"/>
      <c r="N431" s="25"/>
      <c r="O431" s="25"/>
      <c r="P431" s="25"/>
      <c r="Q431" s="25"/>
      <c r="R431" s="27"/>
      <c r="T431" s="1"/>
    </row>
    <row r="432" spans="1:22" x14ac:dyDescent="0.25">
      <c r="A432" s="20" t="s">
        <v>19</v>
      </c>
      <c r="B432" s="42"/>
      <c r="C432" s="43"/>
      <c r="D432" s="43"/>
      <c r="E432" s="43"/>
      <c r="F432" s="43"/>
      <c r="G432" s="15"/>
      <c r="H432" s="16"/>
      <c r="I432" s="26"/>
      <c r="J432" s="25"/>
      <c r="K432" s="26"/>
      <c r="L432" s="26"/>
      <c r="M432" s="25"/>
      <c r="N432" s="25"/>
      <c r="O432" s="25"/>
      <c r="P432" s="25"/>
      <c r="Q432" s="25"/>
      <c r="R432" s="27"/>
      <c r="T432" s="1"/>
    </row>
    <row r="433" spans="1:22" x14ac:dyDescent="0.25">
      <c r="A433" s="20" t="s">
        <v>20</v>
      </c>
      <c r="B433" s="42"/>
      <c r="C433" s="43"/>
      <c r="D433" s="43"/>
      <c r="E433" s="43"/>
      <c r="F433" s="43"/>
      <c r="G433" s="15"/>
      <c r="H433" s="16"/>
      <c r="I433" s="26"/>
      <c r="J433" s="25"/>
      <c r="K433" s="26"/>
      <c r="L433" s="26"/>
      <c r="M433" s="25"/>
      <c r="N433" s="25"/>
      <c r="O433" s="25"/>
      <c r="P433" s="25"/>
      <c r="Q433" s="25"/>
      <c r="R433" s="27"/>
      <c r="T433" s="1"/>
    </row>
    <row r="434" spans="1:22" x14ac:dyDescent="0.25">
      <c r="A434" s="20" t="s">
        <v>21</v>
      </c>
      <c r="B434" s="42"/>
      <c r="C434" s="43"/>
      <c r="D434" s="43"/>
      <c r="E434" s="43"/>
      <c r="F434" s="43"/>
      <c r="G434" s="15"/>
      <c r="H434" s="16"/>
      <c r="I434" s="26"/>
      <c r="J434" s="25"/>
      <c r="K434" s="26"/>
      <c r="L434" s="26"/>
      <c r="M434" s="25"/>
      <c r="N434" s="25"/>
      <c r="O434" s="25"/>
      <c r="P434" s="25"/>
      <c r="Q434" s="25"/>
      <c r="R434" s="27"/>
      <c r="T434" s="1"/>
    </row>
    <row r="435" spans="1:22" x14ac:dyDescent="0.25">
      <c r="A435" s="20" t="s">
        <v>22</v>
      </c>
      <c r="B435" s="42"/>
      <c r="C435" s="43"/>
      <c r="D435" s="43"/>
      <c r="E435" s="43"/>
      <c r="F435" s="43"/>
      <c r="G435" s="15"/>
      <c r="H435" s="16"/>
      <c r="I435" s="26"/>
      <c r="J435" s="25"/>
      <c r="K435" s="26"/>
      <c r="L435" s="26"/>
      <c r="M435" s="25"/>
      <c r="N435" s="25"/>
      <c r="O435" s="25"/>
      <c r="P435" s="25"/>
      <c r="Q435" s="25"/>
      <c r="R435" s="27"/>
      <c r="T435" s="1"/>
      <c r="V435" s="1"/>
    </row>
    <row r="436" spans="1:22" x14ac:dyDescent="0.25">
      <c r="A436" s="20" t="s">
        <v>23</v>
      </c>
      <c r="B436" s="42"/>
      <c r="C436" s="43"/>
      <c r="D436" s="43"/>
      <c r="E436" s="43"/>
      <c r="F436" s="43"/>
      <c r="G436" s="15"/>
      <c r="H436" s="16"/>
      <c r="I436" s="26"/>
      <c r="J436" s="25"/>
      <c r="K436" s="26"/>
      <c r="L436" s="26"/>
      <c r="M436" s="25"/>
      <c r="N436" s="25"/>
      <c r="O436" s="25"/>
      <c r="P436" s="25"/>
      <c r="Q436" s="25"/>
      <c r="R436" s="27"/>
      <c r="T436" s="1"/>
      <c r="V436" s="1"/>
    </row>
    <row r="437" spans="1:22" x14ac:dyDescent="0.25">
      <c r="A437" s="20" t="s">
        <v>24</v>
      </c>
      <c r="B437" s="42"/>
      <c r="C437" s="43"/>
      <c r="D437" s="43"/>
      <c r="E437" s="43"/>
      <c r="F437" s="43"/>
      <c r="G437" s="15"/>
      <c r="H437" s="16"/>
      <c r="I437" s="26"/>
      <c r="J437" s="25"/>
      <c r="K437" s="26"/>
      <c r="L437" s="26"/>
      <c r="M437" s="25"/>
      <c r="N437" s="25"/>
      <c r="O437" s="25"/>
      <c r="P437" s="25"/>
      <c r="Q437" s="25"/>
      <c r="R437" s="27"/>
      <c r="T437" s="1"/>
    </row>
    <row r="438" spans="1:22" x14ac:dyDescent="0.25">
      <c r="A438" s="20" t="s">
        <v>25</v>
      </c>
      <c r="B438" s="42"/>
      <c r="C438" s="43"/>
      <c r="D438" s="43"/>
      <c r="E438" s="43"/>
      <c r="F438" s="43"/>
      <c r="G438" s="15"/>
      <c r="H438" s="16"/>
      <c r="I438" s="26"/>
      <c r="J438" s="25"/>
      <c r="K438" s="26"/>
      <c r="L438" s="26"/>
      <c r="M438" s="25"/>
      <c r="N438" s="25"/>
      <c r="O438" s="25"/>
      <c r="P438" s="25"/>
      <c r="Q438" s="25"/>
      <c r="R438" s="27"/>
      <c r="T438" s="1"/>
    </row>
    <row r="439" spans="1:22" x14ac:dyDescent="0.25">
      <c r="A439" s="20" t="s">
        <v>26</v>
      </c>
      <c r="B439" s="42"/>
      <c r="C439" s="43"/>
      <c r="D439" s="43"/>
      <c r="E439" s="43"/>
      <c r="F439" s="43"/>
      <c r="G439" s="15"/>
      <c r="H439" s="16"/>
      <c r="I439" s="26"/>
      <c r="J439" s="25"/>
      <c r="K439" s="26"/>
      <c r="L439" s="26"/>
      <c r="M439" s="25"/>
      <c r="N439" s="25"/>
      <c r="O439" s="25"/>
      <c r="P439" s="25"/>
      <c r="Q439" s="25"/>
      <c r="R439" s="27"/>
    </row>
    <row r="440" spans="1:22" ht="15.75" thickBot="1" x14ac:dyDescent="0.3">
      <c r="A440" s="12" t="s">
        <v>15</v>
      </c>
      <c r="B440" s="44"/>
      <c r="C440" s="45"/>
      <c r="D440" s="45"/>
      <c r="E440" s="45"/>
      <c r="F440" s="45"/>
      <c r="G440" s="15"/>
      <c r="H440" s="16"/>
      <c r="I440" s="26"/>
      <c r="J440" s="25"/>
      <c r="K440" s="26"/>
      <c r="L440" s="26"/>
      <c r="M440" s="25"/>
      <c r="N440" s="25"/>
      <c r="O440" s="25"/>
      <c r="P440" s="25"/>
      <c r="Q440" s="25"/>
      <c r="R440" s="27"/>
      <c r="T440" s="1"/>
    </row>
    <row r="441" spans="1:22" ht="15.75" thickBot="1" x14ac:dyDescent="0.3">
      <c r="A441" s="29" t="s">
        <v>0</v>
      </c>
      <c r="B441" s="30">
        <f t="shared" ref="B441:G441" si="115">SUM(B428:B440)</f>
        <v>0</v>
      </c>
      <c r="C441" s="30">
        <f t="shared" si="115"/>
        <v>0</v>
      </c>
      <c r="D441" s="30">
        <f t="shared" si="115"/>
        <v>0</v>
      </c>
      <c r="E441" s="30">
        <f t="shared" si="115"/>
        <v>0</v>
      </c>
      <c r="F441" s="30">
        <f t="shared" si="115"/>
        <v>0</v>
      </c>
      <c r="G441" s="31">
        <f t="shared" si="115"/>
        <v>0</v>
      </c>
      <c r="H441" s="32"/>
      <c r="I441" s="71" t="s">
        <v>27</v>
      </c>
      <c r="J441" s="72"/>
      <c r="K441" s="33">
        <f>SUM(K428:K440)</f>
        <v>0</v>
      </c>
      <c r="L441" s="34"/>
      <c r="M441" s="71" t="s">
        <v>28</v>
      </c>
      <c r="N441" s="73"/>
      <c r="O441" s="72"/>
      <c r="P441" s="33">
        <f>SUM(P428:P440)</f>
        <v>0</v>
      </c>
      <c r="Q441" s="34"/>
      <c r="R441" s="35"/>
      <c r="T441" s="1"/>
    </row>
    <row r="442" spans="1:22" s="36" customFormat="1" ht="15.75" thickBot="1" x14ac:dyDescent="0.3">
      <c r="C442" s="37"/>
      <c r="D442" s="37"/>
      <c r="F442" s="38"/>
      <c r="G442" s="38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T442" s="40"/>
    </row>
    <row r="443" spans="1:22" ht="15.75" customHeight="1" thickBot="1" x14ac:dyDescent="0.3">
      <c r="A443" s="2">
        <f>A426+1</f>
        <v>27</v>
      </c>
      <c r="B443" s="74" t="str">
        <f>VLOOKUP(A443,NAMA,2)</f>
        <v>ARINA ASWIN,SPd</v>
      </c>
      <c r="C443" s="75"/>
      <c r="D443" s="75"/>
      <c r="E443" s="75"/>
      <c r="F443" s="76"/>
      <c r="G443" s="3" t="s">
        <v>0</v>
      </c>
      <c r="H443" s="77" t="s">
        <v>1</v>
      </c>
      <c r="I443" s="78"/>
      <c r="J443" s="78"/>
      <c r="K443" s="78"/>
      <c r="L443" s="79"/>
      <c r="M443" s="80" t="s">
        <v>2</v>
      </c>
      <c r="N443" s="78"/>
      <c r="O443" s="78"/>
      <c r="P443" s="78"/>
      <c r="Q443" s="79"/>
      <c r="R443" s="69" t="s">
        <v>29</v>
      </c>
      <c r="T443" s="1"/>
    </row>
    <row r="444" spans="1:22" x14ac:dyDescent="0.25">
      <c r="A444" s="4" t="s">
        <v>4</v>
      </c>
      <c r="B444" s="5" t="s">
        <v>5</v>
      </c>
      <c r="C444" s="6" t="s">
        <v>6</v>
      </c>
      <c r="D444" s="6" t="s">
        <v>7</v>
      </c>
      <c r="E444" s="5" t="s">
        <v>8</v>
      </c>
      <c r="F444" s="5" t="s">
        <v>9</v>
      </c>
      <c r="G444" s="7" t="s">
        <v>10</v>
      </c>
      <c r="H444" s="8" t="s">
        <v>11</v>
      </c>
      <c r="I444" s="9" t="s">
        <v>0</v>
      </c>
      <c r="J444" s="9" t="s">
        <v>12</v>
      </c>
      <c r="K444" s="9" t="s">
        <v>13</v>
      </c>
      <c r="L444" s="10" t="s">
        <v>14</v>
      </c>
      <c r="M444" s="9" t="s">
        <v>11</v>
      </c>
      <c r="N444" s="9" t="s">
        <v>0</v>
      </c>
      <c r="O444" s="9" t="s">
        <v>12</v>
      </c>
      <c r="P444" s="9" t="s">
        <v>13</v>
      </c>
      <c r="Q444" s="10" t="s">
        <v>14</v>
      </c>
      <c r="R444" s="70"/>
      <c r="S444" s="11"/>
      <c r="T444" s="1"/>
    </row>
    <row r="445" spans="1:22" x14ac:dyDescent="0.25">
      <c r="A445" s="12" t="s">
        <v>15</v>
      </c>
      <c r="B445" s="41">
        <v>100000</v>
      </c>
      <c r="C445" s="41">
        <v>16475000</v>
      </c>
      <c r="D445" s="41">
        <v>10908310</v>
      </c>
      <c r="E445" s="41">
        <v>1600000</v>
      </c>
      <c r="F445" s="41">
        <v>2800000</v>
      </c>
      <c r="G445" s="15">
        <f t="shared" ref="G445" si="116">SUM(B445:F445)</f>
        <v>31883310</v>
      </c>
      <c r="H445" s="16"/>
      <c r="I445" s="17"/>
      <c r="J445" s="18">
        <v>35000000</v>
      </c>
      <c r="K445" s="17"/>
      <c r="L445" s="17"/>
      <c r="M445" s="17"/>
      <c r="N445" s="17"/>
      <c r="O445" s="17"/>
      <c r="P445" s="17"/>
      <c r="Q445" s="17"/>
      <c r="R445" s="19"/>
      <c r="T445" s="1"/>
    </row>
    <row r="446" spans="1:22" x14ac:dyDescent="0.25">
      <c r="A446" s="20" t="s">
        <v>16</v>
      </c>
      <c r="B446" s="42"/>
      <c r="C446" s="45">
        <v>100000</v>
      </c>
      <c r="D446" s="45">
        <v>50000</v>
      </c>
      <c r="E446" s="45">
        <v>200000</v>
      </c>
      <c r="F446" s="45">
        <v>100000</v>
      </c>
      <c r="G446" s="15">
        <f t="shared" ref="G446:G457" si="117">C446+D446+E446+F446</f>
        <v>450000</v>
      </c>
      <c r="H446" s="16">
        <v>21</v>
      </c>
      <c r="I446" s="26">
        <v>500000</v>
      </c>
      <c r="J446" s="25">
        <f t="shared" ref="J446:J457" si="118">J445-I446</f>
        <v>34500000</v>
      </c>
      <c r="K446" s="26">
        <f t="shared" ref="K446:K457" si="119">0.015*J445</f>
        <v>525000</v>
      </c>
      <c r="L446" s="26"/>
      <c r="M446" s="25"/>
      <c r="N446" s="25"/>
      <c r="O446" s="25"/>
      <c r="P446" s="25"/>
      <c r="Q446" s="25"/>
      <c r="R446" s="27">
        <f>K446+I446+G446</f>
        <v>1475000</v>
      </c>
      <c r="T446" s="1"/>
    </row>
    <row r="447" spans="1:22" x14ac:dyDescent="0.25">
      <c r="A447" s="20" t="s">
        <v>17</v>
      </c>
      <c r="B447" s="42"/>
      <c r="C447" s="45">
        <v>100000</v>
      </c>
      <c r="D447" s="45">
        <v>50000</v>
      </c>
      <c r="E447" s="45">
        <v>200000</v>
      </c>
      <c r="F447" s="45">
        <v>100000</v>
      </c>
      <c r="G447" s="15">
        <f t="shared" si="117"/>
        <v>450000</v>
      </c>
      <c r="H447" s="16">
        <v>22</v>
      </c>
      <c r="I447" s="26">
        <v>500000</v>
      </c>
      <c r="J447" s="25">
        <f t="shared" si="118"/>
        <v>34000000</v>
      </c>
      <c r="K447" s="26">
        <f t="shared" si="119"/>
        <v>517500</v>
      </c>
      <c r="L447" s="26"/>
      <c r="M447" s="25"/>
      <c r="N447" s="25"/>
      <c r="O447" s="25"/>
      <c r="P447" s="25"/>
      <c r="Q447" s="25"/>
      <c r="R447" s="27">
        <f t="shared" ref="R447:R457" si="120">K447+I447+G447</f>
        <v>1467500</v>
      </c>
      <c r="T447" s="1"/>
      <c r="V447" s="1"/>
    </row>
    <row r="448" spans="1:22" x14ac:dyDescent="0.25">
      <c r="A448" s="20" t="s">
        <v>18</v>
      </c>
      <c r="B448" s="42"/>
      <c r="C448" s="45">
        <v>100000</v>
      </c>
      <c r="D448" s="45">
        <v>50000</v>
      </c>
      <c r="E448" s="45">
        <v>200000</v>
      </c>
      <c r="F448" s="45">
        <v>100000</v>
      </c>
      <c r="G448" s="15">
        <f t="shared" si="117"/>
        <v>450000</v>
      </c>
      <c r="H448" s="16">
        <v>23</v>
      </c>
      <c r="I448" s="26">
        <v>500000</v>
      </c>
      <c r="J448" s="25">
        <f t="shared" si="118"/>
        <v>33500000</v>
      </c>
      <c r="K448" s="26">
        <f t="shared" si="119"/>
        <v>510000</v>
      </c>
      <c r="L448" s="26"/>
      <c r="M448" s="25"/>
      <c r="N448" s="25"/>
      <c r="P448" s="25"/>
      <c r="Q448" s="25"/>
      <c r="R448" s="27">
        <f t="shared" si="120"/>
        <v>1460000</v>
      </c>
      <c r="T448" s="1"/>
    </row>
    <row r="449" spans="1:22" x14ac:dyDescent="0.25">
      <c r="A449" s="20" t="s">
        <v>19</v>
      </c>
      <c r="B449" s="42"/>
      <c r="C449" s="45">
        <v>100000</v>
      </c>
      <c r="D449" s="45">
        <v>50000</v>
      </c>
      <c r="E449" s="45">
        <v>-2200000</v>
      </c>
      <c r="F449" s="45">
        <v>100000</v>
      </c>
      <c r="G449" s="15">
        <f t="shared" si="117"/>
        <v>-1950000</v>
      </c>
      <c r="H449" s="16">
        <v>24</v>
      </c>
      <c r="I449" s="26">
        <v>500000</v>
      </c>
      <c r="J449" s="25">
        <f t="shared" si="118"/>
        <v>33000000</v>
      </c>
      <c r="K449" s="26">
        <f t="shared" si="119"/>
        <v>502500</v>
      </c>
      <c r="L449" s="26"/>
      <c r="M449" s="25"/>
      <c r="N449" s="25"/>
      <c r="O449" s="25"/>
      <c r="P449" s="25"/>
      <c r="Q449" s="25"/>
      <c r="R449" s="27">
        <f t="shared" si="120"/>
        <v>-947500</v>
      </c>
      <c r="T449" s="1"/>
    </row>
    <row r="450" spans="1:22" x14ac:dyDescent="0.25">
      <c r="A450" s="20" t="s">
        <v>20</v>
      </c>
      <c r="B450" s="42"/>
      <c r="C450" s="45">
        <v>100000</v>
      </c>
      <c r="D450" s="45">
        <v>50000</v>
      </c>
      <c r="E450" s="45">
        <v>200000</v>
      </c>
      <c r="F450" s="45">
        <v>100000</v>
      </c>
      <c r="G450" s="15">
        <f t="shared" si="117"/>
        <v>450000</v>
      </c>
      <c r="H450" s="16">
        <v>25</v>
      </c>
      <c r="I450" s="26">
        <v>500000</v>
      </c>
      <c r="J450" s="25">
        <f t="shared" si="118"/>
        <v>32500000</v>
      </c>
      <c r="K450" s="26">
        <f t="shared" si="119"/>
        <v>495000</v>
      </c>
      <c r="L450" s="26"/>
      <c r="M450" s="25"/>
      <c r="N450" s="25"/>
      <c r="O450" s="25"/>
      <c r="P450" s="25"/>
      <c r="Q450" s="25"/>
      <c r="R450" s="27">
        <f t="shared" si="120"/>
        <v>1445000</v>
      </c>
      <c r="T450" s="1"/>
    </row>
    <row r="451" spans="1:22" x14ac:dyDescent="0.25">
      <c r="A451" s="20" t="s">
        <v>21</v>
      </c>
      <c r="B451" s="42"/>
      <c r="C451" s="45">
        <v>100000</v>
      </c>
      <c r="D451" s="45">
        <v>50000</v>
      </c>
      <c r="E451" s="45">
        <v>200000</v>
      </c>
      <c r="F451" s="45">
        <v>100000</v>
      </c>
      <c r="G451" s="15">
        <f t="shared" si="117"/>
        <v>450000</v>
      </c>
      <c r="H451" s="16">
        <v>26</v>
      </c>
      <c r="I451" s="26">
        <v>500000</v>
      </c>
      <c r="J451" s="25">
        <f t="shared" si="118"/>
        <v>32000000</v>
      </c>
      <c r="K451" s="26">
        <f t="shared" si="119"/>
        <v>487500</v>
      </c>
      <c r="L451" s="26"/>
      <c r="M451" s="25"/>
      <c r="N451" s="25"/>
      <c r="O451" s="25"/>
      <c r="P451" s="26"/>
      <c r="Q451" s="25"/>
      <c r="R451" s="27">
        <f t="shared" si="120"/>
        <v>1437500</v>
      </c>
      <c r="T451" s="1"/>
    </row>
    <row r="452" spans="1:22" x14ac:dyDescent="0.25">
      <c r="A452" s="20" t="s">
        <v>22</v>
      </c>
      <c r="B452" s="42"/>
      <c r="C452" s="45">
        <v>100000</v>
      </c>
      <c r="D452" s="45">
        <v>50000</v>
      </c>
      <c r="E452" s="45">
        <v>200000</v>
      </c>
      <c r="F452" s="45">
        <v>100000</v>
      </c>
      <c r="G452" s="15">
        <f t="shared" si="117"/>
        <v>450000</v>
      </c>
      <c r="H452" s="16">
        <v>27</v>
      </c>
      <c r="I452" s="26">
        <v>500000</v>
      </c>
      <c r="J452" s="25">
        <f t="shared" si="118"/>
        <v>31500000</v>
      </c>
      <c r="K452" s="26">
        <f t="shared" si="119"/>
        <v>480000</v>
      </c>
      <c r="L452" s="26"/>
      <c r="M452" s="25"/>
      <c r="N452" s="25"/>
      <c r="O452" s="25"/>
      <c r="P452" s="26">
        <f>0.02*O452</f>
        <v>0</v>
      </c>
      <c r="Q452" s="25"/>
      <c r="R452" s="27">
        <f t="shared" si="120"/>
        <v>1430000</v>
      </c>
      <c r="T452" s="1"/>
      <c r="V452" s="1"/>
    </row>
    <row r="453" spans="1:22" x14ac:dyDescent="0.25">
      <c r="A453" s="20" t="s">
        <v>23</v>
      </c>
      <c r="B453" s="42"/>
      <c r="C453" s="45">
        <v>100000</v>
      </c>
      <c r="D453" s="45">
        <v>50000</v>
      </c>
      <c r="E453" s="45">
        <v>200000</v>
      </c>
      <c r="F453" s="45">
        <v>100000</v>
      </c>
      <c r="G453" s="15">
        <f t="shared" si="117"/>
        <v>450000</v>
      </c>
      <c r="H453" s="16">
        <v>28</v>
      </c>
      <c r="I453" s="26">
        <v>500000</v>
      </c>
      <c r="J453" s="25">
        <f t="shared" si="118"/>
        <v>31000000</v>
      </c>
      <c r="K453" s="26">
        <f t="shared" si="119"/>
        <v>472500</v>
      </c>
      <c r="L453" s="26"/>
      <c r="M453" s="25"/>
      <c r="N453" s="25"/>
      <c r="O453" s="25"/>
      <c r="P453" s="25"/>
      <c r="Q453" s="25"/>
      <c r="R453" s="27">
        <f t="shared" si="120"/>
        <v>1422500</v>
      </c>
      <c r="T453" s="1"/>
      <c r="V453" s="1"/>
    </row>
    <row r="454" spans="1:22" x14ac:dyDescent="0.25">
      <c r="A454" s="20" t="s">
        <v>24</v>
      </c>
      <c r="B454" s="42"/>
      <c r="C454" s="45">
        <v>100000</v>
      </c>
      <c r="D454" s="45">
        <v>50000</v>
      </c>
      <c r="E454" s="45">
        <v>200000</v>
      </c>
      <c r="F454" s="45">
        <v>100000</v>
      </c>
      <c r="G454" s="15">
        <f t="shared" si="117"/>
        <v>450000</v>
      </c>
      <c r="H454" s="16">
        <v>29</v>
      </c>
      <c r="I454" s="26">
        <v>500000</v>
      </c>
      <c r="J454" s="25">
        <f t="shared" si="118"/>
        <v>30500000</v>
      </c>
      <c r="K454" s="26">
        <f t="shared" si="119"/>
        <v>465000</v>
      </c>
      <c r="L454" s="26"/>
      <c r="M454" s="25"/>
      <c r="N454" s="25"/>
      <c r="O454" s="25"/>
      <c r="P454" s="25"/>
      <c r="Q454" s="25"/>
      <c r="R454" s="27">
        <f t="shared" si="120"/>
        <v>1415000</v>
      </c>
      <c r="T454" s="1"/>
    </row>
    <row r="455" spans="1:22" x14ac:dyDescent="0.25">
      <c r="A455" s="20" t="s">
        <v>25</v>
      </c>
      <c r="B455" s="42"/>
      <c r="C455" s="45">
        <v>100000</v>
      </c>
      <c r="D455" s="45">
        <v>50000</v>
      </c>
      <c r="E455" s="45">
        <v>200000</v>
      </c>
      <c r="F455" s="45">
        <v>-3500000</v>
      </c>
      <c r="G455" s="15">
        <f t="shared" si="117"/>
        <v>-3150000</v>
      </c>
      <c r="H455" s="16">
        <v>30</v>
      </c>
      <c r="I455" s="26">
        <v>500000</v>
      </c>
      <c r="J455" s="25">
        <f t="shared" si="118"/>
        <v>30000000</v>
      </c>
      <c r="K455" s="26">
        <f t="shared" si="119"/>
        <v>457500</v>
      </c>
      <c r="L455" s="26"/>
      <c r="M455" s="25"/>
      <c r="N455" s="25"/>
      <c r="O455" s="25"/>
      <c r="P455" s="25"/>
      <c r="Q455" s="25"/>
      <c r="R455" s="27">
        <f t="shared" si="120"/>
        <v>-2192500</v>
      </c>
      <c r="T455" s="1"/>
    </row>
    <row r="456" spans="1:22" x14ac:dyDescent="0.25">
      <c r="A456" s="20" t="s">
        <v>26</v>
      </c>
      <c r="B456" s="42"/>
      <c r="C456" s="45">
        <v>100000</v>
      </c>
      <c r="D456" s="45">
        <v>50000</v>
      </c>
      <c r="E456" s="45">
        <v>200000</v>
      </c>
      <c r="F456" s="45">
        <v>100000</v>
      </c>
      <c r="G456" s="15">
        <f t="shared" si="117"/>
        <v>450000</v>
      </c>
      <c r="H456" s="16">
        <v>31</v>
      </c>
      <c r="I456" s="26">
        <v>500000</v>
      </c>
      <c r="J456" s="25">
        <f t="shared" si="118"/>
        <v>29500000</v>
      </c>
      <c r="K456" s="26">
        <f t="shared" si="119"/>
        <v>450000</v>
      </c>
      <c r="L456" s="26"/>
      <c r="M456" s="25"/>
      <c r="N456" s="25"/>
      <c r="O456" s="25"/>
      <c r="P456" s="25"/>
      <c r="Q456" s="25"/>
      <c r="R456" s="27">
        <f t="shared" si="120"/>
        <v>1400000</v>
      </c>
    </row>
    <row r="457" spans="1:22" ht="15.75" thickBot="1" x14ac:dyDescent="0.3">
      <c r="A457" s="12" t="s">
        <v>15</v>
      </c>
      <c r="B457" s="44"/>
      <c r="C457" s="45">
        <v>100000</v>
      </c>
      <c r="D457" s="45">
        <v>50000</v>
      </c>
      <c r="E457" s="45">
        <v>200000</v>
      </c>
      <c r="F457" s="45">
        <v>100000</v>
      </c>
      <c r="G457" s="15">
        <f t="shared" si="117"/>
        <v>450000</v>
      </c>
      <c r="H457" s="16">
        <v>32</v>
      </c>
      <c r="I457" s="26">
        <v>500000</v>
      </c>
      <c r="J457" s="25">
        <f t="shared" si="118"/>
        <v>29000000</v>
      </c>
      <c r="K457" s="26">
        <f t="shared" si="119"/>
        <v>442500</v>
      </c>
      <c r="L457" s="26"/>
      <c r="M457" s="25"/>
      <c r="N457" s="25"/>
      <c r="O457" s="25"/>
      <c r="P457" s="25"/>
      <c r="Q457" s="25"/>
      <c r="R457" s="27">
        <f t="shared" si="120"/>
        <v>1392500</v>
      </c>
      <c r="T457" s="1"/>
    </row>
    <row r="458" spans="1:22" ht="15.75" thickBot="1" x14ac:dyDescent="0.3">
      <c r="A458" s="29" t="s">
        <v>0</v>
      </c>
      <c r="B458" s="30">
        <f t="shared" ref="B458:F458" si="121">SUM(B445:B457)</f>
        <v>100000</v>
      </c>
      <c r="C458" s="30">
        <f t="shared" si="121"/>
        <v>17675000</v>
      </c>
      <c r="D458" s="30">
        <f t="shared" si="121"/>
        <v>11508310</v>
      </c>
      <c r="E458" s="30">
        <f t="shared" si="121"/>
        <v>1600000</v>
      </c>
      <c r="F458" s="30">
        <f t="shared" si="121"/>
        <v>400000</v>
      </c>
      <c r="G458" s="15">
        <f t="shared" ref="G458" si="122">SUM(B458:F458)</f>
        <v>31283310</v>
      </c>
      <c r="H458" s="32"/>
      <c r="I458" s="71" t="s">
        <v>27</v>
      </c>
      <c r="J458" s="72"/>
      <c r="K458" s="33">
        <f>SUM(K445:K457)</f>
        <v>5805000</v>
      </c>
      <c r="L458" s="34"/>
      <c r="M458" s="71" t="s">
        <v>28</v>
      </c>
      <c r="N458" s="73"/>
      <c r="O458" s="72"/>
      <c r="P458" s="33">
        <f>SUM(P445:P457)</f>
        <v>0</v>
      </c>
      <c r="Q458" s="34"/>
      <c r="R458" s="35"/>
      <c r="T458" s="1"/>
    </row>
    <row r="459" spans="1:22" s="36" customFormat="1" ht="15.75" thickBot="1" x14ac:dyDescent="0.3">
      <c r="C459" s="37"/>
      <c r="D459" s="37"/>
      <c r="F459" s="38"/>
      <c r="G459" s="38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T459" s="40"/>
    </row>
    <row r="460" spans="1:22" ht="15.75" customHeight="1" thickBot="1" x14ac:dyDescent="0.3">
      <c r="A460" s="2">
        <f>A443+1</f>
        <v>28</v>
      </c>
      <c r="B460" s="74" t="str">
        <f>VLOOKUP(A460,NAMA,2)</f>
        <v>ARI NUR F,SPdI</v>
      </c>
      <c r="C460" s="75"/>
      <c r="D460" s="75"/>
      <c r="E460" s="75"/>
      <c r="F460" s="76"/>
      <c r="G460" s="3" t="s">
        <v>0</v>
      </c>
      <c r="H460" s="77" t="s">
        <v>1</v>
      </c>
      <c r="I460" s="78"/>
      <c r="J460" s="78"/>
      <c r="K460" s="78"/>
      <c r="L460" s="79"/>
      <c r="M460" s="80" t="s">
        <v>2</v>
      </c>
      <c r="N460" s="78"/>
      <c r="O460" s="78"/>
      <c r="P460" s="78"/>
      <c r="Q460" s="79"/>
      <c r="R460" s="69" t="s">
        <v>29</v>
      </c>
      <c r="T460" s="1"/>
    </row>
    <row r="461" spans="1:22" x14ac:dyDescent="0.25">
      <c r="A461" s="4" t="s">
        <v>4</v>
      </c>
      <c r="B461" s="5" t="s">
        <v>5</v>
      </c>
      <c r="C461" s="6" t="s">
        <v>6</v>
      </c>
      <c r="D461" s="6" t="s">
        <v>7</v>
      </c>
      <c r="E461" s="5" t="s">
        <v>8</v>
      </c>
      <c r="F461" s="5" t="s">
        <v>9</v>
      </c>
      <c r="G461" s="7" t="s">
        <v>10</v>
      </c>
      <c r="H461" s="8" t="s">
        <v>11</v>
      </c>
      <c r="I461" s="9" t="s">
        <v>0</v>
      </c>
      <c r="J461" s="9" t="s">
        <v>12</v>
      </c>
      <c r="K461" s="9" t="s">
        <v>13</v>
      </c>
      <c r="L461" s="10" t="s">
        <v>14</v>
      </c>
      <c r="M461" s="9" t="s">
        <v>11</v>
      </c>
      <c r="N461" s="9" t="s">
        <v>0</v>
      </c>
      <c r="O461" s="9" t="s">
        <v>12</v>
      </c>
      <c r="P461" s="9" t="s">
        <v>13</v>
      </c>
      <c r="Q461" s="10" t="s">
        <v>14</v>
      </c>
      <c r="R461" s="70"/>
      <c r="S461" s="11"/>
      <c r="T461" s="1"/>
    </row>
    <row r="462" spans="1:22" x14ac:dyDescent="0.25">
      <c r="A462" s="12" t="s">
        <v>15</v>
      </c>
      <c r="B462" s="41"/>
      <c r="C462" s="41"/>
      <c r="D462" s="41"/>
      <c r="E462" s="41"/>
      <c r="F462" s="41"/>
      <c r="G462" s="15"/>
      <c r="H462" s="16"/>
      <c r="I462" s="17"/>
      <c r="J462" s="18"/>
      <c r="K462" s="17"/>
      <c r="L462" s="17"/>
      <c r="M462" s="17"/>
      <c r="N462" s="17"/>
      <c r="O462" s="17"/>
      <c r="P462" s="17"/>
      <c r="Q462" s="17"/>
      <c r="R462" s="19"/>
      <c r="T462" s="1"/>
    </row>
    <row r="463" spans="1:22" x14ac:dyDescent="0.25">
      <c r="A463" s="20" t="s">
        <v>16</v>
      </c>
      <c r="B463" s="42"/>
      <c r="C463" s="43"/>
      <c r="D463" s="43"/>
      <c r="E463" s="43"/>
      <c r="F463" s="41"/>
      <c r="G463" s="15"/>
      <c r="H463" s="16"/>
      <c r="I463" s="26"/>
      <c r="J463" s="25"/>
      <c r="K463" s="26"/>
      <c r="L463" s="26"/>
      <c r="M463" s="25"/>
      <c r="N463" s="25"/>
      <c r="O463" s="25"/>
      <c r="P463" s="25"/>
      <c r="Q463" s="25"/>
      <c r="R463" s="27">
        <f>K463+I463+G463</f>
        <v>0</v>
      </c>
      <c r="T463" s="1"/>
    </row>
    <row r="464" spans="1:22" x14ac:dyDescent="0.25">
      <c r="A464" s="20" t="s">
        <v>17</v>
      </c>
      <c r="B464" s="42"/>
      <c r="C464" s="43"/>
      <c r="D464" s="43"/>
      <c r="E464" s="43"/>
      <c r="F464" s="41"/>
      <c r="G464" s="15"/>
      <c r="H464" s="16"/>
      <c r="I464" s="26"/>
      <c r="J464" s="25"/>
      <c r="K464" s="26"/>
      <c r="L464" s="26"/>
      <c r="M464" s="25"/>
      <c r="N464" s="25"/>
      <c r="O464" s="25"/>
      <c r="P464" s="25"/>
      <c r="Q464" s="25"/>
      <c r="R464" s="27">
        <f t="shared" ref="R464:R469" si="123">K464+I464+G464</f>
        <v>0</v>
      </c>
      <c r="T464" s="1"/>
      <c r="V464" s="1"/>
    </row>
    <row r="465" spans="1:22" x14ac:dyDescent="0.25">
      <c r="A465" s="20" t="s">
        <v>18</v>
      </c>
      <c r="B465" s="42"/>
      <c r="C465" s="43"/>
      <c r="D465" s="43"/>
      <c r="E465" s="43"/>
      <c r="F465" s="41"/>
      <c r="G465" s="15"/>
      <c r="H465" s="16"/>
      <c r="I465" s="26"/>
      <c r="J465" s="25"/>
      <c r="K465" s="26"/>
      <c r="L465" s="26"/>
      <c r="M465" s="25"/>
      <c r="N465" s="25"/>
      <c r="O465" s="25"/>
      <c r="P465" s="25"/>
      <c r="Q465" s="25"/>
      <c r="R465" s="27">
        <f t="shared" si="123"/>
        <v>0</v>
      </c>
      <c r="T465" s="1"/>
    </row>
    <row r="466" spans="1:22" x14ac:dyDescent="0.25">
      <c r="A466" s="20" t="s">
        <v>19</v>
      </c>
      <c r="B466" s="42"/>
      <c r="C466" s="43"/>
      <c r="D466" s="43"/>
      <c r="E466" s="43"/>
      <c r="F466" s="41">
        <v>0</v>
      </c>
      <c r="G466" s="15">
        <f t="shared" ref="G466:G474" si="124">C466+D466+E466+F466</f>
        <v>0</v>
      </c>
      <c r="H466" s="16"/>
      <c r="I466" s="26"/>
      <c r="J466" s="25"/>
      <c r="K466" s="26"/>
      <c r="L466" s="26"/>
      <c r="M466" s="25"/>
      <c r="N466" s="25"/>
      <c r="O466" s="25"/>
      <c r="P466" s="25"/>
      <c r="Q466" s="25"/>
      <c r="R466" s="27">
        <f t="shared" si="123"/>
        <v>0</v>
      </c>
      <c r="T466" s="1"/>
    </row>
    <row r="467" spans="1:22" x14ac:dyDescent="0.25">
      <c r="A467" s="20" t="s">
        <v>20</v>
      </c>
      <c r="B467" s="42"/>
      <c r="C467" s="43"/>
      <c r="D467" s="43"/>
      <c r="E467" s="43"/>
      <c r="F467" s="41">
        <v>0</v>
      </c>
      <c r="G467" s="15">
        <f t="shared" si="124"/>
        <v>0</v>
      </c>
      <c r="H467" s="16"/>
      <c r="I467" s="26"/>
      <c r="J467" s="25"/>
      <c r="K467" s="26"/>
      <c r="L467" s="26"/>
      <c r="M467" s="25"/>
      <c r="N467" s="25"/>
      <c r="O467" s="25"/>
      <c r="P467" s="25"/>
      <c r="Q467" s="25"/>
      <c r="R467" s="27">
        <f t="shared" si="123"/>
        <v>0</v>
      </c>
      <c r="T467" s="1"/>
    </row>
    <row r="468" spans="1:22" x14ac:dyDescent="0.25">
      <c r="A468" s="20" t="s">
        <v>21</v>
      </c>
      <c r="B468" s="42"/>
      <c r="C468" s="43"/>
      <c r="D468" s="43"/>
      <c r="E468" s="43"/>
      <c r="F468" s="41">
        <v>0</v>
      </c>
      <c r="G468" s="15">
        <f t="shared" si="124"/>
        <v>0</v>
      </c>
      <c r="H468" s="16"/>
      <c r="I468" s="26"/>
      <c r="J468" s="25"/>
      <c r="K468" s="26"/>
      <c r="L468" s="26"/>
      <c r="M468" s="25"/>
      <c r="N468" s="25"/>
      <c r="O468" s="25"/>
      <c r="P468" s="25"/>
      <c r="Q468" s="25"/>
      <c r="R468" s="27">
        <f t="shared" si="123"/>
        <v>0</v>
      </c>
      <c r="T468" s="1"/>
    </row>
    <row r="469" spans="1:22" x14ac:dyDescent="0.25">
      <c r="A469" s="20" t="s">
        <v>22</v>
      </c>
      <c r="B469" s="42"/>
      <c r="C469" s="43"/>
      <c r="D469" s="43"/>
      <c r="E469" s="43"/>
      <c r="F469" s="41">
        <v>0</v>
      </c>
      <c r="G469" s="15">
        <f t="shared" si="124"/>
        <v>0</v>
      </c>
      <c r="H469" s="16"/>
      <c r="I469" s="26"/>
      <c r="J469" s="25"/>
      <c r="K469" s="26"/>
      <c r="L469" s="26"/>
      <c r="M469" s="25"/>
      <c r="N469" s="25"/>
      <c r="O469" s="25"/>
      <c r="P469" s="25"/>
      <c r="Q469" s="25"/>
      <c r="R469" s="27">
        <f t="shared" si="123"/>
        <v>0</v>
      </c>
      <c r="T469" s="1"/>
      <c r="V469" s="1"/>
    </row>
    <row r="470" spans="1:22" x14ac:dyDescent="0.25">
      <c r="A470" s="20" t="s">
        <v>23</v>
      </c>
      <c r="B470" s="42"/>
      <c r="C470" s="43"/>
      <c r="D470" s="43"/>
      <c r="E470" s="43"/>
      <c r="F470" s="41">
        <v>0</v>
      </c>
      <c r="G470" s="15">
        <f t="shared" si="124"/>
        <v>0</v>
      </c>
      <c r="H470" s="16"/>
      <c r="I470" s="26"/>
      <c r="J470" s="25"/>
      <c r="K470" s="26"/>
      <c r="L470" s="26"/>
      <c r="M470" s="25"/>
      <c r="N470" s="25"/>
      <c r="O470" s="25"/>
      <c r="P470" s="25"/>
      <c r="Q470" s="25"/>
      <c r="R470" s="27">
        <f>K470+I470+G470</f>
        <v>0</v>
      </c>
      <c r="T470" s="1"/>
      <c r="V470" s="1"/>
    </row>
    <row r="471" spans="1:22" x14ac:dyDescent="0.25">
      <c r="A471" s="20" t="s">
        <v>24</v>
      </c>
      <c r="B471" s="42"/>
      <c r="C471" s="43"/>
      <c r="D471" s="43"/>
      <c r="E471" s="43"/>
      <c r="F471" s="41">
        <v>0</v>
      </c>
      <c r="G471" s="15">
        <f t="shared" si="124"/>
        <v>0</v>
      </c>
      <c r="H471" s="16"/>
      <c r="I471" s="26"/>
      <c r="J471" s="25"/>
      <c r="K471" s="26"/>
      <c r="L471" s="26"/>
      <c r="M471" s="25"/>
      <c r="N471" s="25"/>
      <c r="O471" s="25"/>
      <c r="P471" s="25"/>
      <c r="Q471" s="25"/>
      <c r="R471" s="27">
        <f>K471+I471+G471</f>
        <v>0</v>
      </c>
      <c r="T471" s="1"/>
    </row>
    <row r="472" spans="1:22" x14ac:dyDescent="0.25">
      <c r="A472" s="20" t="s">
        <v>25</v>
      </c>
      <c r="B472" s="42"/>
      <c r="C472" s="43"/>
      <c r="D472" s="43"/>
      <c r="E472" s="43"/>
      <c r="F472" s="41">
        <v>0</v>
      </c>
      <c r="G472" s="15">
        <f t="shared" si="124"/>
        <v>0</v>
      </c>
      <c r="H472" s="16"/>
      <c r="I472" s="26"/>
      <c r="J472" s="25"/>
      <c r="K472" s="26"/>
      <c r="L472" s="26"/>
      <c r="M472" s="25"/>
      <c r="N472" s="25"/>
      <c r="O472" s="25"/>
      <c r="P472" s="25"/>
      <c r="Q472" s="25"/>
      <c r="R472" s="27">
        <f t="shared" ref="R472:R474" si="125">K472+I472+G472</f>
        <v>0</v>
      </c>
      <c r="T472" s="1"/>
    </row>
    <row r="473" spans="1:22" x14ac:dyDescent="0.25">
      <c r="A473" s="20" t="s">
        <v>26</v>
      </c>
      <c r="B473" s="42"/>
      <c r="C473" s="43"/>
      <c r="D473" s="43"/>
      <c r="E473" s="43"/>
      <c r="F473" s="41">
        <v>0</v>
      </c>
      <c r="G473" s="15">
        <f t="shared" si="124"/>
        <v>0</v>
      </c>
      <c r="H473" s="16"/>
      <c r="I473" s="26"/>
      <c r="J473" s="25"/>
      <c r="K473" s="26"/>
      <c r="L473" s="26"/>
      <c r="M473" s="25"/>
      <c r="N473" s="25"/>
      <c r="O473" s="25"/>
      <c r="P473" s="25"/>
      <c r="Q473" s="25"/>
      <c r="R473" s="27">
        <f t="shared" si="125"/>
        <v>0</v>
      </c>
    </row>
    <row r="474" spans="1:22" ht="15.75" thickBot="1" x14ac:dyDescent="0.3">
      <c r="A474" s="12" t="s">
        <v>15</v>
      </c>
      <c r="B474" s="44"/>
      <c r="C474" s="43"/>
      <c r="D474" s="43"/>
      <c r="E474" s="43"/>
      <c r="F474" s="41">
        <v>0</v>
      </c>
      <c r="G474" s="15">
        <f t="shared" si="124"/>
        <v>0</v>
      </c>
      <c r="H474" s="16"/>
      <c r="I474" s="26"/>
      <c r="J474" s="25"/>
      <c r="K474" s="26"/>
      <c r="L474" s="26"/>
      <c r="M474" s="25"/>
      <c r="N474" s="25"/>
      <c r="O474" s="25"/>
      <c r="P474" s="25"/>
      <c r="Q474" s="25"/>
      <c r="R474" s="27">
        <f t="shared" si="125"/>
        <v>0</v>
      </c>
      <c r="T474" s="1"/>
    </row>
    <row r="475" spans="1:22" ht="15.75" thickBot="1" x14ac:dyDescent="0.3">
      <c r="A475" s="29" t="s">
        <v>0</v>
      </c>
      <c r="B475" s="30">
        <f t="shared" ref="B475:F475" si="126">SUM(B462:B474)</f>
        <v>0</v>
      </c>
      <c r="C475" s="30">
        <f t="shared" si="126"/>
        <v>0</v>
      </c>
      <c r="D475" s="30">
        <f t="shared" si="126"/>
        <v>0</v>
      </c>
      <c r="E475" s="30">
        <f t="shared" si="126"/>
        <v>0</v>
      </c>
      <c r="F475" s="30">
        <f t="shared" si="126"/>
        <v>0</v>
      </c>
      <c r="G475" s="15">
        <f t="shared" ref="G475" si="127">SUM(B475:F475)</f>
        <v>0</v>
      </c>
      <c r="H475" s="32"/>
      <c r="I475" s="71" t="s">
        <v>27</v>
      </c>
      <c r="J475" s="72"/>
      <c r="K475" s="33">
        <f>SUM(K462:K474)</f>
        <v>0</v>
      </c>
      <c r="L475" s="34"/>
      <c r="M475" s="71" t="s">
        <v>28</v>
      </c>
      <c r="N475" s="73"/>
      <c r="O475" s="72"/>
      <c r="P475" s="33">
        <f>SUM(P462:P474)</f>
        <v>0</v>
      </c>
      <c r="Q475" s="34"/>
      <c r="R475" s="35"/>
      <c r="T475" s="1"/>
    </row>
    <row r="476" spans="1:22" s="36" customFormat="1" ht="15.75" thickBot="1" x14ac:dyDescent="0.3">
      <c r="C476" s="37"/>
      <c r="D476" s="37"/>
      <c r="F476" s="38"/>
      <c r="G476" s="38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T476" s="40"/>
    </row>
    <row r="477" spans="1:22" ht="15.75" customHeight="1" thickBot="1" x14ac:dyDescent="0.3">
      <c r="A477" s="2">
        <f>A460+1</f>
        <v>29</v>
      </c>
      <c r="B477" s="74" t="str">
        <f>VLOOKUP(A477,NAMA,2)</f>
        <v>RINI WP,SPd</v>
      </c>
      <c r="C477" s="75"/>
      <c r="D477" s="75"/>
      <c r="E477" s="75"/>
      <c r="F477" s="76"/>
      <c r="G477" s="3" t="s">
        <v>0</v>
      </c>
      <c r="H477" s="77" t="s">
        <v>1</v>
      </c>
      <c r="I477" s="78"/>
      <c r="J477" s="78"/>
      <c r="K477" s="78"/>
      <c r="L477" s="79"/>
      <c r="M477" s="80" t="s">
        <v>2</v>
      </c>
      <c r="N477" s="78"/>
      <c r="O477" s="78"/>
      <c r="P477" s="78"/>
      <c r="Q477" s="79"/>
      <c r="R477" s="69" t="s">
        <v>29</v>
      </c>
      <c r="T477" s="1"/>
    </row>
    <row r="478" spans="1:22" x14ac:dyDescent="0.25">
      <c r="A478" s="4" t="s">
        <v>4</v>
      </c>
      <c r="B478" s="5" t="s">
        <v>5</v>
      </c>
      <c r="C478" s="6" t="s">
        <v>6</v>
      </c>
      <c r="D478" s="6" t="s">
        <v>7</v>
      </c>
      <c r="E478" s="5" t="s">
        <v>8</v>
      </c>
      <c r="F478" s="5" t="s">
        <v>9</v>
      </c>
      <c r="G478" s="7" t="s">
        <v>10</v>
      </c>
      <c r="H478" s="8" t="s">
        <v>11</v>
      </c>
      <c r="I478" s="9" t="s">
        <v>0</v>
      </c>
      <c r="J478" s="9" t="s">
        <v>12</v>
      </c>
      <c r="K478" s="9" t="s">
        <v>13</v>
      </c>
      <c r="L478" s="10" t="s">
        <v>14</v>
      </c>
      <c r="M478" s="9" t="s">
        <v>11</v>
      </c>
      <c r="N478" s="9" t="s">
        <v>0</v>
      </c>
      <c r="O478" s="9" t="s">
        <v>12</v>
      </c>
      <c r="P478" s="9" t="s">
        <v>13</v>
      </c>
      <c r="Q478" s="10" t="s">
        <v>14</v>
      </c>
      <c r="R478" s="70"/>
      <c r="S478" s="11"/>
      <c r="T478" s="1"/>
    </row>
    <row r="479" spans="1:22" x14ac:dyDescent="0.25">
      <c r="A479" s="12" t="s">
        <v>15</v>
      </c>
      <c r="B479" s="41">
        <v>100000</v>
      </c>
      <c r="C479" s="41">
        <v>16475000</v>
      </c>
      <c r="D479" s="41">
        <v>3748438</v>
      </c>
      <c r="E479" s="41">
        <v>800000</v>
      </c>
      <c r="F479" s="41">
        <v>16750000</v>
      </c>
      <c r="G479" s="15">
        <f t="shared" ref="G479" si="128">SUM(B479:F479)</f>
        <v>37873438</v>
      </c>
      <c r="H479" s="16"/>
      <c r="I479" s="17"/>
      <c r="J479" s="18"/>
      <c r="K479" s="17"/>
      <c r="L479" s="17"/>
      <c r="M479" s="17"/>
      <c r="N479" s="17"/>
      <c r="O479" s="17"/>
      <c r="P479" s="17"/>
      <c r="Q479" s="17"/>
      <c r="R479" s="19"/>
      <c r="T479" s="1"/>
    </row>
    <row r="480" spans="1:22" x14ac:dyDescent="0.25">
      <c r="A480" s="20" t="s">
        <v>16</v>
      </c>
      <c r="B480" s="42"/>
      <c r="C480" s="45">
        <v>100000</v>
      </c>
      <c r="D480" s="45">
        <v>10000</v>
      </c>
      <c r="E480" s="45">
        <v>100000</v>
      </c>
      <c r="F480" s="45">
        <v>500000</v>
      </c>
      <c r="G480" s="15">
        <f t="shared" ref="G480:G491" si="129">C480+D480+E480+F480</f>
        <v>710000</v>
      </c>
      <c r="H480" s="16"/>
      <c r="I480" s="26"/>
      <c r="J480" s="25"/>
      <c r="K480" s="26"/>
      <c r="L480" s="26"/>
      <c r="M480" s="25"/>
      <c r="N480" s="25"/>
      <c r="O480" s="25"/>
      <c r="P480" s="25"/>
      <c r="Q480" s="25"/>
      <c r="R480" s="27">
        <f>G480</f>
        <v>710000</v>
      </c>
      <c r="T480" s="1"/>
    </row>
    <row r="481" spans="1:22" x14ac:dyDescent="0.25">
      <c r="A481" s="20" t="s">
        <v>17</v>
      </c>
      <c r="B481" s="42"/>
      <c r="C481" s="45">
        <v>100000</v>
      </c>
      <c r="D481" s="45">
        <v>10000</v>
      </c>
      <c r="E481" s="45">
        <v>100000</v>
      </c>
      <c r="F481" s="45">
        <v>500000</v>
      </c>
      <c r="G481" s="15">
        <f t="shared" si="129"/>
        <v>710000</v>
      </c>
      <c r="H481" s="16"/>
      <c r="I481" s="26"/>
      <c r="J481" s="25"/>
      <c r="K481" s="26"/>
      <c r="L481" s="26"/>
      <c r="M481" s="25"/>
      <c r="N481" s="25"/>
      <c r="O481" s="25"/>
      <c r="P481" s="25"/>
      <c r="Q481" s="25"/>
      <c r="R481" s="27">
        <f t="shared" ref="R481:R491" si="130">G481</f>
        <v>710000</v>
      </c>
      <c r="T481" s="1"/>
      <c r="V481" s="1"/>
    </row>
    <row r="482" spans="1:22" x14ac:dyDescent="0.25">
      <c r="A482" s="20" t="s">
        <v>18</v>
      </c>
      <c r="B482" s="42"/>
      <c r="C482" s="45">
        <v>100000</v>
      </c>
      <c r="D482" s="45">
        <v>10000</v>
      </c>
      <c r="E482" s="45">
        <v>100000</v>
      </c>
      <c r="F482" s="45">
        <v>500000</v>
      </c>
      <c r="G482" s="15">
        <f t="shared" si="129"/>
        <v>710000</v>
      </c>
      <c r="H482" s="16"/>
      <c r="I482" s="26"/>
      <c r="J482" s="25"/>
      <c r="K482" s="26"/>
      <c r="L482" s="26"/>
      <c r="M482" s="25"/>
      <c r="N482" s="25"/>
      <c r="O482" s="25"/>
      <c r="P482" s="25"/>
      <c r="Q482" s="25"/>
      <c r="R482" s="27">
        <f t="shared" si="130"/>
        <v>710000</v>
      </c>
      <c r="T482" s="1"/>
    </row>
    <row r="483" spans="1:22" x14ac:dyDescent="0.25">
      <c r="A483" s="20" t="s">
        <v>19</v>
      </c>
      <c r="B483" s="42"/>
      <c r="C483" s="45">
        <v>100000</v>
      </c>
      <c r="D483" s="45">
        <v>10000</v>
      </c>
      <c r="E483" s="45">
        <v>-1100000</v>
      </c>
      <c r="F483" s="45">
        <v>500000</v>
      </c>
      <c r="G483" s="15">
        <f t="shared" si="129"/>
        <v>-490000</v>
      </c>
      <c r="H483" s="16"/>
      <c r="I483" s="26"/>
      <c r="J483" s="25"/>
      <c r="K483" s="26"/>
      <c r="L483" s="26"/>
      <c r="M483" s="25"/>
      <c r="N483" s="25"/>
      <c r="O483" s="25"/>
      <c r="P483" s="25"/>
      <c r="Q483" s="25"/>
      <c r="R483" s="27">
        <f t="shared" si="130"/>
        <v>-490000</v>
      </c>
      <c r="T483" s="1"/>
    </row>
    <row r="484" spans="1:22" x14ac:dyDescent="0.25">
      <c r="A484" s="20" t="s">
        <v>20</v>
      </c>
      <c r="B484" s="42">
        <v>-100000</v>
      </c>
      <c r="C484" s="45">
        <v>-16875000</v>
      </c>
      <c r="D484" s="45">
        <v>-3788438</v>
      </c>
      <c r="E484" s="45">
        <v>0</v>
      </c>
      <c r="F484" s="45">
        <v>-18750000</v>
      </c>
      <c r="G484" s="15">
        <f t="shared" si="129"/>
        <v>-39413438</v>
      </c>
      <c r="H484" s="16"/>
      <c r="I484" s="26"/>
      <c r="J484" s="25"/>
      <c r="K484" s="26"/>
      <c r="L484" s="26"/>
      <c r="M484" s="25"/>
      <c r="N484" s="25"/>
      <c r="O484" s="25"/>
      <c r="P484" s="25"/>
      <c r="Q484" s="25"/>
      <c r="R484" s="27">
        <f t="shared" si="130"/>
        <v>-39413438</v>
      </c>
      <c r="T484" s="1"/>
    </row>
    <row r="485" spans="1:22" x14ac:dyDescent="0.25">
      <c r="A485" s="20" t="s">
        <v>21</v>
      </c>
      <c r="B485" s="42"/>
      <c r="C485" s="45"/>
      <c r="D485" s="45"/>
      <c r="E485" s="45"/>
      <c r="F485" s="45"/>
      <c r="G485" s="15">
        <f t="shared" si="129"/>
        <v>0</v>
      </c>
      <c r="H485" s="16"/>
      <c r="I485" s="26"/>
      <c r="J485" s="25"/>
      <c r="K485" s="26"/>
      <c r="L485" s="26"/>
      <c r="M485" s="25"/>
      <c r="N485" s="25"/>
      <c r="O485" s="25"/>
      <c r="P485" s="25"/>
      <c r="Q485" s="25"/>
      <c r="R485" s="27">
        <f t="shared" si="130"/>
        <v>0</v>
      </c>
      <c r="T485" s="1"/>
    </row>
    <row r="486" spans="1:22" x14ac:dyDescent="0.25">
      <c r="A486" s="20" t="s">
        <v>22</v>
      </c>
      <c r="B486" s="42"/>
      <c r="C486" s="45"/>
      <c r="D486" s="45"/>
      <c r="E486" s="45"/>
      <c r="F486" s="45"/>
      <c r="G486" s="15">
        <f t="shared" si="129"/>
        <v>0</v>
      </c>
      <c r="H486" s="16"/>
      <c r="I486" s="26"/>
      <c r="J486" s="25"/>
      <c r="K486" s="26"/>
      <c r="L486" s="26"/>
      <c r="M486" s="25"/>
      <c r="N486" s="25"/>
      <c r="O486" s="25"/>
      <c r="P486" s="25"/>
      <c r="Q486" s="25"/>
      <c r="R486" s="27">
        <f t="shared" si="130"/>
        <v>0</v>
      </c>
      <c r="T486" s="1"/>
      <c r="V486" s="1"/>
    </row>
    <row r="487" spans="1:22" x14ac:dyDescent="0.25">
      <c r="A487" s="20" t="s">
        <v>23</v>
      </c>
      <c r="B487" s="42"/>
      <c r="C487" s="45"/>
      <c r="D487" s="45"/>
      <c r="E487" s="45"/>
      <c r="F487" s="45"/>
      <c r="G487" s="15">
        <f t="shared" si="129"/>
        <v>0</v>
      </c>
      <c r="H487" s="16"/>
      <c r="I487" s="26"/>
      <c r="J487" s="25"/>
      <c r="K487" s="26"/>
      <c r="L487" s="26"/>
      <c r="M487" s="25"/>
      <c r="N487" s="25"/>
      <c r="O487" s="25"/>
      <c r="P487" s="25"/>
      <c r="Q487" s="25"/>
      <c r="R487" s="27">
        <f t="shared" si="130"/>
        <v>0</v>
      </c>
      <c r="T487" s="1"/>
      <c r="V487" s="1"/>
    </row>
    <row r="488" spans="1:22" x14ac:dyDescent="0.25">
      <c r="A488" s="20" t="s">
        <v>24</v>
      </c>
      <c r="B488" s="42"/>
      <c r="C488" s="45"/>
      <c r="D488" s="45"/>
      <c r="E488" s="45"/>
      <c r="F488" s="45"/>
      <c r="G488" s="15">
        <f t="shared" si="129"/>
        <v>0</v>
      </c>
      <c r="H488" s="16"/>
      <c r="I488" s="26"/>
      <c r="J488" s="25"/>
      <c r="K488" s="26"/>
      <c r="L488" s="26"/>
      <c r="M488" s="25"/>
      <c r="N488" s="25"/>
      <c r="O488" s="25"/>
      <c r="P488" s="25"/>
      <c r="Q488" s="25"/>
      <c r="R488" s="27">
        <f t="shared" si="130"/>
        <v>0</v>
      </c>
      <c r="T488" s="1"/>
    </row>
    <row r="489" spans="1:22" x14ac:dyDescent="0.25">
      <c r="A489" s="20" t="s">
        <v>25</v>
      </c>
      <c r="B489" s="42"/>
      <c r="C489" s="45"/>
      <c r="D489" s="45"/>
      <c r="E489" s="45"/>
      <c r="F489" s="45"/>
      <c r="G489" s="15">
        <f t="shared" si="129"/>
        <v>0</v>
      </c>
      <c r="H489" s="16"/>
      <c r="I489" s="26"/>
      <c r="J489" s="25"/>
      <c r="K489" s="26"/>
      <c r="L489" s="26"/>
      <c r="M489" s="25"/>
      <c r="N489" s="25"/>
      <c r="O489" s="25"/>
      <c r="P489" s="25"/>
      <c r="Q489" s="25"/>
      <c r="R489" s="27">
        <f t="shared" si="130"/>
        <v>0</v>
      </c>
      <c r="T489" s="1"/>
    </row>
    <row r="490" spans="1:22" x14ac:dyDescent="0.25">
      <c r="A490" s="20" t="s">
        <v>26</v>
      </c>
      <c r="B490" s="42"/>
      <c r="C490" s="45"/>
      <c r="D490" s="45"/>
      <c r="E490" s="45"/>
      <c r="F490" s="45"/>
      <c r="G490" s="15">
        <f t="shared" si="129"/>
        <v>0</v>
      </c>
      <c r="H490" s="16"/>
      <c r="I490" s="26"/>
      <c r="J490" s="25"/>
      <c r="K490" s="26"/>
      <c r="L490" s="26"/>
      <c r="M490" s="25"/>
      <c r="N490" s="25"/>
      <c r="O490" s="25"/>
      <c r="P490" s="25"/>
      <c r="Q490" s="25"/>
      <c r="R490" s="27">
        <f t="shared" si="130"/>
        <v>0</v>
      </c>
    </row>
    <row r="491" spans="1:22" ht="15.75" thickBot="1" x14ac:dyDescent="0.3">
      <c r="A491" s="12" t="s">
        <v>15</v>
      </c>
      <c r="B491" s="44"/>
      <c r="C491" s="45"/>
      <c r="D491" s="45"/>
      <c r="E491" s="45"/>
      <c r="F491" s="45"/>
      <c r="G491" s="15">
        <f t="shared" si="129"/>
        <v>0</v>
      </c>
      <c r="H491" s="16"/>
      <c r="I491" s="26"/>
      <c r="J491" s="25"/>
      <c r="K491" s="26"/>
      <c r="L491" s="26"/>
      <c r="M491" s="25"/>
      <c r="N491" s="25"/>
      <c r="O491" s="25"/>
      <c r="P491" s="25"/>
      <c r="Q491" s="25"/>
      <c r="R491" s="27">
        <f t="shared" si="130"/>
        <v>0</v>
      </c>
      <c r="T491" s="1"/>
    </row>
    <row r="492" spans="1:22" ht="15.75" thickBot="1" x14ac:dyDescent="0.3">
      <c r="A492" s="29" t="s">
        <v>0</v>
      </c>
      <c r="B492" s="30">
        <f t="shared" ref="B492:F492" si="131">SUM(B479:B491)</f>
        <v>0</v>
      </c>
      <c r="C492" s="30">
        <f t="shared" si="131"/>
        <v>0</v>
      </c>
      <c r="D492" s="30">
        <f t="shared" si="131"/>
        <v>0</v>
      </c>
      <c r="E492" s="30">
        <f t="shared" si="131"/>
        <v>0</v>
      </c>
      <c r="F492" s="30">
        <f t="shared" si="131"/>
        <v>0</v>
      </c>
      <c r="G492" s="15">
        <f t="shared" ref="G492" si="132">SUM(B492:F492)</f>
        <v>0</v>
      </c>
      <c r="H492" s="32"/>
      <c r="I492" s="71" t="s">
        <v>27</v>
      </c>
      <c r="J492" s="72"/>
      <c r="K492" s="33">
        <f>SUM(K479:K491)</f>
        <v>0</v>
      </c>
      <c r="L492" s="34"/>
      <c r="M492" s="71" t="s">
        <v>28</v>
      </c>
      <c r="N492" s="73"/>
      <c r="O492" s="72"/>
      <c r="P492" s="33">
        <f>SUM(P479:P491)</f>
        <v>0</v>
      </c>
      <c r="Q492" s="34"/>
      <c r="R492" s="35"/>
      <c r="T492" s="1"/>
    </row>
    <row r="493" spans="1:22" s="36" customFormat="1" ht="15.75" thickBot="1" x14ac:dyDescent="0.3">
      <c r="C493" s="37"/>
      <c r="D493" s="37"/>
      <c r="F493" s="38"/>
      <c r="G493" s="38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T493" s="40"/>
    </row>
    <row r="494" spans="1:22" ht="15.75" customHeight="1" thickBot="1" x14ac:dyDescent="0.3">
      <c r="A494" s="2">
        <f>A477+1</f>
        <v>30</v>
      </c>
      <c r="B494" s="74" t="str">
        <f>VLOOKUP(A494,NAMA,2)</f>
        <v>ANDI NS</v>
      </c>
      <c r="C494" s="75"/>
      <c r="D494" s="75"/>
      <c r="E494" s="75"/>
      <c r="F494" s="76"/>
      <c r="G494" s="3" t="s">
        <v>0</v>
      </c>
      <c r="H494" s="77" t="s">
        <v>1</v>
      </c>
      <c r="I494" s="78"/>
      <c r="J494" s="78"/>
      <c r="K494" s="78"/>
      <c r="L494" s="79"/>
      <c r="M494" s="80" t="s">
        <v>2</v>
      </c>
      <c r="N494" s="78"/>
      <c r="O494" s="78"/>
      <c r="P494" s="78"/>
      <c r="Q494" s="79"/>
      <c r="R494" s="69" t="s">
        <v>29</v>
      </c>
      <c r="T494" s="1"/>
    </row>
    <row r="495" spans="1:22" x14ac:dyDescent="0.25">
      <c r="A495" s="4" t="s">
        <v>4</v>
      </c>
      <c r="B495" s="5" t="s">
        <v>5</v>
      </c>
      <c r="C495" s="6" t="s">
        <v>6</v>
      </c>
      <c r="D495" s="6" t="s">
        <v>7</v>
      </c>
      <c r="E495" s="5" t="s">
        <v>8</v>
      </c>
      <c r="F495" s="5" t="s">
        <v>9</v>
      </c>
      <c r="G495" s="7" t="s">
        <v>10</v>
      </c>
      <c r="H495" s="8" t="s">
        <v>11</v>
      </c>
      <c r="I495" s="9" t="s">
        <v>0</v>
      </c>
      <c r="J495" s="9" t="s">
        <v>12</v>
      </c>
      <c r="K495" s="9" t="s">
        <v>13</v>
      </c>
      <c r="L495" s="10" t="s">
        <v>14</v>
      </c>
      <c r="M495" s="9" t="s">
        <v>11</v>
      </c>
      <c r="N495" s="9" t="s">
        <v>0</v>
      </c>
      <c r="O495" s="9" t="s">
        <v>12</v>
      </c>
      <c r="P495" s="9" t="s">
        <v>13</v>
      </c>
      <c r="Q495" s="10" t="s">
        <v>14</v>
      </c>
      <c r="R495" s="70"/>
      <c r="S495" s="11"/>
      <c r="T495" s="1"/>
    </row>
    <row r="496" spans="1:22" x14ac:dyDescent="0.25">
      <c r="A496" s="12" t="s">
        <v>15</v>
      </c>
      <c r="B496" s="41">
        <v>100000</v>
      </c>
      <c r="C496" s="41">
        <v>3625000</v>
      </c>
      <c r="D496" s="41">
        <v>760500</v>
      </c>
      <c r="E496" s="41">
        <v>400000</v>
      </c>
      <c r="F496" s="41">
        <v>0</v>
      </c>
      <c r="G496" s="15">
        <f t="shared" ref="G496" si="133">SUM(B496:F496)</f>
        <v>4885500</v>
      </c>
      <c r="H496" s="16"/>
      <c r="I496" s="17"/>
      <c r="J496" s="18">
        <f>[2]krnmei!$J$508</f>
        <v>36971000</v>
      </c>
      <c r="K496" s="17"/>
      <c r="L496" s="17"/>
      <c r="M496" s="17"/>
      <c r="N496" s="17"/>
      <c r="O496" s="17"/>
      <c r="P496" s="17"/>
      <c r="Q496" s="17"/>
      <c r="R496" s="19"/>
      <c r="T496" s="1"/>
    </row>
    <row r="497" spans="1:22" x14ac:dyDescent="0.25">
      <c r="A497" s="20" t="s">
        <v>16</v>
      </c>
      <c r="B497" s="42"/>
      <c r="C497" s="43">
        <v>100000</v>
      </c>
      <c r="D497" s="43">
        <v>10000</v>
      </c>
      <c r="E497" s="43">
        <v>50000</v>
      </c>
      <c r="F497" s="43">
        <v>0</v>
      </c>
      <c r="G497" s="15">
        <f t="shared" ref="G497:G508" si="134">C497+D497+E497+F497</f>
        <v>160000</v>
      </c>
      <c r="H497" s="16">
        <v>13</v>
      </c>
      <c r="I497" s="26">
        <v>150000</v>
      </c>
      <c r="J497" s="25">
        <f t="shared" ref="J497:J508" si="135">J496-I497</f>
        <v>36821000</v>
      </c>
      <c r="K497" s="26">
        <f t="shared" ref="K497:K508" si="136">0.015*J496</f>
        <v>554565</v>
      </c>
      <c r="L497" s="26"/>
      <c r="M497" s="25"/>
      <c r="N497" s="25"/>
      <c r="O497" s="25"/>
      <c r="P497" s="25"/>
      <c r="Q497" s="25"/>
      <c r="R497" s="27">
        <f t="shared" ref="R497:R498" si="137">G497+I497+K497+O497</f>
        <v>864565</v>
      </c>
      <c r="T497" s="1"/>
    </row>
    <row r="498" spans="1:22" x14ac:dyDescent="0.25">
      <c r="A498" s="20" t="s">
        <v>17</v>
      </c>
      <c r="B498" s="42"/>
      <c r="C498" s="43">
        <v>100000</v>
      </c>
      <c r="D498" s="43">
        <v>10000</v>
      </c>
      <c r="E498" s="43">
        <v>50000</v>
      </c>
      <c r="F498" s="43">
        <v>0</v>
      </c>
      <c r="G498" s="15">
        <f t="shared" si="134"/>
        <v>160000</v>
      </c>
      <c r="H498" s="16">
        <v>14</v>
      </c>
      <c r="I498" s="26">
        <v>150000</v>
      </c>
      <c r="J498" s="25">
        <f t="shared" si="135"/>
        <v>36671000</v>
      </c>
      <c r="K498" s="26">
        <f t="shared" si="136"/>
        <v>552315</v>
      </c>
      <c r="L498" s="26"/>
      <c r="M498" s="25"/>
      <c r="N498" s="25"/>
      <c r="O498" s="25"/>
      <c r="P498" s="25"/>
      <c r="Q498" s="25"/>
      <c r="R498" s="27">
        <f t="shared" si="137"/>
        <v>862315</v>
      </c>
      <c r="T498" s="1"/>
      <c r="V498" s="1"/>
    </row>
    <row r="499" spans="1:22" x14ac:dyDescent="0.25">
      <c r="A499" s="20" t="s">
        <v>18</v>
      </c>
      <c r="B499" s="42"/>
      <c r="C499" s="43">
        <v>100000</v>
      </c>
      <c r="D499" s="43">
        <v>10000</v>
      </c>
      <c r="E499" s="43">
        <v>50000</v>
      </c>
      <c r="F499" s="43">
        <v>0</v>
      </c>
      <c r="G499" s="15">
        <f t="shared" si="134"/>
        <v>160000</v>
      </c>
      <c r="H499" s="16">
        <v>15</v>
      </c>
      <c r="I499" s="26">
        <v>150000</v>
      </c>
      <c r="J499" s="25">
        <f t="shared" si="135"/>
        <v>36521000</v>
      </c>
      <c r="K499" s="26">
        <f t="shared" si="136"/>
        <v>550065</v>
      </c>
      <c r="L499" s="26"/>
      <c r="M499" s="25"/>
      <c r="N499" s="25"/>
      <c r="O499" s="25"/>
      <c r="P499" s="25"/>
      <c r="Q499" s="25"/>
      <c r="R499" s="27">
        <f>G499+I499+K499+O499</f>
        <v>860065</v>
      </c>
      <c r="T499" s="1"/>
    </row>
    <row r="500" spans="1:22" x14ac:dyDescent="0.25">
      <c r="A500" s="20" t="s">
        <v>19</v>
      </c>
      <c r="B500" s="42"/>
      <c r="C500" s="43">
        <v>100000</v>
      </c>
      <c r="D500" s="43">
        <v>10000</v>
      </c>
      <c r="E500" s="43">
        <v>-550000</v>
      </c>
      <c r="F500" s="43">
        <v>0</v>
      </c>
      <c r="G500" s="15">
        <f t="shared" si="134"/>
        <v>-440000</v>
      </c>
      <c r="H500" s="16">
        <v>16</v>
      </c>
      <c r="I500" s="26">
        <v>150000</v>
      </c>
      <c r="J500" s="25">
        <f t="shared" si="135"/>
        <v>36371000</v>
      </c>
      <c r="K500" s="26">
        <f t="shared" si="136"/>
        <v>547815</v>
      </c>
      <c r="L500" s="26"/>
      <c r="M500" s="25"/>
      <c r="N500" s="25"/>
      <c r="O500" s="25"/>
      <c r="P500" s="25"/>
      <c r="Q500" s="25"/>
      <c r="R500" s="27">
        <f t="shared" ref="R500:R504" si="138">G500+I500+K500+O500</f>
        <v>257815</v>
      </c>
      <c r="T500" s="1"/>
    </row>
    <row r="501" spans="1:22" x14ac:dyDescent="0.25">
      <c r="A501" s="20" t="s">
        <v>20</v>
      </c>
      <c r="B501" s="42"/>
      <c r="C501" s="43">
        <v>100000</v>
      </c>
      <c r="D501" s="43">
        <v>10000</v>
      </c>
      <c r="E501" s="43">
        <v>50000</v>
      </c>
      <c r="F501" s="43">
        <v>0</v>
      </c>
      <c r="G501" s="15">
        <f t="shared" si="134"/>
        <v>160000</v>
      </c>
      <c r="H501" s="16">
        <v>17</v>
      </c>
      <c r="I501" s="26">
        <v>150000</v>
      </c>
      <c r="J501" s="25">
        <f t="shared" si="135"/>
        <v>36221000</v>
      </c>
      <c r="K501" s="26">
        <f t="shared" si="136"/>
        <v>545565</v>
      </c>
      <c r="L501" s="26"/>
      <c r="M501" s="25"/>
      <c r="N501" s="25"/>
      <c r="O501" s="25"/>
      <c r="P501" s="25"/>
      <c r="Q501" s="25"/>
      <c r="R501" s="27">
        <f t="shared" si="138"/>
        <v>855565</v>
      </c>
      <c r="T501" s="1"/>
    </row>
    <row r="502" spans="1:22" x14ac:dyDescent="0.25">
      <c r="A502" s="20" t="s">
        <v>21</v>
      </c>
      <c r="B502" s="42"/>
      <c r="C502" s="43">
        <v>100000</v>
      </c>
      <c r="D502" s="43">
        <v>10000</v>
      </c>
      <c r="E502" s="43">
        <v>50000</v>
      </c>
      <c r="F502" s="43">
        <v>0</v>
      </c>
      <c r="G502" s="15">
        <f t="shared" si="134"/>
        <v>160000</v>
      </c>
      <c r="H502" s="16">
        <v>18</v>
      </c>
      <c r="I502" s="26">
        <v>150000</v>
      </c>
      <c r="J502" s="25">
        <f t="shared" si="135"/>
        <v>36071000</v>
      </c>
      <c r="K502" s="26">
        <f t="shared" si="136"/>
        <v>543315</v>
      </c>
      <c r="L502" s="26"/>
      <c r="M502" s="25"/>
      <c r="N502" s="25"/>
      <c r="O502" s="25"/>
      <c r="P502" s="25"/>
      <c r="Q502" s="25"/>
      <c r="R502" s="27">
        <f t="shared" si="138"/>
        <v>853315</v>
      </c>
      <c r="T502" s="1"/>
    </row>
    <row r="503" spans="1:22" x14ac:dyDescent="0.25">
      <c r="A503" s="20" t="s">
        <v>22</v>
      </c>
      <c r="B503" s="42"/>
      <c r="C503" s="43">
        <v>100000</v>
      </c>
      <c r="D503" s="43">
        <v>10000</v>
      </c>
      <c r="E503" s="43">
        <v>50000</v>
      </c>
      <c r="F503" s="43">
        <v>0</v>
      </c>
      <c r="G503" s="15">
        <f t="shared" si="134"/>
        <v>160000</v>
      </c>
      <c r="H503" s="16">
        <v>19</v>
      </c>
      <c r="I503" s="26">
        <v>150000</v>
      </c>
      <c r="J503" s="25">
        <f t="shared" si="135"/>
        <v>35921000</v>
      </c>
      <c r="K503" s="26">
        <f t="shared" si="136"/>
        <v>541065</v>
      </c>
      <c r="L503" s="26"/>
      <c r="M503" s="25"/>
      <c r="N503" s="25"/>
      <c r="O503" s="25"/>
      <c r="P503" s="25"/>
      <c r="Q503" s="25"/>
      <c r="R503" s="27">
        <f t="shared" si="138"/>
        <v>851065</v>
      </c>
      <c r="T503" s="1"/>
      <c r="V503" s="1"/>
    </row>
    <row r="504" spans="1:22" x14ac:dyDescent="0.25">
      <c r="A504" s="20" t="s">
        <v>23</v>
      </c>
      <c r="B504" s="42"/>
      <c r="C504" s="43">
        <v>100000</v>
      </c>
      <c r="D504" s="43">
        <v>10000</v>
      </c>
      <c r="E504" s="43">
        <v>50000</v>
      </c>
      <c r="F504" s="43">
        <v>0</v>
      </c>
      <c r="G504" s="15">
        <f t="shared" si="134"/>
        <v>160000</v>
      </c>
      <c r="H504" s="16">
        <v>20</v>
      </c>
      <c r="I504" s="26">
        <v>150000</v>
      </c>
      <c r="J504" s="25">
        <f t="shared" si="135"/>
        <v>35771000</v>
      </c>
      <c r="K504" s="26">
        <f t="shared" si="136"/>
        <v>538815</v>
      </c>
      <c r="L504" s="26"/>
      <c r="M504" s="25"/>
      <c r="N504" s="25"/>
      <c r="O504" s="25"/>
      <c r="P504" s="25"/>
      <c r="Q504" s="25"/>
      <c r="R504" s="27">
        <f t="shared" si="138"/>
        <v>848815</v>
      </c>
      <c r="T504" s="1"/>
      <c r="V504" s="1"/>
    </row>
    <row r="505" spans="1:22" x14ac:dyDescent="0.25">
      <c r="A505" s="20" t="s">
        <v>24</v>
      </c>
      <c r="B505" s="42"/>
      <c r="C505" s="43">
        <v>100000</v>
      </c>
      <c r="D505" s="43">
        <v>10000</v>
      </c>
      <c r="E505" s="43">
        <v>50000</v>
      </c>
      <c r="F505" s="43">
        <v>0</v>
      </c>
      <c r="G505" s="15">
        <f t="shared" si="134"/>
        <v>160000</v>
      </c>
      <c r="H505" s="16">
        <v>21</v>
      </c>
      <c r="I505" s="26">
        <v>150000</v>
      </c>
      <c r="J505" s="25">
        <f t="shared" si="135"/>
        <v>35621000</v>
      </c>
      <c r="K505" s="26">
        <f t="shared" si="136"/>
        <v>536565</v>
      </c>
      <c r="L505" s="26"/>
      <c r="M505" s="25"/>
      <c r="N505" s="25"/>
      <c r="O505" s="25"/>
      <c r="P505" s="25"/>
      <c r="Q505" s="25"/>
      <c r="R505" s="27">
        <f>G505+I505+K505+P505</f>
        <v>846565</v>
      </c>
      <c r="T505" s="1"/>
    </row>
    <row r="506" spans="1:22" x14ac:dyDescent="0.25">
      <c r="A506" s="20" t="s">
        <v>25</v>
      </c>
      <c r="B506" s="42"/>
      <c r="C506" s="43">
        <v>100000</v>
      </c>
      <c r="D506" s="43">
        <v>10000</v>
      </c>
      <c r="E506" s="43">
        <v>50000</v>
      </c>
      <c r="F506" s="43">
        <v>0</v>
      </c>
      <c r="G506" s="15">
        <f t="shared" si="134"/>
        <v>160000</v>
      </c>
      <c r="H506" s="16">
        <v>22</v>
      </c>
      <c r="I506" s="26">
        <v>150000</v>
      </c>
      <c r="J506" s="25">
        <f t="shared" si="135"/>
        <v>35471000</v>
      </c>
      <c r="K506" s="26">
        <f t="shared" si="136"/>
        <v>534315</v>
      </c>
      <c r="L506" s="26"/>
      <c r="M506" s="25"/>
      <c r="N506" s="25"/>
      <c r="O506" s="25"/>
      <c r="P506" s="25"/>
      <c r="Q506" s="25"/>
      <c r="R506" s="27">
        <f t="shared" ref="R506:R508" si="139">G506+I506+K506+P506</f>
        <v>844315</v>
      </c>
      <c r="T506" s="1"/>
    </row>
    <row r="507" spans="1:22" x14ac:dyDescent="0.25">
      <c r="A507" s="20" t="s">
        <v>26</v>
      </c>
      <c r="B507" s="42"/>
      <c r="C507" s="43">
        <v>100000</v>
      </c>
      <c r="D507" s="43">
        <v>10000</v>
      </c>
      <c r="E507" s="43">
        <v>50000</v>
      </c>
      <c r="F507" s="43">
        <v>0</v>
      </c>
      <c r="G507" s="15">
        <f t="shared" si="134"/>
        <v>160000</v>
      </c>
      <c r="H507" s="16">
        <v>23</v>
      </c>
      <c r="I507" s="26">
        <v>150000</v>
      </c>
      <c r="J507" s="25">
        <f t="shared" si="135"/>
        <v>35321000</v>
      </c>
      <c r="K507" s="26">
        <f t="shared" si="136"/>
        <v>532065</v>
      </c>
      <c r="L507" s="26"/>
      <c r="M507" s="25"/>
      <c r="N507" s="25"/>
      <c r="O507" s="25"/>
      <c r="P507" s="25"/>
      <c r="Q507" s="25"/>
      <c r="R507" s="27">
        <f t="shared" si="139"/>
        <v>842065</v>
      </c>
    </row>
    <row r="508" spans="1:22" ht="15.75" thickBot="1" x14ac:dyDescent="0.3">
      <c r="A508" s="12" t="s">
        <v>15</v>
      </c>
      <c r="B508" s="44"/>
      <c r="C508" s="43">
        <v>100000</v>
      </c>
      <c r="D508" s="43">
        <v>10000</v>
      </c>
      <c r="E508" s="43">
        <v>50000</v>
      </c>
      <c r="F508" s="43">
        <v>0</v>
      </c>
      <c r="G508" s="15">
        <f t="shared" si="134"/>
        <v>160000</v>
      </c>
      <c r="H508" s="16">
        <v>24</v>
      </c>
      <c r="I508" s="26">
        <v>150000</v>
      </c>
      <c r="J508" s="25">
        <f t="shared" si="135"/>
        <v>35171000</v>
      </c>
      <c r="K508" s="26">
        <f t="shared" si="136"/>
        <v>529815</v>
      </c>
      <c r="L508" s="26"/>
      <c r="M508" s="25"/>
      <c r="N508" s="25"/>
      <c r="O508" s="25"/>
      <c r="P508" s="25"/>
      <c r="Q508" s="25"/>
      <c r="R508" s="27">
        <f t="shared" si="139"/>
        <v>839815</v>
      </c>
      <c r="T508" s="1"/>
    </row>
    <row r="509" spans="1:22" ht="15.75" thickBot="1" x14ac:dyDescent="0.3">
      <c r="A509" s="29" t="s">
        <v>0</v>
      </c>
      <c r="B509" s="30">
        <f t="shared" ref="B509:G509" si="140">SUM(B496:B508)</f>
        <v>100000</v>
      </c>
      <c r="C509" s="30">
        <f t="shared" si="140"/>
        <v>4825000</v>
      </c>
      <c r="D509" s="30">
        <f t="shared" si="140"/>
        <v>880500</v>
      </c>
      <c r="E509" s="30">
        <f t="shared" si="140"/>
        <v>400000</v>
      </c>
      <c r="F509" s="30">
        <f t="shared" si="140"/>
        <v>0</v>
      </c>
      <c r="G509" s="31">
        <f t="shared" si="140"/>
        <v>6205500</v>
      </c>
      <c r="H509" s="32"/>
      <c r="I509" s="71" t="s">
        <v>27</v>
      </c>
      <c r="J509" s="72"/>
      <c r="K509" s="33">
        <f>SUM(K496:K508)</f>
        <v>6506280</v>
      </c>
      <c r="L509" s="34"/>
      <c r="M509" s="62" t="s">
        <v>28</v>
      </c>
      <c r="N509" s="63"/>
      <c r="O509" s="33"/>
      <c r="P509" s="33">
        <f>SUM(P496:P508)</f>
        <v>0</v>
      </c>
      <c r="Q509" s="34"/>
      <c r="R509" s="35" t="s">
        <v>35</v>
      </c>
      <c r="T509" s="1"/>
    </row>
    <row r="510" spans="1:22" s="36" customFormat="1" ht="15.75" thickBot="1" x14ac:dyDescent="0.3">
      <c r="C510" s="37"/>
      <c r="D510" s="37"/>
      <c r="F510" s="38"/>
      <c r="G510" s="38"/>
      <c r="H510" s="39" t="s">
        <v>35</v>
      </c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T510" s="40"/>
    </row>
    <row r="511" spans="1:22" ht="15.75" customHeight="1" thickBot="1" x14ac:dyDescent="0.3">
      <c r="A511" s="2">
        <f>A494+1</f>
        <v>31</v>
      </c>
      <c r="B511" s="74" t="str">
        <f>VLOOKUP(A511,NAMA,2)</f>
        <v>RAHAYU SAPTO., SPd</v>
      </c>
      <c r="C511" s="75"/>
      <c r="D511" s="75"/>
      <c r="E511" s="75"/>
      <c r="F511" s="76"/>
      <c r="G511" s="3" t="s">
        <v>0</v>
      </c>
      <c r="H511" s="77" t="s">
        <v>1</v>
      </c>
      <c r="I511" s="78"/>
      <c r="J511" s="78"/>
      <c r="K511" s="78"/>
      <c r="L511" s="79"/>
      <c r="M511" s="80" t="s">
        <v>2</v>
      </c>
      <c r="N511" s="78"/>
      <c r="O511" s="78"/>
      <c r="P511" s="78"/>
      <c r="Q511" s="79"/>
      <c r="R511" s="69" t="s">
        <v>29</v>
      </c>
      <c r="T511" s="1"/>
    </row>
    <row r="512" spans="1:22" x14ac:dyDescent="0.25">
      <c r="A512" s="4" t="s">
        <v>4</v>
      </c>
      <c r="B512" s="5" t="s">
        <v>5</v>
      </c>
      <c r="C512" s="6" t="s">
        <v>6</v>
      </c>
      <c r="D512" s="6" t="s">
        <v>7</v>
      </c>
      <c r="E512" s="5" t="s">
        <v>8</v>
      </c>
      <c r="F512" s="5" t="s">
        <v>9</v>
      </c>
      <c r="G512" s="7" t="s">
        <v>10</v>
      </c>
      <c r="H512" s="8" t="s">
        <v>11</v>
      </c>
      <c r="I512" s="9" t="s">
        <v>0</v>
      </c>
      <c r="J512" s="9" t="s">
        <v>12</v>
      </c>
      <c r="K512" s="9" t="s">
        <v>13</v>
      </c>
      <c r="L512" s="10" t="s">
        <v>14</v>
      </c>
      <c r="M512" s="9" t="s">
        <v>11</v>
      </c>
      <c r="N512" s="9" t="s">
        <v>0</v>
      </c>
      <c r="O512" s="9" t="s">
        <v>12</v>
      </c>
      <c r="P512" s="9" t="s">
        <v>13</v>
      </c>
      <c r="Q512" s="10" t="s">
        <v>14</v>
      </c>
      <c r="R512" s="70"/>
      <c r="S512" s="11"/>
      <c r="T512" s="1"/>
    </row>
    <row r="513" spans="1:22" x14ac:dyDescent="0.25">
      <c r="A513" s="12" t="s">
        <v>15</v>
      </c>
      <c r="B513" s="41">
        <v>100000</v>
      </c>
      <c r="C513" s="41">
        <v>5422000</v>
      </c>
      <c r="D513" s="41">
        <v>1088662</v>
      </c>
      <c r="E513" s="41">
        <v>800000</v>
      </c>
      <c r="F513" s="41">
        <v>0</v>
      </c>
      <c r="G513" s="15">
        <f t="shared" ref="G513" si="141">SUM(B513:F513)</f>
        <v>7410662</v>
      </c>
      <c r="H513" s="16"/>
      <c r="I513" s="17"/>
      <c r="J513" s="26">
        <v>26600000</v>
      </c>
      <c r="K513" s="17"/>
      <c r="L513" s="17"/>
      <c r="M513" s="17"/>
      <c r="N513" s="17"/>
      <c r="O513" s="17"/>
      <c r="P513" s="17"/>
      <c r="Q513" s="17"/>
      <c r="R513" s="19"/>
      <c r="T513" s="1"/>
    </row>
    <row r="514" spans="1:22" x14ac:dyDescent="0.25">
      <c r="A514" s="20" t="s">
        <v>16</v>
      </c>
      <c r="B514" s="42"/>
      <c r="C514" s="45">
        <v>100000</v>
      </c>
      <c r="D514" s="45">
        <v>5000</v>
      </c>
      <c r="E514" s="45">
        <v>100000</v>
      </c>
      <c r="F514" s="41">
        <v>0</v>
      </c>
      <c r="G514" s="15">
        <f>C514+D514+E514+F514+B514</f>
        <v>205000</v>
      </c>
      <c r="H514" s="16">
        <v>14</v>
      </c>
      <c r="I514" s="26">
        <v>400000</v>
      </c>
      <c r="J514" s="26">
        <f t="shared" ref="J514:J525" si="142">J513-I514</f>
        <v>26200000</v>
      </c>
      <c r="K514" s="26">
        <f t="shared" ref="K514:K525" si="143">0.015*J513</f>
        <v>399000</v>
      </c>
      <c r="L514" s="26"/>
      <c r="M514" s="25"/>
      <c r="N514" s="25"/>
      <c r="O514" s="17"/>
      <c r="P514" s="26"/>
      <c r="Q514" s="25"/>
      <c r="R514" s="27">
        <f>K514+I514+G514</f>
        <v>1004000</v>
      </c>
      <c r="T514" s="1"/>
    </row>
    <row r="515" spans="1:22" x14ac:dyDescent="0.25">
      <c r="A515" s="20" t="s">
        <v>17</v>
      </c>
      <c r="B515" s="42"/>
      <c r="C515" s="45">
        <v>100000</v>
      </c>
      <c r="D515" s="45">
        <v>5000</v>
      </c>
      <c r="E515" s="45">
        <v>-1100000</v>
      </c>
      <c r="F515" s="41">
        <v>0</v>
      </c>
      <c r="G515" s="15">
        <f>C515+D515+E515+F515+B515</f>
        <v>-995000</v>
      </c>
      <c r="H515" s="16">
        <v>15</v>
      </c>
      <c r="I515" s="26">
        <v>400000</v>
      </c>
      <c r="J515" s="26">
        <f t="shared" si="142"/>
        <v>25800000</v>
      </c>
      <c r="K515" s="26">
        <f t="shared" si="143"/>
        <v>393000</v>
      </c>
      <c r="L515" s="26"/>
      <c r="M515" s="25"/>
      <c r="N515" s="27"/>
      <c r="O515" s="17"/>
      <c r="P515" s="26"/>
      <c r="Q515" s="25"/>
      <c r="R515" s="27">
        <f>K515+I515+G515</f>
        <v>-202000</v>
      </c>
      <c r="T515" s="1"/>
      <c r="V515" s="1"/>
    </row>
    <row r="516" spans="1:22" x14ac:dyDescent="0.25">
      <c r="A516" s="20" t="s">
        <v>18</v>
      </c>
      <c r="B516" s="42"/>
      <c r="C516" s="45">
        <v>100000</v>
      </c>
      <c r="D516" s="45">
        <v>5000</v>
      </c>
      <c r="E516" s="45">
        <v>100000</v>
      </c>
      <c r="F516" s="41">
        <v>0</v>
      </c>
      <c r="G516" s="15">
        <f t="shared" ref="G516:G525" si="144">C516+D516+E516+F516+B516</f>
        <v>205000</v>
      </c>
      <c r="H516" s="16">
        <v>16</v>
      </c>
      <c r="I516" s="26">
        <v>400000</v>
      </c>
      <c r="J516" s="26">
        <f t="shared" si="142"/>
        <v>25400000</v>
      </c>
      <c r="K516" s="26">
        <f t="shared" si="143"/>
        <v>387000</v>
      </c>
      <c r="L516" s="26"/>
      <c r="M516" s="25"/>
      <c r="N516" s="25"/>
      <c r="O516" s="25">
        <v>2000000</v>
      </c>
      <c r="P516" s="26">
        <f t="shared" ref="P516:P525" si="145">0.02*O515</f>
        <v>0</v>
      </c>
      <c r="Q516" s="25"/>
      <c r="R516" s="27">
        <f t="shared" ref="R516:R517" si="146">P516+K516+I516+G516</f>
        <v>992000</v>
      </c>
      <c r="T516" s="1"/>
    </row>
    <row r="517" spans="1:22" x14ac:dyDescent="0.25">
      <c r="A517" s="20" t="s">
        <v>19</v>
      </c>
      <c r="B517" s="42"/>
      <c r="C517" s="45">
        <v>100000</v>
      </c>
      <c r="D517" s="45">
        <v>5000</v>
      </c>
      <c r="E517" s="45">
        <v>100000</v>
      </c>
      <c r="F517" s="41">
        <v>0</v>
      </c>
      <c r="G517" s="15">
        <f t="shared" si="144"/>
        <v>205000</v>
      </c>
      <c r="H517" s="16">
        <v>17</v>
      </c>
      <c r="I517" s="26">
        <v>400000</v>
      </c>
      <c r="J517" s="26">
        <f t="shared" si="142"/>
        <v>25000000</v>
      </c>
      <c r="K517" s="26">
        <f t="shared" si="143"/>
        <v>381000</v>
      </c>
      <c r="L517" s="26"/>
      <c r="M517" s="25">
        <v>1</v>
      </c>
      <c r="N517" s="25">
        <v>2000000</v>
      </c>
      <c r="O517" s="25">
        <f>O516-N517</f>
        <v>0</v>
      </c>
      <c r="P517" s="26">
        <v>0</v>
      </c>
      <c r="Q517" s="25"/>
      <c r="R517" s="27">
        <f t="shared" si="146"/>
        <v>986000</v>
      </c>
      <c r="T517" s="1"/>
    </row>
    <row r="518" spans="1:22" x14ac:dyDescent="0.25">
      <c r="A518" s="20" t="s">
        <v>20</v>
      </c>
      <c r="B518" s="42"/>
      <c r="C518" s="45">
        <v>100000</v>
      </c>
      <c r="D518" s="45">
        <v>5000</v>
      </c>
      <c r="E518" s="45">
        <v>100000</v>
      </c>
      <c r="F518" s="41">
        <v>0</v>
      </c>
      <c r="G518" s="15">
        <f t="shared" si="144"/>
        <v>205000</v>
      </c>
      <c r="H518" s="16">
        <v>18</v>
      </c>
      <c r="I518" s="26">
        <v>400000</v>
      </c>
      <c r="J518" s="26">
        <f t="shared" si="142"/>
        <v>24600000</v>
      </c>
      <c r="K518" s="26">
        <f t="shared" si="143"/>
        <v>375000</v>
      </c>
      <c r="L518" s="26"/>
      <c r="M518" s="25"/>
      <c r="N518" s="25"/>
      <c r="O518" s="25"/>
      <c r="P518" s="26">
        <f t="shared" si="145"/>
        <v>0</v>
      </c>
      <c r="Q518" s="25"/>
      <c r="R518" s="27">
        <f t="shared" ref="R518:R525" si="147">P518+K518+I518+G518</f>
        <v>980000</v>
      </c>
      <c r="T518" s="1"/>
    </row>
    <row r="519" spans="1:22" x14ac:dyDescent="0.25">
      <c r="A519" s="20" t="s">
        <v>21</v>
      </c>
      <c r="B519" s="42"/>
      <c r="C519" s="45">
        <v>100000</v>
      </c>
      <c r="D519" s="45">
        <v>5000</v>
      </c>
      <c r="E519" s="45">
        <v>100000</v>
      </c>
      <c r="F519" s="41">
        <v>0</v>
      </c>
      <c r="G519" s="15">
        <f t="shared" si="144"/>
        <v>205000</v>
      </c>
      <c r="H519" s="16">
        <v>19</v>
      </c>
      <c r="I519" s="26">
        <v>400000</v>
      </c>
      <c r="J519" s="26">
        <f t="shared" si="142"/>
        <v>24200000</v>
      </c>
      <c r="K519" s="26">
        <f t="shared" si="143"/>
        <v>369000</v>
      </c>
      <c r="L519" s="26"/>
      <c r="M519" s="25"/>
      <c r="N519" s="25"/>
      <c r="O519" s="25"/>
      <c r="P519" s="26">
        <f t="shared" si="145"/>
        <v>0</v>
      </c>
      <c r="Q519" s="25"/>
      <c r="R519" s="27">
        <f t="shared" si="147"/>
        <v>974000</v>
      </c>
      <c r="T519" s="1"/>
    </row>
    <row r="520" spans="1:22" x14ac:dyDescent="0.25">
      <c r="A520" s="20" t="s">
        <v>22</v>
      </c>
      <c r="B520" s="42"/>
      <c r="C520" s="45">
        <v>100000</v>
      </c>
      <c r="D520" s="45">
        <v>5000</v>
      </c>
      <c r="E520" s="45">
        <v>100000</v>
      </c>
      <c r="F520" s="41">
        <v>0</v>
      </c>
      <c r="G520" s="15">
        <f t="shared" si="144"/>
        <v>205000</v>
      </c>
      <c r="H520" s="16">
        <v>20</v>
      </c>
      <c r="I520" s="26">
        <v>400000</v>
      </c>
      <c r="J520" s="26">
        <f t="shared" si="142"/>
        <v>23800000</v>
      </c>
      <c r="K520" s="26">
        <f t="shared" si="143"/>
        <v>363000</v>
      </c>
      <c r="L520" s="26"/>
      <c r="M520" s="25"/>
      <c r="N520" s="25"/>
      <c r="O520" s="25"/>
      <c r="P520" s="26">
        <f t="shared" si="145"/>
        <v>0</v>
      </c>
      <c r="Q520" s="25"/>
      <c r="R520" s="27">
        <f t="shared" si="147"/>
        <v>968000</v>
      </c>
      <c r="T520" s="1"/>
      <c r="V520" s="1"/>
    </row>
    <row r="521" spans="1:22" x14ac:dyDescent="0.25">
      <c r="A521" s="20" t="s">
        <v>23</v>
      </c>
      <c r="B521" s="42"/>
      <c r="C521" s="45">
        <v>100000</v>
      </c>
      <c r="D521" s="45">
        <v>5000</v>
      </c>
      <c r="E521" s="45">
        <v>100000</v>
      </c>
      <c r="F521" s="41">
        <v>0</v>
      </c>
      <c r="G521" s="15">
        <f t="shared" si="144"/>
        <v>205000</v>
      </c>
      <c r="H521" s="16">
        <v>21</v>
      </c>
      <c r="I521" s="26">
        <v>400000</v>
      </c>
      <c r="J521" s="26">
        <f t="shared" si="142"/>
        <v>23400000</v>
      </c>
      <c r="K521" s="26">
        <f t="shared" si="143"/>
        <v>357000</v>
      </c>
      <c r="L521" s="26"/>
      <c r="M521" s="25"/>
      <c r="N521" s="25"/>
      <c r="O521" s="25">
        <v>2000000</v>
      </c>
      <c r="P521" s="26">
        <f t="shared" si="145"/>
        <v>0</v>
      </c>
      <c r="Q521" s="25"/>
      <c r="R521" s="27">
        <f t="shared" si="147"/>
        <v>962000</v>
      </c>
      <c r="T521" s="1"/>
      <c r="V521" s="1"/>
    </row>
    <row r="522" spans="1:22" x14ac:dyDescent="0.25">
      <c r="A522" s="20" t="s">
        <v>24</v>
      </c>
      <c r="B522" s="42"/>
      <c r="C522" s="45">
        <v>100000</v>
      </c>
      <c r="D522" s="45">
        <v>5000</v>
      </c>
      <c r="E522" s="45">
        <v>100000</v>
      </c>
      <c r="F522" s="41">
        <v>0</v>
      </c>
      <c r="G522" s="15">
        <f t="shared" si="144"/>
        <v>205000</v>
      </c>
      <c r="H522" s="16">
        <v>22</v>
      </c>
      <c r="I522" s="26">
        <v>400000</v>
      </c>
      <c r="J522" s="26">
        <f t="shared" si="142"/>
        <v>23000000</v>
      </c>
      <c r="K522" s="26">
        <f t="shared" si="143"/>
        <v>351000</v>
      </c>
      <c r="L522" s="26"/>
      <c r="M522" s="25"/>
      <c r="N522" s="25">
        <v>1000000</v>
      </c>
      <c r="O522" s="25">
        <f>O521+N522</f>
        <v>3000000</v>
      </c>
      <c r="P522" s="26">
        <f t="shared" si="145"/>
        <v>40000</v>
      </c>
      <c r="Q522" s="25"/>
      <c r="R522" s="27">
        <f t="shared" si="147"/>
        <v>996000</v>
      </c>
      <c r="T522" s="1"/>
    </row>
    <row r="523" spans="1:22" x14ac:dyDescent="0.25">
      <c r="A523" s="20" t="s">
        <v>25</v>
      </c>
      <c r="B523" s="42"/>
      <c r="C523" s="45">
        <v>100000</v>
      </c>
      <c r="D523" s="45">
        <v>5000</v>
      </c>
      <c r="E523" s="45">
        <v>100000</v>
      </c>
      <c r="F523" s="41">
        <v>0</v>
      </c>
      <c r="G523" s="15">
        <f t="shared" si="144"/>
        <v>205000</v>
      </c>
      <c r="H523" s="16">
        <v>23</v>
      </c>
      <c r="I523" s="26">
        <v>400000</v>
      </c>
      <c r="J523" s="26">
        <f t="shared" si="142"/>
        <v>22600000</v>
      </c>
      <c r="K523" s="26">
        <f t="shared" si="143"/>
        <v>345000</v>
      </c>
      <c r="L523" s="26"/>
      <c r="M523" s="25"/>
      <c r="N523" s="25">
        <v>0</v>
      </c>
      <c r="O523" s="25">
        <f>O522+N523</f>
        <v>3000000</v>
      </c>
      <c r="P523" s="26">
        <f t="shared" si="145"/>
        <v>60000</v>
      </c>
      <c r="Q523" s="25"/>
      <c r="R523" s="27">
        <f t="shared" si="147"/>
        <v>1010000</v>
      </c>
      <c r="T523" s="1"/>
    </row>
    <row r="524" spans="1:22" x14ac:dyDescent="0.25">
      <c r="A524" s="20" t="s">
        <v>26</v>
      </c>
      <c r="B524" s="42"/>
      <c r="C524" s="45">
        <v>100000</v>
      </c>
      <c r="D524" s="45">
        <v>5000</v>
      </c>
      <c r="E524" s="45">
        <v>100000</v>
      </c>
      <c r="F524" s="41">
        <v>0</v>
      </c>
      <c r="G524" s="15">
        <f t="shared" si="144"/>
        <v>205000</v>
      </c>
      <c r="H524" s="16">
        <v>24</v>
      </c>
      <c r="I524" s="26">
        <v>400000</v>
      </c>
      <c r="J524" s="26">
        <f t="shared" si="142"/>
        <v>22200000</v>
      </c>
      <c r="K524" s="26">
        <f t="shared" si="143"/>
        <v>339000</v>
      </c>
      <c r="L524" s="26"/>
      <c r="M524" s="25">
        <v>1</v>
      </c>
      <c r="N524" s="25">
        <v>3000000</v>
      </c>
      <c r="O524" s="25">
        <f>O523-N524</f>
        <v>0</v>
      </c>
      <c r="P524" s="26">
        <f t="shared" si="145"/>
        <v>60000</v>
      </c>
      <c r="Q524" s="25"/>
      <c r="R524" s="27">
        <f t="shared" si="147"/>
        <v>1004000</v>
      </c>
    </row>
    <row r="525" spans="1:22" ht="15.75" thickBot="1" x14ac:dyDescent="0.3">
      <c r="A525" s="12" t="s">
        <v>15</v>
      </c>
      <c r="B525" s="44"/>
      <c r="C525" s="45">
        <v>100000</v>
      </c>
      <c r="D525" s="45">
        <v>5000</v>
      </c>
      <c r="E525" s="45">
        <v>100000</v>
      </c>
      <c r="F525" s="41">
        <v>0</v>
      </c>
      <c r="G525" s="15">
        <f t="shared" si="144"/>
        <v>205000</v>
      </c>
      <c r="H525" s="16">
        <v>25</v>
      </c>
      <c r="I525" s="26">
        <v>400000</v>
      </c>
      <c r="J525" s="26">
        <f t="shared" si="142"/>
        <v>21800000</v>
      </c>
      <c r="K525" s="26">
        <f t="shared" si="143"/>
        <v>333000</v>
      </c>
      <c r="L525" s="26"/>
      <c r="M525" s="25"/>
      <c r="N525" s="25"/>
      <c r="O525" s="25"/>
      <c r="P525" s="26">
        <f t="shared" si="145"/>
        <v>0</v>
      </c>
      <c r="Q525" s="25"/>
      <c r="R525" s="27">
        <f t="shared" si="147"/>
        <v>938000</v>
      </c>
      <c r="T525" s="1"/>
    </row>
    <row r="526" spans="1:22" ht="15.75" thickBot="1" x14ac:dyDescent="0.3">
      <c r="A526" s="29" t="s">
        <v>0</v>
      </c>
      <c r="B526" s="30">
        <f t="shared" ref="B526:F526" si="148">SUM(B513:B525)</f>
        <v>100000</v>
      </c>
      <c r="C526" s="30">
        <f t="shared" si="148"/>
        <v>6622000</v>
      </c>
      <c r="D526" s="30">
        <f t="shared" si="148"/>
        <v>1148662</v>
      </c>
      <c r="E526" s="30">
        <f t="shared" si="148"/>
        <v>800000</v>
      </c>
      <c r="F526" s="30">
        <f t="shared" si="148"/>
        <v>0</v>
      </c>
      <c r="G526" s="15">
        <f t="shared" ref="G526" si="149">SUM(B526:F526)</f>
        <v>8670662</v>
      </c>
      <c r="H526" s="32"/>
      <c r="I526" s="71" t="s">
        <v>27</v>
      </c>
      <c r="J526" s="72"/>
      <c r="K526" s="33">
        <f>SUM(K513:K525)</f>
        <v>4392000</v>
      </c>
      <c r="L526" s="34"/>
      <c r="M526" s="71" t="s">
        <v>28</v>
      </c>
      <c r="N526" s="73"/>
      <c r="O526" s="72"/>
      <c r="P526" s="33">
        <f>SUM(P513:P525)</f>
        <v>160000</v>
      </c>
      <c r="Q526" s="34"/>
      <c r="R526" s="35"/>
      <c r="T526" s="1"/>
    </row>
    <row r="527" spans="1:22" s="36" customFormat="1" ht="15.75" thickBot="1" x14ac:dyDescent="0.3">
      <c r="C527" s="37"/>
      <c r="D527" s="37"/>
      <c r="F527" s="38"/>
      <c r="G527" s="38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T527" s="40"/>
    </row>
    <row r="528" spans="1:22" ht="15.75" customHeight="1" thickBot="1" x14ac:dyDescent="0.3">
      <c r="A528" s="2">
        <f>A511+1</f>
        <v>32</v>
      </c>
      <c r="B528" s="74" t="str">
        <f>VLOOKUP(A528,NAMA,2)</f>
        <v>RAHAYUNINGSIH, S.Pd</v>
      </c>
      <c r="C528" s="75"/>
      <c r="D528" s="75"/>
      <c r="E528" s="75"/>
      <c r="F528" s="76"/>
      <c r="G528" s="3" t="s">
        <v>0</v>
      </c>
      <c r="H528" s="77" t="s">
        <v>1</v>
      </c>
      <c r="I528" s="78"/>
      <c r="J528" s="78"/>
      <c r="K528" s="78"/>
      <c r="L528" s="79"/>
      <c r="M528" s="80" t="s">
        <v>2</v>
      </c>
      <c r="N528" s="78"/>
      <c r="O528" s="78"/>
      <c r="P528" s="78"/>
      <c r="Q528" s="79"/>
      <c r="R528" s="69" t="s">
        <v>29</v>
      </c>
      <c r="T528" s="1"/>
    </row>
    <row r="529" spans="1:22" x14ac:dyDescent="0.25">
      <c r="A529" s="4" t="s">
        <v>4</v>
      </c>
      <c r="B529" s="5" t="s">
        <v>5</v>
      </c>
      <c r="C529" s="6" t="s">
        <v>6</v>
      </c>
      <c r="D529" s="6" t="s">
        <v>7</v>
      </c>
      <c r="E529" s="5" t="s">
        <v>8</v>
      </c>
      <c r="F529" s="5" t="s">
        <v>9</v>
      </c>
      <c r="G529" s="7" t="s">
        <v>10</v>
      </c>
      <c r="H529" s="8" t="s">
        <v>11</v>
      </c>
      <c r="I529" s="9" t="s">
        <v>0</v>
      </c>
      <c r="J529" s="9" t="s">
        <v>12</v>
      </c>
      <c r="K529" s="9" t="s">
        <v>13</v>
      </c>
      <c r="L529" s="10" t="s">
        <v>14</v>
      </c>
      <c r="M529" s="9" t="s">
        <v>11</v>
      </c>
      <c r="N529" s="9" t="s">
        <v>0</v>
      </c>
      <c r="O529" s="9" t="s">
        <v>12</v>
      </c>
      <c r="P529" s="9" t="s">
        <v>13</v>
      </c>
      <c r="Q529" s="10" t="s">
        <v>14</v>
      </c>
      <c r="R529" s="70"/>
      <c r="S529" s="11"/>
      <c r="T529" s="1"/>
    </row>
    <row r="530" spans="1:22" x14ac:dyDescent="0.25">
      <c r="A530" s="12" t="s">
        <v>15</v>
      </c>
      <c r="B530" s="41"/>
      <c r="C530" s="41"/>
      <c r="D530" s="41"/>
      <c r="E530" s="41"/>
      <c r="F530" s="41"/>
      <c r="G530" s="15"/>
      <c r="H530" s="16"/>
      <c r="I530" s="17"/>
      <c r="J530" s="18"/>
      <c r="K530" s="17"/>
      <c r="L530" s="17"/>
      <c r="M530" s="17"/>
      <c r="N530" s="17"/>
      <c r="O530" s="17"/>
      <c r="P530" s="17"/>
      <c r="Q530" s="17"/>
      <c r="R530" s="19"/>
      <c r="T530" s="1"/>
    </row>
    <row r="531" spans="1:22" x14ac:dyDescent="0.25">
      <c r="A531" s="20" t="s">
        <v>16</v>
      </c>
      <c r="B531" s="42"/>
      <c r="C531" s="45"/>
      <c r="D531" s="45"/>
      <c r="E531" s="45"/>
      <c r="F531" s="45"/>
      <c r="G531" s="15"/>
      <c r="H531" s="16"/>
      <c r="I531" s="26"/>
      <c r="J531" s="25"/>
      <c r="K531" s="26"/>
      <c r="L531" s="26"/>
      <c r="M531" s="25"/>
      <c r="N531" s="25"/>
      <c r="O531" s="25"/>
      <c r="P531" s="25"/>
      <c r="Q531" s="25"/>
      <c r="R531" s="27">
        <f>K531+I531+G531</f>
        <v>0</v>
      </c>
      <c r="T531" s="1"/>
    </row>
    <row r="532" spans="1:22" x14ac:dyDescent="0.25">
      <c r="A532" s="20" t="s">
        <v>17</v>
      </c>
      <c r="B532" s="42"/>
      <c r="C532" s="43"/>
      <c r="D532" s="43"/>
      <c r="E532" s="43"/>
      <c r="F532" s="43"/>
      <c r="G532" s="15"/>
      <c r="H532" s="16"/>
      <c r="I532" s="26"/>
      <c r="J532" s="25"/>
      <c r="K532" s="26"/>
      <c r="L532" s="26"/>
      <c r="M532" s="25"/>
      <c r="N532" s="25"/>
      <c r="O532" s="25"/>
      <c r="P532" s="25"/>
      <c r="Q532" s="25"/>
      <c r="R532" s="27">
        <f t="shared" ref="R532:R542" si="150">K532+I532+G532</f>
        <v>0</v>
      </c>
      <c r="T532" s="1"/>
      <c r="V532" s="1"/>
    </row>
    <row r="533" spans="1:22" x14ac:dyDescent="0.25">
      <c r="A533" s="20" t="s">
        <v>18</v>
      </c>
      <c r="B533" s="42"/>
      <c r="C533" s="43"/>
      <c r="D533" s="43"/>
      <c r="E533" s="43"/>
      <c r="F533" s="43"/>
      <c r="G533" s="15"/>
      <c r="H533" s="16"/>
      <c r="I533" s="26"/>
      <c r="J533" s="25"/>
      <c r="K533" s="26"/>
      <c r="L533" s="26"/>
      <c r="M533" s="25"/>
      <c r="N533" s="25"/>
      <c r="O533" s="25"/>
      <c r="P533" s="25"/>
      <c r="Q533" s="25"/>
      <c r="R533" s="27">
        <f t="shared" si="150"/>
        <v>0</v>
      </c>
      <c r="T533" s="1"/>
    </row>
    <row r="534" spans="1:22" x14ac:dyDescent="0.25">
      <c r="A534" s="20" t="s">
        <v>19</v>
      </c>
      <c r="B534" s="42"/>
      <c r="C534" s="43"/>
      <c r="D534" s="43"/>
      <c r="E534" s="43"/>
      <c r="F534" s="43"/>
      <c r="G534" s="15"/>
      <c r="H534" s="16"/>
      <c r="I534" s="26"/>
      <c r="J534" s="25"/>
      <c r="K534" s="26"/>
      <c r="L534" s="26"/>
      <c r="M534" s="25"/>
      <c r="N534" s="25"/>
      <c r="O534" s="25"/>
      <c r="P534" s="25"/>
      <c r="Q534" s="25"/>
      <c r="R534" s="27">
        <f t="shared" si="150"/>
        <v>0</v>
      </c>
      <c r="T534" s="1"/>
    </row>
    <row r="535" spans="1:22" x14ac:dyDescent="0.25">
      <c r="A535" s="20" t="s">
        <v>20</v>
      </c>
      <c r="B535" s="42"/>
      <c r="C535" s="43"/>
      <c r="D535" s="43"/>
      <c r="E535" s="43"/>
      <c r="F535" s="43"/>
      <c r="G535" s="15"/>
      <c r="H535" s="16"/>
      <c r="I535" s="26"/>
      <c r="J535" s="25"/>
      <c r="K535" s="26"/>
      <c r="L535" s="26"/>
      <c r="M535" s="25"/>
      <c r="N535" s="25"/>
      <c r="O535" s="25"/>
      <c r="P535" s="25"/>
      <c r="Q535" s="25"/>
      <c r="R535" s="27">
        <f t="shared" si="150"/>
        <v>0</v>
      </c>
      <c r="T535" s="1"/>
    </row>
    <row r="536" spans="1:22" x14ac:dyDescent="0.25">
      <c r="A536" s="20" t="s">
        <v>21</v>
      </c>
      <c r="B536" s="42"/>
      <c r="C536" s="43"/>
      <c r="D536" s="43"/>
      <c r="E536" s="43"/>
      <c r="F536" s="43"/>
      <c r="G536" s="15"/>
      <c r="H536" s="16"/>
      <c r="I536" s="26"/>
      <c r="J536" s="25"/>
      <c r="K536" s="26"/>
      <c r="L536" s="26"/>
      <c r="M536" s="25"/>
      <c r="N536" s="25"/>
      <c r="O536" s="25"/>
      <c r="P536" s="25"/>
      <c r="Q536" s="25"/>
      <c r="R536" s="27">
        <f t="shared" si="150"/>
        <v>0</v>
      </c>
      <c r="T536" s="1"/>
    </row>
    <row r="537" spans="1:22" x14ac:dyDescent="0.25">
      <c r="A537" s="20" t="s">
        <v>22</v>
      </c>
      <c r="B537" s="42"/>
      <c r="C537" s="43"/>
      <c r="D537" s="43"/>
      <c r="E537" s="43"/>
      <c r="F537" s="43"/>
      <c r="G537" s="15"/>
      <c r="H537" s="16"/>
      <c r="I537" s="26"/>
      <c r="J537" s="25"/>
      <c r="K537" s="26"/>
      <c r="L537" s="26"/>
      <c r="M537" s="25"/>
      <c r="N537" s="25"/>
      <c r="O537" s="25"/>
      <c r="P537" s="25"/>
      <c r="Q537" s="25"/>
      <c r="R537" s="27">
        <f t="shared" si="150"/>
        <v>0</v>
      </c>
      <c r="T537" s="1"/>
      <c r="V537" s="1"/>
    </row>
    <row r="538" spans="1:22" x14ac:dyDescent="0.25">
      <c r="A538" s="20" t="s">
        <v>23</v>
      </c>
      <c r="B538" s="42"/>
      <c r="C538" s="43"/>
      <c r="D538" s="43"/>
      <c r="E538" s="43"/>
      <c r="F538" s="43"/>
      <c r="G538" s="15"/>
      <c r="H538" s="16"/>
      <c r="I538" s="26"/>
      <c r="J538" s="25"/>
      <c r="K538" s="26"/>
      <c r="L538" s="26"/>
      <c r="M538" s="25"/>
      <c r="N538" s="25"/>
      <c r="O538" s="25"/>
      <c r="P538" s="25"/>
      <c r="Q538" s="25"/>
      <c r="R538" s="27">
        <f t="shared" si="150"/>
        <v>0</v>
      </c>
      <c r="T538" s="1"/>
      <c r="V538" s="1"/>
    </row>
    <row r="539" spans="1:22" x14ac:dyDescent="0.25">
      <c r="A539" s="20" t="s">
        <v>24</v>
      </c>
      <c r="B539" s="42"/>
      <c r="C539" s="43"/>
      <c r="D539" s="43"/>
      <c r="E539" s="43"/>
      <c r="F539" s="43"/>
      <c r="G539" s="15"/>
      <c r="H539" s="16"/>
      <c r="I539" s="26"/>
      <c r="J539" s="25"/>
      <c r="K539" s="26"/>
      <c r="L539" s="26"/>
      <c r="M539" s="25"/>
      <c r="N539" s="25"/>
      <c r="O539" s="25"/>
      <c r="P539" s="25"/>
      <c r="Q539" s="25"/>
      <c r="R539" s="27">
        <f t="shared" si="150"/>
        <v>0</v>
      </c>
      <c r="T539" s="1"/>
    </row>
    <row r="540" spans="1:22" x14ac:dyDescent="0.25">
      <c r="A540" s="20" t="s">
        <v>25</v>
      </c>
      <c r="B540" s="42"/>
      <c r="C540" s="43"/>
      <c r="D540" s="43"/>
      <c r="E540" s="43"/>
      <c r="F540" s="43"/>
      <c r="G540" s="15"/>
      <c r="H540" s="16"/>
      <c r="I540" s="26"/>
      <c r="J540" s="25"/>
      <c r="K540" s="26"/>
      <c r="L540" s="26"/>
      <c r="M540" s="25"/>
      <c r="N540" s="25"/>
      <c r="O540" s="25"/>
      <c r="P540" s="25"/>
      <c r="Q540" s="25"/>
      <c r="R540" s="27">
        <f t="shared" si="150"/>
        <v>0</v>
      </c>
      <c r="T540" s="1"/>
    </row>
    <row r="541" spans="1:22" x14ac:dyDescent="0.25">
      <c r="A541" s="20" t="s">
        <v>26</v>
      </c>
      <c r="B541" s="42"/>
      <c r="C541" s="43"/>
      <c r="D541" s="43"/>
      <c r="E541" s="43"/>
      <c r="F541" s="43"/>
      <c r="G541" s="15"/>
      <c r="H541" s="16"/>
      <c r="I541" s="26"/>
      <c r="J541" s="25"/>
      <c r="K541" s="26"/>
      <c r="L541" s="26"/>
      <c r="M541" s="25"/>
      <c r="N541" s="25"/>
      <c r="O541" s="25"/>
      <c r="P541" s="25"/>
      <c r="Q541" s="25"/>
      <c r="R541" s="27">
        <f t="shared" si="150"/>
        <v>0</v>
      </c>
    </row>
    <row r="542" spans="1:22" ht="15.75" thickBot="1" x14ac:dyDescent="0.3">
      <c r="A542" s="12" t="s">
        <v>15</v>
      </c>
      <c r="B542" s="44"/>
      <c r="C542" s="43"/>
      <c r="D542" s="43"/>
      <c r="E542" s="43"/>
      <c r="F542" s="43"/>
      <c r="G542" s="15"/>
      <c r="H542" s="16"/>
      <c r="I542" s="26"/>
      <c r="J542" s="25"/>
      <c r="K542" s="26"/>
      <c r="L542" s="26"/>
      <c r="M542" s="25"/>
      <c r="N542" s="25"/>
      <c r="O542" s="25"/>
      <c r="P542" s="25"/>
      <c r="Q542" s="25"/>
      <c r="R542" s="27">
        <f t="shared" si="150"/>
        <v>0</v>
      </c>
      <c r="T542" s="1"/>
    </row>
    <row r="543" spans="1:22" ht="15.75" thickBot="1" x14ac:dyDescent="0.3">
      <c r="A543" s="29" t="s">
        <v>0</v>
      </c>
      <c r="B543" s="30">
        <f t="shared" ref="B543:F543" si="151">SUM(B530:B542)</f>
        <v>0</v>
      </c>
      <c r="C543" s="30">
        <f t="shared" si="151"/>
        <v>0</v>
      </c>
      <c r="D543" s="30">
        <f t="shared" si="151"/>
        <v>0</v>
      </c>
      <c r="E543" s="30">
        <f t="shared" si="151"/>
        <v>0</v>
      </c>
      <c r="F543" s="30">
        <f t="shared" si="151"/>
        <v>0</v>
      </c>
      <c r="G543" s="15"/>
      <c r="H543" s="32"/>
      <c r="I543" s="71" t="s">
        <v>27</v>
      </c>
      <c r="J543" s="72"/>
      <c r="K543" s="33">
        <f>SUM(K530:K542)</f>
        <v>0</v>
      </c>
      <c r="L543" s="34"/>
      <c r="M543" s="71" t="s">
        <v>28</v>
      </c>
      <c r="N543" s="73"/>
      <c r="O543" s="72"/>
      <c r="P543" s="33">
        <f>SUM(P530:P542)</f>
        <v>0</v>
      </c>
      <c r="Q543" s="34"/>
      <c r="R543" s="35"/>
      <c r="T543" s="1"/>
    </row>
    <row r="544" spans="1:22" s="36" customFormat="1" ht="15.75" thickBot="1" x14ac:dyDescent="0.3">
      <c r="C544" s="37"/>
      <c r="D544" s="37"/>
      <c r="F544" s="38"/>
      <c r="G544" s="38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T544" s="40"/>
    </row>
    <row r="545" spans="1:22" ht="15.75" customHeight="1" thickBot="1" x14ac:dyDescent="0.3">
      <c r="A545" s="2">
        <f>A528+1</f>
        <v>33</v>
      </c>
      <c r="B545" s="74" t="str">
        <f>VLOOKUP(A545,NAMA,2)</f>
        <v>YULAIKAH, S.Pd</v>
      </c>
      <c r="C545" s="75"/>
      <c r="D545" s="75"/>
      <c r="E545" s="75"/>
      <c r="F545" s="76"/>
      <c r="G545" s="3" t="s">
        <v>0</v>
      </c>
      <c r="H545" s="77" t="s">
        <v>1</v>
      </c>
      <c r="I545" s="78"/>
      <c r="J545" s="78"/>
      <c r="K545" s="78"/>
      <c r="L545" s="79"/>
      <c r="M545" s="80" t="s">
        <v>2</v>
      </c>
      <c r="N545" s="78"/>
      <c r="O545" s="78"/>
      <c r="P545" s="78"/>
      <c r="Q545" s="79"/>
      <c r="R545" s="69" t="s">
        <v>29</v>
      </c>
      <c r="T545" s="1"/>
    </row>
    <row r="546" spans="1:22" x14ac:dyDescent="0.25">
      <c r="A546" s="4" t="s">
        <v>4</v>
      </c>
      <c r="B546" s="5" t="s">
        <v>5</v>
      </c>
      <c r="C546" s="6" t="s">
        <v>6</v>
      </c>
      <c r="D546" s="6" t="s">
        <v>7</v>
      </c>
      <c r="E546" s="5" t="s">
        <v>8</v>
      </c>
      <c r="F546" s="5" t="s">
        <v>9</v>
      </c>
      <c r="G546" s="7" t="s">
        <v>10</v>
      </c>
      <c r="H546" s="8" t="s">
        <v>11</v>
      </c>
      <c r="I546" s="9" t="s">
        <v>0</v>
      </c>
      <c r="J546" s="9" t="s">
        <v>12</v>
      </c>
      <c r="K546" s="9" t="s">
        <v>13</v>
      </c>
      <c r="L546" s="10" t="s">
        <v>14</v>
      </c>
      <c r="M546" s="9" t="s">
        <v>11</v>
      </c>
      <c r="N546" s="9" t="s">
        <v>0</v>
      </c>
      <c r="O546" s="9" t="s">
        <v>12</v>
      </c>
      <c r="P546" s="9" t="s">
        <v>13</v>
      </c>
      <c r="Q546" s="10" t="s">
        <v>14</v>
      </c>
      <c r="R546" s="70"/>
      <c r="S546" s="11"/>
      <c r="T546" s="1"/>
    </row>
    <row r="547" spans="1:22" x14ac:dyDescent="0.25">
      <c r="A547" s="12" t="s">
        <v>15</v>
      </c>
      <c r="B547" s="41">
        <v>100000</v>
      </c>
      <c r="C547" s="41">
        <v>8000000</v>
      </c>
      <c r="D547" s="41">
        <v>2700000</v>
      </c>
      <c r="E547" s="41">
        <v>2000000</v>
      </c>
      <c r="F547" s="41">
        <v>100000</v>
      </c>
      <c r="G547" s="15">
        <f t="shared" ref="G547" si="152">SUM(B547:F547)</f>
        <v>12900000</v>
      </c>
      <c r="H547" s="16"/>
      <c r="I547" s="17"/>
      <c r="J547" s="18">
        <v>25000000</v>
      </c>
      <c r="K547" s="17"/>
      <c r="L547" s="17"/>
      <c r="M547" s="17"/>
      <c r="N547" s="17"/>
      <c r="O547" s="17"/>
      <c r="P547" s="17"/>
      <c r="Q547" s="17"/>
      <c r="R547" s="19"/>
      <c r="T547" s="1"/>
    </row>
    <row r="548" spans="1:22" x14ac:dyDescent="0.25">
      <c r="A548" s="20" t="s">
        <v>16</v>
      </c>
      <c r="B548" s="42"/>
      <c r="C548" s="43">
        <v>100000</v>
      </c>
      <c r="D548" s="43">
        <v>25000</v>
      </c>
      <c r="E548" s="43">
        <v>250000</v>
      </c>
      <c r="F548" s="43">
        <v>50000</v>
      </c>
      <c r="G548" s="15">
        <f t="shared" ref="G548:G559" si="153">C548+D548+E548+F548</f>
        <v>425000</v>
      </c>
      <c r="H548" s="16">
        <v>34</v>
      </c>
      <c r="I548" s="26">
        <v>500000</v>
      </c>
      <c r="J548" s="25">
        <f t="shared" ref="J548:J559" si="154">J547-I548</f>
        <v>24500000</v>
      </c>
      <c r="K548" s="26">
        <f t="shared" ref="K548:K550" si="155">0.015*J547</f>
        <v>375000</v>
      </c>
      <c r="L548" s="26"/>
      <c r="M548" s="25"/>
      <c r="N548" s="25"/>
      <c r="O548" s="25"/>
      <c r="P548" s="25"/>
      <c r="Q548" s="25"/>
      <c r="R548" s="27">
        <f t="shared" ref="R548" si="156">P548+K548+G548+I548</f>
        <v>1300000</v>
      </c>
      <c r="T548" s="1"/>
    </row>
    <row r="549" spans="1:22" x14ac:dyDescent="0.25">
      <c r="A549" s="20" t="s">
        <v>17</v>
      </c>
      <c r="B549" s="42"/>
      <c r="C549" s="43">
        <v>100000</v>
      </c>
      <c r="D549" s="43">
        <v>25000</v>
      </c>
      <c r="E549" s="43">
        <v>250000</v>
      </c>
      <c r="F549" s="43">
        <v>50000</v>
      </c>
      <c r="G549" s="15">
        <f t="shared" si="153"/>
        <v>425000</v>
      </c>
      <c r="H549" s="16">
        <v>35</v>
      </c>
      <c r="I549" s="26">
        <v>500000</v>
      </c>
      <c r="J549" s="25">
        <f t="shared" si="154"/>
        <v>24000000</v>
      </c>
      <c r="K549" s="26">
        <f t="shared" si="155"/>
        <v>367500</v>
      </c>
      <c r="L549" s="26"/>
      <c r="M549" s="25"/>
      <c r="N549" s="25">
        <v>10000000</v>
      </c>
      <c r="O549" s="25">
        <v>10000000</v>
      </c>
      <c r="P549" s="26"/>
      <c r="Q549" s="25"/>
      <c r="R549" s="27">
        <f>K549+I549+G549</f>
        <v>1292500</v>
      </c>
      <c r="T549" s="1"/>
      <c r="V549" s="1"/>
    </row>
    <row r="550" spans="1:22" x14ac:dyDescent="0.25">
      <c r="A550" s="20" t="s">
        <v>18</v>
      </c>
      <c r="B550" s="42"/>
      <c r="C550" s="43">
        <v>100000</v>
      </c>
      <c r="D550" s="43">
        <v>25000</v>
      </c>
      <c r="E550" s="43">
        <v>250000</v>
      </c>
      <c r="F550" s="43">
        <v>50000</v>
      </c>
      <c r="G550" s="15">
        <f t="shared" si="153"/>
        <v>425000</v>
      </c>
      <c r="H550" s="16">
        <v>36</v>
      </c>
      <c r="I550" s="26">
        <v>500000</v>
      </c>
      <c r="J550" s="25">
        <f t="shared" si="154"/>
        <v>23500000</v>
      </c>
      <c r="K550" s="26">
        <f t="shared" si="155"/>
        <v>360000</v>
      </c>
      <c r="L550" s="26"/>
      <c r="M550" s="25">
        <v>1</v>
      </c>
      <c r="N550" s="25">
        <v>5000000</v>
      </c>
      <c r="O550" s="25">
        <f>O549-N550</f>
        <v>5000000</v>
      </c>
      <c r="P550" s="26">
        <f>0.02*O549</f>
        <v>200000</v>
      </c>
      <c r="Q550" s="25"/>
      <c r="R550" s="27">
        <f t="shared" ref="R550:R559" si="157">K550+I550+G550</f>
        <v>1285000</v>
      </c>
      <c r="T550" s="1"/>
    </row>
    <row r="551" spans="1:22" x14ac:dyDescent="0.25">
      <c r="A551" s="20" t="s">
        <v>19</v>
      </c>
      <c r="B551" s="42"/>
      <c r="C551" s="43">
        <v>100000</v>
      </c>
      <c r="D551" s="43">
        <v>25000</v>
      </c>
      <c r="E551" s="43">
        <v>-2750000</v>
      </c>
      <c r="F551" s="43">
        <v>50000</v>
      </c>
      <c r="G551" s="15">
        <f t="shared" si="153"/>
        <v>-2575000</v>
      </c>
      <c r="H551" s="16">
        <v>37</v>
      </c>
      <c r="I551" s="26">
        <v>500000</v>
      </c>
      <c r="J551" s="25">
        <f t="shared" si="154"/>
        <v>23000000</v>
      </c>
      <c r="K551" s="26">
        <f t="shared" ref="K551:K553" si="158">0.015*J550</f>
        <v>352500</v>
      </c>
      <c r="L551" s="26"/>
      <c r="M551" s="25"/>
      <c r="N551" s="25"/>
      <c r="O551" s="25">
        <v>5000000</v>
      </c>
      <c r="P551" s="26">
        <f t="shared" ref="P551:P559" si="159">0.02*O550</f>
        <v>100000</v>
      </c>
      <c r="Q551" s="25"/>
      <c r="R551" s="27">
        <f t="shared" si="157"/>
        <v>-1722500</v>
      </c>
      <c r="T551" s="1"/>
    </row>
    <row r="552" spans="1:22" x14ac:dyDescent="0.25">
      <c r="A552" s="20" t="s">
        <v>20</v>
      </c>
      <c r="B552" s="42"/>
      <c r="C552" s="43">
        <v>100000</v>
      </c>
      <c r="D552" s="43">
        <v>25000</v>
      </c>
      <c r="E552" s="43">
        <v>300000</v>
      </c>
      <c r="F552" s="43">
        <v>50000</v>
      </c>
      <c r="G552" s="15">
        <f t="shared" si="153"/>
        <v>475000</v>
      </c>
      <c r="H552" s="16">
        <v>38</v>
      </c>
      <c r="I552" s="26">
        <v>500000</v>
      </c>
      <c r="J552" s="25">
        <f t="shared" si="154"/>
        <v>22500000</v>
      </c>
      <c r="K552" s="26">
        <f t="shared" si="158"/>
        <v>345000</v>
      </c>
      <c r="L552" s="26"/>
      <c r="M552" s="25"/>
      <c r="N552" s="25"/>
      <c r="O552" s="25">
        <v>6000000</v>
      </c>
      <c r="P552" s="26">
        <f t="shared" si="159"/>
        <v>100000</v>
      </c>
      <c r="Q552" s="25"/>
      <c r="R552" s="27">
        <f t="shared" si="157"/>
        <v>1320000</v>
      </c>
      <c r="T552" s="1"/>
    </row>
    <row r="553" spans="1:22" x14ac:dyDescent="0.25">
      <c r="A553" s="20" t="s">
        <v>21</v>
      </c>
      <c r="B553" s="42"/>
      <c r="C553" s="43">
        <v>100000</v>
      </c>
      <c r="D553" s="43">
        <v>25000</v>
      </c>
      <c r="E553" s="43">
        <v>300000</v>
      </c>
      <c r="F553" s="43">
        <v>50000</v>
      </c>
      <c r="G553" s="15">
        <f t="shared" si="153"/>
        <v>475000</v>
      </c>
      <c r="H553" s="16">
        <v>39</v>
      </c>
      <c r="I553" s="26">
        <v>500000</v>
      </c>
      <c r="J553" s="25">
        <f t="shared" si="154"/>
        <v>22000000</v>
      </c>
      <c r="K553" s="26">
        <f t="shared" si="158"/>
        <v>337500</v>
      </c>
      <c r="L553" s="26"/>
      <c r="M553" s="25"/>
      <c r="N553" s="25"/>
      <c r="O553" s="25">
        <v>6000000</v>
      </c>
      <c r="P553" s="26">
        <f t="shared" si="159"/>
        <v>120000</v>
      </c>
      <c r="Q553" s="25"/>
      <c r="R553" s="27">
        <f t="shared" si="157"/>
        <v>1312500</v>
      </c>
      <c r="T553" s="1"/>
    </row>
    <row r="554" spans="1:22" x14ac:dyDescent="0.25">
      <c r="A554" s="20" t="s">
        <v>22</v>
      </c>
      <c r="B554" s="42"/>
      <c r="C554" s="43">
        <v>100000</v>
      </c>
      <c r="D554" s="43">
        <v>25000</v>
      </c>
      <c r="E554" s="43">
        <v>300000</v>
      </c>
      <c r="F554" s="43">
        <v>50000</v>
      </c>
      <c r="G554" s="15">
        <f t="shared" si="153"/>
        <v>475000</v>
      </c>
      <c r="H554" s="16">
        <v>40</v>
      </c>
      <c r="I554" s="26">
        <v>500000</v>
      </c>
      <c r="J554" s="25">
        <f t="shared" si="154"/>
        <v>21500000</v>
      </c>
      <c r="K554" s="26">
        <f t="shared" ref="K554" si="160">0.015*J553</f>
        <v>330000</v>
      </c>
      <c r="L554" s="26"/>
      <c r="M554" s="25"/>
      <c r="N554" s="25"/>
      <c r="O554" s="25">
        <v>6000000</v>
      </c>
      <c r="P554" s="26">
        <f t="shared" si="159"/>
        <v>120000</v>
      </c>
      <c r="Q554" s="25"/>
      <c r="R554" s="27">
        <f t="shared" si="157"/>
        <v>1305000</v>
      </c>
      <c r="T554" s="1"/>
      <c r="V554" s="1"/>
    </row>
    <row r="555" spans="1:22" x14ac:dyDescent="0.25">
      <c r="A555" s="20" t="s">
        <v>23</v>
      </c>
      <c r="B555" s="42"/>
      <c r="C555" s="43">
        <v>100000</v>
      </c>
      <c r="D555" s="43">
        <v>25000</v>
      </c>
      <c r="E555" s="43">
        <v>300000</v>
      </c>
      <c r="F555" s="43">
        <v>50000</v>
      </c>
      <c r="G555" s="15">
        <f t="shared" si="153"/>
        <v>475000</v>
      </c>
      <c r="H555" s="16">
        <v>41</v>
      </c>
      <c r="I555" s="26">
        <v>500000</v>
      </c>
      <c r="J555" s="25">
        <f t="shared" si="154"/>
        <v>21000000</v>
      </c>
      <c r="K555" s="26">
        <f t="shared" ref="K555" si="161">0.015*J554</f>
        <v>322500</v>
      </c>
      <c r="L555" s="26"/>
      <c r="M555" s="25"/>
      <c r="N555" s="25"/>
      <c r="O555" s="25">
        <v>6000000</v>
      </c>
      <c r="P555" s="26">
        <f t="shared" si="159"/>
        <v>120000</v>
      </c>
      <c r="Q555" s="25"/>
      <c r="R555" s="27">
        <f t="shared" si="157"/>
        <v>1297500</v>
      </c>
      <c r="T555" s="1"/>
      <c r="V555" s="1"/>
    </row>
    <row r="556" spans="1:22" x14ac:dyDescent="0.25">
      <c r="A556" s="20" t="s">
        <v>24</v>
      </c>
      <c r="B556" s="42"/>
      <c r="C556" s="43">
        <v>100000</v>
      </c>
      <c r="D556" s="43">
        <v>25000</v>
      </c>
      <c r="E556" s="43">
        <v>300000</v>
      </c>
      <c r="F556" s="43">
        <v>50000</v>
      </c>
      <c r="G556" s="15">
        <f t="shared" si="153"/>
        <v>475000</v>
      </c>
      <c r="H556" s="16">
        <v>42</v>
      </c>
      <c r="I556" s="26">
        <v>500000</v>
      </c>
      <c r="J556" s="25">
        <f t="shared" si="154"/>
        <v>20500000</v>
      </c>
      <c r="K556" s="26">
        <f t="shared" ref="K556" si="162">0.015*J555</f>
        <v>315000</v>
      </c>
      <c r="L556" s="26"/>
      <c r="M556" s="25"/>
      <c r="N556" s="25"/>
      <c r="O556" s="25">
        <v>6000000</v>
      </c>
      <c r="P556" s="26">
        <f t="shared" si="159"/>
        <v>120000</v>
      </c>
      <c r="Q556" s="25"/>
      <c r="R556" s="27">
        <f t="shared" si="157"/>
        <v>1290000</v>
      </c>
      <c r="T556" s="1"/>
    </row>
    <row r="557" spans="1:22" x14ac:dyDescent="0.25">
      <c r="A557" s="20" t="s">
        <v>25</v>
      </c>
      <c r="B557" s="42"/>
      <c r="C557" s="43">
        <v>100000</v>
      </c>
      <c r="D557" s="43">
        <v>25000</v>
      </c>
      <c r="E557" s="43">
        <v>-1500000</v>
      </c>
      <c r="F557" s="43">
        <v>-550000</v>
      </c>
      <c r="G557" s="15">
        <f t="shared" si="153"/>
        <v>-1925000</v>
      </c>
      <c r="H557" s="16">
        <v>43</v>
      </c>
      <c r="I557" s="26">
        <v>500000</v>
      </c>
      <c r="J557" s="25">
        <f t="shared" si="154"/>
        <v>20000000</v>
      </c>
      <c r="K557" s="26">
        <f t="shared" ref="K557" si="163">0.015*J556</f>
        <v>307500</v>
      </c>
      <c r="L557" s="26"/>
      <c r="M557" s="25"/>
      <c r="N557" s="25"/>
      <c r="O557" s="25">
        <v>6000000</v>
      </c>
      <c r="P557" s="26">
        <f t="shared" si="159"/>
        <v>120000</v>
      </c>
      <c r="Q557" s="25"/>
      <c r="R557" s="27">
        <f t="shared" si="157"/>
        <v>-1117500</v>
      </c>
      <c r="T557" s="1"/>
    </row>
    <row r="558" spans="1:22" x14ac:dyDescent="0.25">
      <c r="A558" s="20" t="s">
        <v>26</v>
      </c>
      <c r="B558" s="42"/>
      <c r="C558" s="43">
        <v>100000</v>
      </c>
      <c r="D558" s="43">
        <v>25000</v>
      </c>
      <c r="E558" s="43">
        <v>300000</v>
      </c>
      <c r="F558" s="43">
        <v>50000</v>
      </c>
      <c r="G558" s="15">
        <f t="shared" si="153"/>
        <v>475000</v>
      </c>
      <c r="H558" s="16">
        <v>44</v>
      </c>
      <c r="I558" s="26">
        <v>500000</v>
      </c>
      <c r="J558" s="25">
        <f t="shared" si="154"/>
        <v>19500000</v>
      </c>
      <c r="K558" s="26">
        <f t="shared" ref="K558" si="164">0.015*J557</f>
        <v>300000</v>
      </c>
      <c r="L558" s="26"/>
      <c r="M558" s="25"/>
      <c r="N558" s="25">
        <v>1500000</v>
      </c>
      <c r="O558" s="25">
        <f>O557-N558</f>
        <v>4500000</v>
      </c>
      <c r="P558" s="26">
        <f t="shared" si="159"/>
        <v>120000</v>
      </c>
      <c r="Q558" s="25"/>
      <c r="R558" s="27">
        <f t="shared" si="157"/>
        <v>1275000</v>
      </c>
    </row>
    <row r="559" spans="1:22" ht="15.75" thickBot="1" x14ac:dyDescent="0.3">
      <c r="A559" s="12" t="s">
        <v>15</v>
      </c>
      <c r="B559" s="44"/>
      <c r="C559" s="43">
        <v>100000</v>
      </c>
      <c r="D559" s="43">
        <v>25000</v>
      </c>
      <c r="E559" s="43">
        <v>300000</v>
      </c>
      <c r="F559" s="43">
        <v>50000</v>
      </c>
      <c r="G559" s="15">
        <f t="shared" si="153"/>
        <v>475000</v>
      </c>
      <c r="H559" s="16">
        <v>45</v>
      </c>
      <c r="I559" s="26">
        <v>500000</v>
      </c>
      <c r="J559" s="25">
        <f t="shared" si="154"/>
        <v>19000000</v>
      </c>
      <c r="K559" s="26">
        <f t="shared" ref="K559" si="165">0.015*J558</f>
        <v>292500</v>
      </c>
      <c r="L559" s="26"/>
      <c r="M559" s="25"/>
      <c r="N559" s="25"/>
      <c r="O559" s="25">
        <f>O558-N559</f>
        <v>4500000</v>
      </c>
      <c r="P559" s="26">
        <f t="shared" si="159"/>
        <v>90000</v>
      </c>
      <c r="Q559" s="25"/>
      <c r="R559" s="27">
        <f t="shared" si="157"/>
        <v>1267500</v>
      </c>
      <c r="T559" s="1"/>
    </row>
    <row r="560" spans="1:22" ht="15.75" thickBot="1" x14ac:dyDescent="0.3">
      <c r="A560" s="29" t="s">
        <v>0</v>
      </c>
      <c r="B560" s="30">
        <f t="shared" ref="B560:F560" si="166">SUM(B547:B559)</f>
        <v>100000</v>
      </c>
      <c r="C560" s="30">
        <f t="shared" si="166"/>
        <v>9200000</v>
      </c>
      <c r="D560" s="30">
        <f t="shared" si="166"/>
        <v>3000000</v>
      </c>
      <c r="E560" s="30">
        <f t="shared" si="166"/>
        <v>600000</v>
      </c>
      <c r="F560" s="30">
        <f t="shared" si="166"/>
        <v>100000</v>
      </c>
      <c r="G560" s="15">
        <f t="shared" ref="G560" si="167">SUM(B560:F560)</f>
        <v>13000000</v>
      </c>
      <c r="H560" s="32"/>
      <c r="I560" s="71" t="s">
        <v>27</v>
      </c>
      <c r="J560" s="72"/>
      <c r="K560" s="33">
        <f>SUM(K547:K559)</f>
        <v>4005000</v>
      </c>
      <c r="L560" s="34"/>
      <c r="M560" s="71" t="s">
        <v>28</v>
      </c>
      <c r="N560" s="73"/>
      <c r="O560" s="72"/>
      <c r="P560" s="33">
        <f>SUM(P547:P559)</f>
        <v>1210000</v>
      </c>
      <c r="Q560" s="34"/>
      <c r="R560" s="35"/>
      <c r="T560" s="1"/>
    </row>
    <row r="561" spans="1:22" s="36" customFormat="1" ht="15.75" thickBot="1" x14ac:dyDescent="0.3">
      <c r="C561" s="37"/>
      <c r="D561" s="37"/>
      <c r="F561" s="38"/>
      <c r="G561" s="38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T561" s="40"/>
    </row>
    <row r="562" spans="1:22" ht="15.75" customHeight="1" thickBot="1" x14ac:dyDescent="0.3">
      <c r="A562" s="2">
        <f>A545+1</f>
        <v>34</v>
      </c>
      <c r="B562" s="74" t="str">
        <f>VLOOKUP(A562,NAMA,2)</f>
        <v>NANIK HIDAYATI, S.Pd</v>
      </c>
      <c r="C562" s="75"/>
      <c r="D562" s="75"/>
      <c r="E562" s="75"/>
      <c r="F562" s="76"/>
      <c r="G562" s="3" t="s">
        <v>0</v>
      </c>
      <c r="H562" s="77" t="s">
        <v>1</v>
      </c>
      <c r="I562" s="78"/>
      <c r="J562" s="78"/>
      <c r="K562" s="78"/>
      <c r="L562" s="79"/>
      <c r="M562" s="80" t="s">
        <v>2</v>
      </c>
      <c r="N562" s="78"/>
      <c r="O562" s="78"/>
      <c r="P562" s="78"/>
      <c r="Q562" s="79"/>
      <c r="R562" s="69" t="s">
        <v>29</v>
      </c>
      <c r="T562" s="1"/>
    </row>
    <row r="563" spans="1:22" x14ac:dyDescent="0.25">
      <c r="A563" s="4" t="s">
        <v>4</v>
      </c>
      <c r="B563" s="5" t="s">
        <v>5</v>
      </c>
      <c r="C563" s="6" t="s">
        <v>6</v>
      </c>
      <c r="D563" s="6" t="s">
        <v>7</v>
      </c>
      <c r="E563" s="5" t="s">
        <v>8</v>
      </c>
      <c r="F563" s="5" t="s">
        <v>9</v>
      </c>
      <c r="G563" s="7" t="s">
        <v>10</v>
      </c>
      <c r="H563" s="8" t="s">
        <v>11</v>
      </c>
      <c r="I563" s="9" t="s">
        <v>0</v>
      </c>
      <c r="J563" s="9" t="s">
        <v>12</v>
      </c>
      <c r="K563" s="9" t="s">
        <v>13</v>
      </c>
      <c r="L563" s="10" t="s">
        <v>14</v>
      </c>
      <c r="M563" s="9" t="s">
        <v>11</v>
      </c>
      <c r="N563" s="9" t="s">
        <v>0</v>
      </c>
      <c r="O563" s="9" t="s">
        <v>12</v>
      </c>
      <c r="P563" s="9" t="s">
        <v>13</v>
      </c>
      <c r="Q563" s="10" t="s">
        <v>14</v>
      </c>
      <c r="R563" s="70"/>
      <c r="S563" s="11"/>
      <c r="T563" s="1"/>
    </row>
    <row r="564" spans="1:22" x14ac:dyDescent="0.25">
      <c r="A564" s="12" t="s">
        <v>15</v>
      </c>
      <c r="B564" s="41">
        <v>100000</v>
      </c>
      <c r="C564" s="41">
        <v>10500000</v>
      </c>
      <c r="D564" s="41">
        <v>5250000</v>
      </c>
      <c r="E564" s="41">
        <v>2400000</v>
      </c>
      <c r="F564" s="41">
        <v>62200000</v>
      </c>
      <c r="G564" s="15">
        <f t="shared" ref="G564" si="168">SUM(B564:F564)</f>
        <v>80450000</v>
      </c>
      <c r="H564" s="16"/>
      <c r="I564" s="17"/>
      <c r="J564" s="18">
        <v>12000000</v>
      </c>
      <c r="K564" s="17"/>
      <c r="L564" s="17"/>
      <c r="M564" s="17"/>
      <c r="N564" s="17"/>
      <c r="O564" s="17"/>
      <c r="P564" s="17"/>
      <c r="Q564" s="17"/>
      <c r="R564" s="19"/>
      <c r="T564" s="1"/>
    </row>
    <row r="565" spans="1:22" x14ac:dyDescent="0.25">
      <c r="A565" s="20" t="s">
        <v>16</v>
      </c>
      <c r="B565" s="42"/>
      <c r="C565" s="45">
        <v>100000</v>
      </c>
      <c r="D565" s="45">
        <v>100000</v>
      </c>
      <c r="E565" s="45">
        <v>300000</v>
      </c>
      <c r="F565" s="45">
        <v>1000000</v>
      </c>
      <c r="G565" s="15">
        <f t="shared" ref="G565:G577" si="169">SUM(B565:F565)</f>
        <v>1500000</v>
      </c>
      <c r="H565" s="16">
        <v>29</v>
      </c>
      <c r="I565" s="26">
        <v>1000000</v>
      </c>
      <c r="J565" s="25">
        <f t="shared" ref="J565:J571" si="170">J564-I565</f>
        <v>11000000</v>
      </c>
      <c r="K565" s="26">
        <f t="shared" ref="K565:K567" si="171">0.015*J564</f>
        <v>180000</v>
      </c>
      <c r="L565" s="26"/>
      <c r="M565" s="25"/>
      <c r="N565" s="25"/>
      <c r="O565" s="25"/>
      <c r="P565" s="25"/>
      <c r="Q565" s="25"/>
      <c r="R565" s="27">
        <f>K565+I565+G565</f>
        <v>2680000</v>
      </c>
      <c r="T565" s="1"/>
    </row>
    <row r="566" spans="1:22" x14ac:dyDescent="0.25">
      <c r="A566" s="20" t="s">
        <v>17</v>
      </c>
      <c r="B566" s="42"/>
      <c r="C566" s="45">
        <v>100000</v>
      </c>
      <c r="D566" s="45">
        <v>100000</v>
      </c>
      <c r="E566" s="45">
        <v>300000</v>
      </c>
      <c r="F566" s="45">
        <v>1000000</v>
      </c>
      <c r="G566" s="15">
        <f t="shared" si="169"/>
        <v>1500000</v>
      </c>
      <c r="H566" s="16">
        <v>30</v>
      </c>
      <c r="I566" s="26">
        <v>1000000</v>
      </c>
      <c r="J566" s="25">
        <f t="shared" si="170"/>
        <v>10000000</v>
      </c>
      <c r="K566" s="26">
        <f t="shared" si="171"/>
        <v>165000</v>
      </c>
      <c r="L566" s="26"/>
      <c r="M566" s="25"/>
      <c r="N566" s="25"/>
      <c r="O566" s="25"/>
      <c r="P566" s="25"/>
      <c r="Q566" s="25"/>
      <c r="R566" s="27">
        <f t="shared" ref="R566:R570" si="172">K566+I566+G566</f>
        <v>2665000</v>
      </c>
      <c r="T566" s="1"/>
      <c r="V566" s="1"/>
    </row>
    <row r="567" spans="1:22" x14ac:dyDescent="0.25">
      <c r="A567" s="20" t="s">
        <v>18</v>
      </c>
      <c r="B567" s="42"/>
      <c r="C567" s="45">
        <v>100000</v>
      </c>
      <c r="D567" s="45">
        <v>100000</v>
      </c>
      <c r="E567" s="45">
        <v>300000</v>
      </c>
      <c r="F567" s="45">
        <v>-9000000</v>
      </c>
      <c r="G567" s="15">
        <f t="shared" si="169"/>
        <v>-8500000</v>
      </c>
      <c r="H567" s="16">
        <v>31</v>
      </c>
      <c r="I567" s="26">
        <v>1000000</v>
      </c>
      <c r="J567" s="25">
        <f t="shared" si="170"/>
        <v>9000000</v>
      </c>
      <c r="K567" s="26">
        <f t="shared" si="171"/>
        <v>150000</v>
      </c>
      <c r="L567" s="26"/>
      <c r="M567" s="25"/>
      <c r="N567" s="25"/>
      <c r="O567" s="25"/>
      <c r="P567" s="25"/>
      <c r="Q567" s="25"/>
      <c r="R567" s="27">
        <f t="shared" si="172"/>
        <v>-7350000</v>
      </c>
      <c r="T567" s="1"/>
    </row>
    <row r="568" spans="1:22" x14ac:dyDescent="0.25">
      <c r="A568" s="20" t="s">
        <v>19</v>
      </c>
      <c r="B568" s="42"/>
      <c r="C568" s="45">
        <v>100000</v>
      </c>
      <c r="D568" s="45">
        <v>100000</v>
      </c>
      <c r="E568" s="45">
        <v>-3300000</v>
      </c>
      <c r="F568" s="45">
        <v>1000000</v>
      </c>
      <c r="G568" s="15">
        <f t="shared" si="169"/>
        <v>-2100000</v>
      </c>
      <c r="H568" s="16">
        <v>32</v>
      </c>
      <c r="I568" s="26">
        <v>1000000</v>
      </c>
      <c r="J568" s="25">
        <f t="shared" si="170"/>
        <v>8000000</v>
      </c>
      <c r="K568" s="26">
        <f t="shared" ref="K568" si="173">0.015*J567</f>
        <v>135000</v>
      </c>
      <c r="L568" s="26"/>
      <c r="M568" s="25"/>
      <c r="N568" s="25"/>
      <c r="O568" s="25"/>
      <c r="P568" s="25"/>
      <c r="Q568" s="25"/>
      <c r="R568" s="27">
        <f t="shared" si="172"/>
        <v>-965000</v>
      </c>
      <c r="T568" s="1"/>
    </row>
    <row r="569" spans="1:22" x14ac:dyDescent="0.25">
      <c r="A569" s="20" t="s">
        <v>20</v>
      </c>
      <c r="B569" s="42"/>
      <c r="C569" s="45">
        <v>100000</v>
      </c>
      <c r="D569" s="45">
        <v>100000</v>
      </c>
      <c r="E569" s="45">
        <v>300000</v>
      </c>
      <c r="F569" s="45">
        <v>1000000</v>
      </c>
      <c r="G569" s="15">
        <f t="shared" si="169"/>
        <v>1500000</v>
      </c>
      <c r="H569" s="16">
        <v>33</v>
      </c>
      <c r="I569" s="26">
        <v>1000000</v>
      </c>
      <c r="J569" s="25">
        <f t="shared" si="170"/>
        <v>7000000</v>
      </c>
      <c r="K569" s="26">
        <f t="shared" ref="K569:K570" si="174">0.015*J568</f>
        <v>120000</v>
      </c>
      <c r="L569" s="26"/>
      <c r="M569" s="25"/>
      <c r="N569" s="25"/>
      <c r="O569" s="25"/>
      <c r="P569" s="25"/>
      <c r="Q569" s="25"/>
      <c r="R569" s="27">
        <f t="shared" si="172"/>
        <v>2620000</v>
      </c>
      <c r="T569" s="1"/>
    </row>
    <row r="570" spans="1:22" x14ac:dyDescent="0.25">
      <c r="A570" s="20" t="s">
        <v>21</v>
      </c>
      <c r="B570" s="42"/>
      <c r="C570" s="45">
        <v>100000</v>
      </c>
      <c r="D570" s="45">
        <v>-5750000</v>
      </c>
      <c r="E570" s="45">
        <v>300000</v>
      </c>
      <c r="F570" s="45">
        <v>-57200000</v>
      </c>
      <c r="G570" s="15">
        <f t="shared" si="169"/>
        <v>-62550000</v>
      </c>
      <c r="H570" s="16">
        <v>34</v>
      </c>
      <c r="I570" s="26">
        <v>1000000</v>
      </c>
      <c r="J570" s="25">
        <f t="shared" si="170"/>
        <v>6000000</v>
      </c>
      <c r="K570" s="26">
        <f t="shared" si="174"/>
        <v>105000</v>
      </c>
      <c r="L570" s="26"/>
      <c r="M570" s="25"/>
      <c r="N570" s="25"/>
      <c r="O570" s="25"/>
      <c r="P570" s="25"/>
      <c r="Q570" s="25"/>
      <c r="R570" s="27">
        <f t="shared" si="172"/>
        <v>-61445000</v>
      </c>
      <c r="T570" s="1"/>
    </row>
    <row r="571" spans="1:22" x14ac:dyDescent="0.25">
      <c r="A571" s="20" t="s">
        <v>22</v>
      </c>
      <c r="B571" s="42"/>
      <c r="C571" s="45">
        <v>100000</v>
      </c>
      <c r="D571" s="45">
        <v>100000</v>
      </c>
      <c r="E571" s="45">
        <v>300000</v>
      </c>
      <c r="F571" s="45">
        <v>1000000</v>
      </c>
      <c r="G571" s="15">
        <f t="shared" si="169"/>
        <v>1500000</v>
      </c>
      <c r="H571" s="16">
        <v>35</v>
      </c>
      <c r="I571" s="26">
        <v>1000000</v>
      </c>
      <c r="J571" s="25">
        <f t="shared" si="170"/>
        <v>5000000</v>
      </c>
      <c r="K571" s="26">
        <f t="shared" ref="K571:K572" si="175">0.015*J570</f>
        <v>90000</v>
      </c>
      <c r="L571" s="26"/>
      <c r="M571" s="25"/>
      <c r="N571" s="25"/>
      <c r="O571" s="25"/>
      <c r="P571" s="25"/>
      <c r="Q571" s="25"/>
      <c r="R571" s="27">
        <f>K571+I571+G571</f>
        <v>2590000</v>
      </c>
      <c r="T571" s="1"/>
      <c r="V571" s="1"/>
    </row>
    <row r="572" spans="1:22" x14ac:dyDescent="0.25">
      <c r="A572" s="20" t="s">
        <v>23</v>
      </c>
      <c r="B572" s="42"/>
      <c r="C572" s="45">
        <v>100000</v>
      </c>
      <c r="D572" s="45">
        <v>100000</v>
      </c>
      <c r="E572" s="45">
        <v>300000</v>
      </c>
      <c r="F572" s="45">
        <v>1000000</v>
      </c>
      <c r="G572" s="15">
        <f t="shared" si="169"/>
        <v>1500000</v>
      </c>
      <c r="H572" s="16">
        <v>36</v>
      </c>
      <c r="I572" s="26">
        <v>1000000</v>
      </c>
      <c r="J572" s="25">
        <f>J571-I572+26000000</f>
        <v>30000000</v>
      </c>
      <c r="K572" s="26">
        <f t="shared" si="175"/>
        <v>75000</v>
      </c>
      <c r="L572" s="26"/>
      <c r="M572" s="25"/>
      <c r="N572" s="25"/>
      <c r="O572" s="25"/>
      <c r="P572" s="25"/>
      <c r="Q572" s="25"/>
      <c r="R572" s="27">
        <f>K572+I572+G572</f>
        <v>2575000</v>
      </c>
      <c r="T572" s="1"/>
      <c r="V572" s="1"/>
    </row>
    <row r="573" spans="1:22" x14ac:dyDescent="0.25">
      <c r="A573" s="20" t="s">
        <v>24</v>
      </c>
      <c r="B573" s="42"/>
      <c r="C573" s="45">
        <v>100000</v>
      </c>
      <c r="D573" s="45">
        <v>100000</v>
      </c>
      <c r="E573" s="45">
        <v>300000</v>
      </c>
      <c r="F573" s="45">
        <v>1000000</v>
      </c>
      <c r="G573" s="15">
        <f t="shared" si="169"/>
        <v>1500000</v>
      </c>
      <c r="H573" s="16">
        <v>37</v>
      </c>
      <c r="I573" s="26">
        <v>1000000</v>
      </c>
      <c r="J573" s="25">
        <f>J572-I573</f>
        <v>29000000</v>
      </c>
      <c r="K573" s="26">
        <f t="shared" ref="K573" si="176">0.015*J572</f>
        <v>450000</v>
      </c>
      <c r="L573" s="26"/>
      <c r="M573" s="25"/>
      <c r="N573" s="25"/>
      <c r="O573" s="25"/>
      <c r="P573" s="25"/>
      <c r="Q573" s="25"/>
      <c r="R573" s="27">
        <f>K573+I573+G573</f>
        <v>2950000</v>
      </c>
      <c r="T573" s="1"/>
    </row>
    <row r="574" spans="1:22" x14ac:dyDescent="0.25">
      <c r="A574" s="20" t="s">
        <v>25</v>
      </c>
      <c r="B574" s="42"/>
      <c r="C574" s="45">
        <v>100000</v>
      </c>
      <c r="D574" s="45">
        <v>100000</v>
      </c>
      <c r="E574" s="45">
        <v>300000</v>
      </c>
      <c r="F574" s="45">
        <v>1000000</v>
      </c>
      <c r="G574" s="15">
        <f t="shared" si="169"/>
        <v>1500000</v>
      </c>
      <c r="H574" s="16">
        <v>38</v>
      </c>
      <c r="I574" s="26">
        <v>1000000</v>
      </c>
      <c r="J574" s="25">
        <f>J573-I574</f>
        <v>28000000</v>
      </c>
      <c r="K574" s="26">
        <f t="shared" ref="K574" si="177">0.015*J573</f>
        <v>435000</v>
      </c>
      <c r="L574" s="26"/>
      <c r="M574" s="25"/>
      <c r="N574" s="25"/>
      <c r="O574" s="25"/>
      <c r="P574" s="25"/>
      <c r="Q574" s="25"/>
      <c r="R574" s="27">
        <f>K574+I574+G574</f>
        <v>2935000</v>
      </c>
      <c r="T574" s="1"/>
    </row>
    <row r="575" spans="1:22" x14ac:dyDescent="0.25">
      <c r="A575" s="20" t="s">
        <v>26</v>
      </c>
      <c r="B575" s="42"/>
      <c r="C575" s="45">
        <v>100000</v>
      </c>
      <c r="D575" s="45">
        <v>100000</v>
      </c>
      <c r="E575" s="45">
        <v>300000</v>
      </c>
      <c r="F575" s="45">
        <v>1000000</v>
      </c>
      <c r="G575" s="15">
        <f t="shared" si="169"/>
        <v>1500000</v>
      </c>
      <c r="H575" s="16">
        <v>39</v>
      </c>
      <c r="I575" s="26">
        <v>1000000</v>
      </c>
      <c r="J575" s="25">
        <f>J574-I575</f>
        <v>27000000</v>
      </c>
      <c r="K575" s="26">
        <f t="shared" ref="K575" si="178">0.015*J574</f>
        <v>420000</v>
      </c>
      <c r="L575" s="26"/>
      <c r="M575" s="25"/>
      <c r="N575" s="25"/>
      <c r="O575" s="25"/>
      <c r="P575" s="25"/>
      <c r="Q575" s="25"/>
      <c r="R575" s="27">
        <f t="shared" ref="R575:R576" si="179">K575+I575+G575</f>
        <v>2920000</v>
      </c>
    </row>
    <row r="576" spans="1:22" ht="15.75" thickBot="1" x14ac:dyDescent="0.3">
      <c r="A576" s="12" t="s">
        <v>15</v>
      </c>
      <c r="B576" s="44"/>
      <c r="C576" s="45">
        <v>100000</v>
      </c>
      <c r="D576" s="45">
        <v>100000</v>
      </c>
      <c r="E576" s="45">
        <v>300000</v>
      </c>
      <c r="F576" s="45">
        <v>1000000</v>
      </c>
      <c r="G576" s="15">
        <f t="shared" si="169"/>
        <v>1500000</v>
      </c>
      <c r="H576" s="16">
        <v>40</v>
      </c>
      <c r="I576" s="26">
        <v>1000000</v>
      </c>
      <c r="J576" s="25">
        <f>J575-I576</f>
        <v>26000000</v>
      </c>
      <c r="K576" s="26">
        <f t="shared" ref="K576" si="180">0.015*J575</f>
        <v>405000</v>
      </c>
      <c r="L576" s="26"/>
      <c r="M576" s="25"/>
      <c r="N576" s="25"/>
      <c r="O576" s="25"/>
      <c r="P576" s="25"/>
      <c r="Q576" s="25"/>
      <c r="R576" s="27">
        <f t="shared" si="179"/>
        <v>2905000</v>
      </c>
      <c r="T576" s="1"/>
    </row>
    <row r="577" spans="1:22" ht="15.75" thickBot="1" x14ac:dyDescent="0.3">
      <c r="A577" s="29" t="s">
        <v>0</v>
      </c>
      <c r="B577" s="30">
        <f t="shared" ref="B577:F577" si="181">SUM(B564:B576)</f>
        <v>100000</v>
      </c>
      <c r="C577" s="30">
        <f t="shared" si="181"/>
        <v>11700000</v>
      </c>
      <c r="D577" s="30">
        <f t="shared" si="181"/>
        <v>600000</v>
      </c>
      <c r="E577" s="30">
        <f t="shared" si="181"/>
        <v>2400000</v>
      </c>
      <c r="F577" s="30">
        <f t="shared" si="181"/>
        <v>6000000</v>
      </c>
      <c r="G577" s="15">
        <f t="shared" si="169"/>
        <v>20800000</v>
      </c>
      <c r="H577" s="32"/>
      <c r="I577" s="71" t="s">
        <v>27</v>
      </c>
      <c r="J577" s="72"/>
      <c r="K577" s="33">
        <f>SUM(K564:K576)</f>
        <v>2730000</v>
      </c>
      <c r="L577" s="34"/>
      <c r="M577" s="71" t="s">
        <v>28</v>
      </c>
      <c r="N577" s="73"/>
      <c r="O577" s="72"/>
      <c r="P577" s="33">
        <f>SUM(P564:P576)</f>
        <v>0</v>
      </c>
      <c r="Q577" s="34"/>
      <c r="R577" s="35"/>
      <c r="T577" s="1"/>
    </row>
    <row r="578" spans="1:22" s="36" customFormat="1" ht="15.75" thickBot="1" x14ac:dyDescent="0.3">
      <c r="C578" s="37"/>
      <c r="D578" s="37"/>
      <c r="F578" s="38"/>
      <c r="G578" s="38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T578" s="40"/>
    </row>
    <row r="579" spans="1:22" ht="15.75" customHeight="1" thickBot="1" x14ac:dyDescent="0.3">
      <c r="A579" s="2">
        <f>A562+1</f>
        <v>35</v>
      </c>
      <c r="B579" s="74" t="str">
        <f>VLOOKUP(A579,NAMA,2)</f>
        <v>JOHAN SYAH, S.Pd</v>
      </c>
      <c r="C579" s="75"/>
      <c r="D579" s="75"/>
      <c r="E579" s="75"/>
      <c r="F579" s="76"/>
      <c r="G579" s="3" t="s">
        <v>0</v>
      </c>
      <c r="H579" s="77" t="s">
        <v>1</v>
      </c>
      <c r="I579" s="78"/>
      <c r="J579" s="78"/>
      <c r="K579" s="78"/>
      <c r="L579" s="79"/>
      <c r="M579" s="80" t="s">
        <v>2</v>
      </c>
      <c r="N579" s="78"/>
      <c r="O579" s="78"/>
      <c r="P579" s="78"/>
      <c r="Q579" s="79"/>
      <c r="R579" s="69" t="s">
        <v>29</v>
      </c>
      <c r="T579" s="1"/>
    </row>
    <row r="580" spans="1:22" x14ac:dyDescent="0.25">
      <c r="A580" s="4" t="s">
        <v>4</v>
      </c>
      <c r="B580" s="5" t="s">
        <v>5</v>
      </c>
      <c r="C580" s="6" t="s">
        <v>6</v>
      </c>
      <c r="D580" s="6" t="s">
        <v>7</v>
      </c>
      <c r="E580" s="5" t="s">
        <v>8</v>
      </c>
      <c r="F580" s="5" t="s">
        <v>9</v>
      </c>
      <c r="G580" s="7" t="s">
        <v>10</v>
      </c>
      <c r="H580" s="8" t="s">
        <v>11</v>
      </c>
      <c r="I580" s="9" t="s">
        <v>0</v>
      </c>
      <c r="J580" s="9" t="s">
        <v>12</v>
      </c>
      <c r="K580" s="9" t="s">
        <v>13</v>
      </c>
      <c r="L580" s="10" t="s">
        <v>14</v>
      </c>
      <c r="M580" s="9" t="s">
        <v>11</v>
      </c>
      <c r="N580" s="9" t="s">
        <v>0</v>
      </c>
      <c r="O580" s="9" t="s">
        <v>12</v>
      </c>
      <c r="P580" s="9" t="s">
        <v>13</v>
      </c>
      <c r="Q580" s="10" t="s">
        <v>14</v>
      </c>
      <c r="R580" s="70"/>
      <c r="S580" s="11"/>
      <c r="T580" s="1"/>
    </row>
    <row r="581" spans="1:22" x14ac:dyDescent="0.25">
      <c r="A581" s="12" t="s">
        <v>15</v>
      </c>
      <c r="B581" s="41">
        <v>100000</v>
      </c>
      <c r="C581" s="41">
        <v>11700000</v>
      </c>
      <c r="D581" s="41">
        <v>2925000</v>
      </c>
      <c r="E581" s="41">
        <v>0</v>
      </c>
      <c r="F581" s="41">
        <v>0</v>
      </c>
      <c r="G581" s="15">
        <f t="shared" ref="G581" si="182">SUM(B581:F581)</f>
        <v>14725000</v>
      </c>
      <c r="H581" s="16"/>
      <c r="I581" s="17"/>
      <c r="J581" s="18"/>
      <c r="K581" s="17"/>
      <c r="L581" s="17"/>
      <c r="M581" s="17"/>
      <c r="N581" s="17"/>
      <c r="O581" s="17"/>
      <c r="P581" s="17"/>
      <c r="Q581" s="17"/>
      <c r="R581" s="19"/>
      <c r="T581" s="1"/>
    </row>
    <row r="582" spans="1:22" x14ac:dyDescent="0.25">
      <c r="A582" s="20" t="s">
        <v>16</v>
      </c>
      <c r="B582" s="42"/>
      <c r="C582" s="45">
        <v>100000</v>
      </c>
      <c r="D582" s="45">
        <v>25000</v>
      </c>
      <c r="E582" s="45">
        <v>0</v>
      </c>
      <c r="F582" s="45">
        <v>0</v>
      </c>
      <c r="G582" s="15">
        <f t="shared" ref="G582:G594" si="183">SUM(B582:F582)</f>
        <v>125000</v>
      </c>
      <c r="H582" s="16"/>
      <c r="I582" s="26"/>
      <c r="J582" s="25"/>
      <c r="K582" s="26">
        <f>0.015*J581</f>
        <v>0</v>
      </c>
      <c r="L582" s="26"/>
      <c r="M582" s="25"/>
      <c r="N582" s="25"/>
      <c r="O582" s="25"/>
      <c r="P582" s="25"/>
      <c r="Q582" s="25"/>
      <c r="R582" s="27">
        <f>K582+I582+G582</f>
        <v>125000</v>
      </c>
      <c r="T582" s="1"/>
    </row>
    <row r="583" spans="1:22" x14ac:dyDescent="0.25">
      <c r="A583" s="20" t="s">
        <v>17</v>
      </c>
      <c r="B583" s="42"/>
      <c r="C583" s="45">
        <v>100000</v>
      </c>
      <c r="D583" s="45">
        <v>25000</v>
      </c>
      <c r="E583" s="45">
        <v>0</v>
      </c>
      <c r="F583" s="45">
        <v>0</v>
      </c>
      <c r="G583" s="15">
        <f t="shared" si="183"/>
        <v>125000</v>
      </c>
      <c r="H583" s="16"/>
      <c r="I583" s="26"/>
      <c r="J583" s="25"/>
      <c r="K583" s="26">
        <f t="shared" ref="K583:K585" si="184">0.015*J582</f>
        <v>0</v>
      </c>
      <c r="L583" s="26"/>
      <c r="M583" s="25"/>
      <c r="N583" s="25"/>
      <c r="O583" s="25"/>
      <c r="P583" s="25"/>
      <c r="Q583" s="25"/>
      <c r="R583" s="27">
        <f t="shared" ref="R583:R591" si="185">K583+I583+G583</f>
        <v>125000</v>
      </c>
      <c r="T583" s="1"/>
      <c r="V583" s="1"/>
    </row>
    <row r="584" spans="1:22" x14ac:dyDescent="0.25">
      <c r="A584" s="20" t="s">
        <v>18</v>
      </c>
      <c r="B584" s="42"/>
      <c r="C584" s="45">
        <v>100000</v>
      </c>
      <c r="D584" s="45">
        <v>25000</v>
      </c>
      <c r="E584" s="45">
        <v>0</v>
      </c>
      <c r="F584" s="45">
        <v>0</v>
      </c>
      <c r="G584" s="15">
        <f t="shared" si="183"/>
        <v>125000</v>
      </c>
      <c r="H584" s="16"/>
      <c r="I584" s="26"/>
      <c r="J584" s="25"/>
      <c r="K584" s="26">
        <f t="shared" si="184"/>
        <v>0</v>
      </c>
      <c r="L584" s="26"/>
      <c r="M584" s="25"/>
      <c r="N584" s="25"/>
      <c r="O584" s="26"/>
      <c r="P584" s="25"/>
      <c r="Q584" s="25"/>
      <c r="R584" s="27">
        <f>K584+I584+G584+O584</f>
        <v>125000</v>
      </c>
      <c r="T584" s="1"/>
    </row>
    <row r="585" spans="1:22" x14ac:dyDescent="0.25">
      <c r="A585" s="20" t="s">
        <v>19</v>
      </c>
      <c r="B585" s="42"/>
      <c r="C585" s="45">
        <v>100000</v>
      </c>
      <c r="D585" s="45">
        <v>25000</v>
      </c>
      <c r="E585" s="45">
        <v>0</v>
      </c>
      <c r="F585" s="45">
        <v>0</v>
      </c>
      <c r="G585" s="15">
        <f t="shared" si="183"/>
        <v>125000</v>
      </c>
      <c r="H585" s="16"/>
      <c r="I585" s="26"/>
      <c r="J585" s="25"/>
      <c r="K585" s="26">
        <f t="shared" si="184"/>
        <v>0</v>
      </c>
      <c r="L585" s="26"/>
      <c r="M585" s="25"/>
      <c r="N585" s="25"/>
      <c r="O585" s="25"/>
      <c r="P585" s="25"/>
      <c r="Q585" s="25"/>
      <c r="R585" s="27">
        <f t="shared" si="185"/>
        <v>125000</v>
      </c>
      <c r="T585" s="1"/>
    </row>
    <row r="586" spans="1:22" x14ac:dyDescent="0.25">
      <c r="A586" s="20" t="s">
        <v>20</v>
      </c>
      <c r="B586" s="42"/>
      <c r="C586" s="45">
        <v>100000</v>
      </c>
      <c r="D586" s="45">
        <v>25000</v>
      </c>
      <c r="E586" s="45">
        <v>0</v>
      </c>
      <c r="F586" s="45">
        <v>0</v>
      </c>
      <c r="G586" s="15">
        <f t="shared" si="183"/>
        <v>125000</v>
      </c>
      <c r="H586" s="16"/>
      <c r="I586" s="26"/>
      <c r="J586" s="25"/>
      <c r="K586" s="26">
        <f t="shared" ref="K586:K587" si="186">0.015*J585</f>
        <v>0</v>
      </c>
      <c r="L586" s="26"/>
      <c r="M586" s="25"/>
      <c r="N586" s="25"/>
      <c r="O586" s="25"/>
      <c r="P586" s="25"/>
      <c r="Q586" s="25"/>
      <c r="R586" s="27">
        <f t="shared" si="185"/>
        <v>125000</v>
      </c>
      <c r="T586" s="1"/>
    </row>
    <row r="587" spans="1:22" x14ac:dyDescent="0.25">
      <c r="A587" s="20" t="s">
        <v>21</v>
      </c>
      <c r="B587" s="42"/>
      <c r="C587" s="45">
        <v>100000</v>
      </c>
      <c r="D587" s="45">
        <v>25000</v>
      </c>
      <c r="E587" s="45">
        <v>0</v>
      </c>
      <c r="F587" s="45">
        <v>0</v>
      </c>
      <c r="G587" s="15">
        <f t="shared" si="183"/>
        <v>125000</v>
      </c>
      <c r="H587" s="16"/>
      <c r="I587" s="26"/>
      <c r="J587" s="25"/>
      <c r="K587" s="26">
        <f t="shared" si="186"/>
        <v>0</v>
      </c>
      <c r="L587" s="26"/>
      <c r="M587" s="25"/>
      <c r="N587" s="25"/>
      <c r="O587" s="25"/>
      <c r="P587" s="26">
        <f>0.02*O586</f>
        <v>0</v>
      </c>
      <c r="Q587" s="25"/>
      <c r="R587" s="27">
        <f>G587+P587</f>
        <v>125000</v>
      </c>
      <c r="T587" s="1"/>
    </row>
    <row r="588" spans="1:22" x14ac:dyDescent="0.25">
      <c r="A588" s="20" t="s">
        <v>22</v>
      </c>
      <c r="B588" s="42"/>
      <c r="C588" s="45">
        <v>100000</v>
      </c>
      <c r="D588" s="45">
        <v>25000</v>
      </c>
      <c r="E588" s="45">
        <v>0</v>
      </c>
      <c r="F588" s="45">
        <v>0</v>
      </c>
      <c r="G588" s="15">
        <f t="shared" si="183"/>
        <v>125000</v>
      </c>
      <c r="H588" s="16"/>
      <c r="I588" s="26"/>
      <c r="J588" s="25"/>
      <c r="K588" s="26">
        <f t="shared" ref="K588" si="187">0.015*J587</f>
        <v>0</v>
      </c>
      <c r="L588" s="26"/>
      <c r="M588" s="25"/>
      <c r="N588" s="25"/>
      <c r="O588" s="25"/>
      <c r="P588" s="26">
        <f t="shared" ref="P588:P589" si="188">0.02*O587</f>
        <v>0</v>
      </c>
      <c r="Q588" s="25"/>
      <c r="R588" s="27">
        <f t="shared" si="185"/>
        <v>125000</v>
      </c>
      <c r="T588" s="1"/>
      <c r="V588" s="1"/>
    </row>
    <row r="589" spans="1:22" x14ac:dyDescent="0.25">
      <c r="A589" s="20" t="s">
        <v>23</v>
      </c>
      <c r="B589" s="42"/>
      <c r="C589" s="45">
        <v>100000</v>
      </c>
      <c r="D589" s="45">
        <v>25000</v>
      </c>
      <c r="E589" s="45">
        <v>0</v>
      </c>
      <c r="F589" s="45">
        <v>0</v>
      </c>
      <c r="G589" s="15">
        <f t="shared" si="183"/>
        <v>125000</v>
      </c>
      <c r="H589" s="16"/>
      <c r="I589" s="26"/>
      <c r="J589" s="25"/>
      <c r="K589" s="26">
        <f t="shared" ref="K589" si="189">0.015*J588</f>
        <v>0</v>
      </c>
      <c r="L589" s="26"/>
      <c r="M589" s="25"/>
      <c r="N589" s="25"/>
      <c r="O589" s="25"/>
      <c r="P589" s="26">
        <f t="shared" si="188"/>
        <v>0</v>
      </c>
      <c r="Q589" s="25"/>
      <c r="R589" s="27">
        <f t="shared" si="185"/>
        <v>125000</v>
      </c>
      <c r="T589" s="1"/>
      <c r="V589" s="1"/>
    </row>
    <row r="590" spans="1:22" x14ac:dyDescent="0.25">
      <c r="A590" s="20" t="s">
        <v>24</v>
      </c>
      <c r="B590" s="42"/>
      <c r="C590" s="45">
        <v>100000</v>
      </c>
      <c r="D590" s="45">
        <v>25000</v>
      </c>
      <c r="E590" s="45">
        <v>0</v>
      </c>
      <c r="F590" s="45">
        <v>0</v>
      </c>
      <c r="G590" s="15">
        <f t="shared" si="183"/>
        <v>125000</v>
      </c>
      <c r="H590" s="16"/>
      <c r="I590" s="26">
        <v>15000000</v>
      </c>
      <c r="J590" s="25">
        <v>15000000</v>
      </c>
      <c r="K590" s="26">
        <f t="shared" ref="K590" si="190">0.015*J589</f>
        <v>0</v>
      </c>
      <c r="L590" s="26"/>
      <c r="M590" s="25"/>
      <c r="N590" s="25"/>
      <c r="O590" s="25"/>
      <c r="P590" s="25"/>
      <c r="Q590" s="25"/>
      <c r="R590" s="27">
        <f t="shared" si="185"/>
        <v>15125000</v>
      </c>
      <c r="T590" s="1"/>
    </row>
    <row r="591" spans="1:22" x14ac:dyDescent="0.25">
      <c r="A591" s="20" t="s">
        <v>25</v>
      </c>
      <c r="B591" s="42"/>
      <c r="C591" s="45">
        <v>100000</v>
      </c>
      <c r="D591" s="45">
        <v>25000</v>
      </c>
      <c r="E591" s="45">
        <v>0</v>
      </c>
      <c r="F591" s="45">
        <v>0</v>
      </c>
      <c r="G591" s="15">
        <f t="shared" si="183"/>
        <v>125000</v>
      </c>
      <c r="H591" s="16">
        <v>1</v>
      </c>
      <c r="I591" s="26">
        <v>3000000</v>
      </c>
      <c r="J591" s="25">
        <f>J590-I591</f>
        <v>12000000</v>
      </c>
      <c r="K591" s="26">
        <f t="shared" ref="K591" si="191">0.015*J590</f>
        <v>225000</v>
      </c>
      <c r="L591" s="26"/>
      <c r="M591" s="25"/>
      <c r="N591" s="25"/>
      <c r="O591" s="25"/>
      <c r="P591" s="25"/>
      <c r="Q591" s="25"/>
      <c r="R591" s="27">
        <f t="shared" si="185"/>
        <v>3350000</v>
      </c>
      <c r="T591" s="1"/>
    </row>
    <row r="592" spans="1:22" x14ac:dyDescent="0.25">
      <c r="A592" s="20" t="s">
        <v>26</v>
      </c>
      <c r="B592" s="42"/>
      <c r="C592" s="45">
        <v>100000</v>
      </c>
      <c r="D592" s="45">
        <v>25000</v>
      </c>
      <c r="E592" s="45">
        <v>0</v>
      </c>
      <c r="F592" s="45">
        <v>0</v>
      </c>
      <c r="G592" s="15">
        <f t="shared" si="183"/>
        <v>125000</v>
      </c>
      <c r="H592" s="16">
        <v>2</v>
      </c>
      <c r="I592" s="26">
        <v>12000000</v>
      </c>
      <c r="J592" s="25">
        <f>J591-I592</f>
        <v>0</v>
      </c>
      <c r="K592" s="26">
        <f t="shared" ref="K592:K593" si="192">0.015*J591</f>
        <v>180000</v>
      </c>
      <c r="L592" s="26"/>
      <c r="M592" s="25"/>
      <c r="N592" s="25"/>
      <c r="O592" s="26"/>
      <c r="P592" s="26"/>
      <c r="Q592" s="25"/>
      <c r="R592" s="27">
        <f>K592+I592+G592+P592</f>
        <v>12305000</v>
      </c>
    </row>
    <row r="593" spans="1:22" ht="15.75" thickBot="1" x14ac:dyDescent="0.3">
      <c r="A593" s="12" t="s">
        <v>15</v>
      </c>
      <c r="B593" s="44"/>
      <c r="C593" s="45">
        <v>100000</v>
      </c>
      <c r="D593" s="45">
        <v>25000</v>
      </c>
      <c r="E593" s="45">
        <v>0</v>
      </c>
      <c r="F593" s="45">
        <v>0</v>
      </c>
      <c r="G593" s="15">
        <f t="shared" si="183"/>
        <v>125000</v>
      </c>
      <c r="H593" s="16"/>
      <c r="I593" s="26"/>
      <c r="J593" s="25"/>
      <c r="K593" s="26">
        <f t="shared" si="192"/>
        <v>0</v>
      </c>
      <c r="L593" s="26"/>
      <c r="M593" s="25"/>
      <c r="N593" s="25"/>
      <c r="O593" s="26">
        <f>N592-O592</f>
        <v>0</v>
      </c>
      <c r="P593" s="25"/>
      <c r="Q593" s="25"/>
      <c r="R593" s="27">
        <f>K593+I593+G593+P593</f>
        <v>125000</v>
      </c>
      <c r="T593" s="1"/>
    </row>
    <row r="594" spans="1:22" ht="15.75" thickBot="1" x14ac:dyDescent="0.3">
      <c r="A594" s="29" t="s">
        <v>0</v>
      </c>
      <c r="B594" s="30">
        <f t="shared" ref="B594:F594" si="193">SUM(B581:B593)</f>
        <v>100000</v>
      </c>
      <c r="C594" s="30">
        <f t="shared" si="193"/>
        <v>12900000</v>
      </c>
      <c r="D594" s="30">
        <f t="shared" si="193"/>
        <v>3225000</v>
      </c>
      <c r="E594" s="30">
        <f t="shared" si="193"/>
        <v>0</v>
      </c>
      <c r="F594" s="30">
        <f t="shared" si="193"/>
        <v>0</v>
      </c>
      <c r="G594" s="15">
        <f t="shared" si="183"/>
        <v>16225000</v>
      </c>
      <c r="H594" s="32"/>
      <c r="I594" s="71" t="s">
        <v>27</v>
      </c>
      <c r="J594" s="72"/>
      <c r="K594" s="33">
        <f>SUM(K581:K593)</f>
        <v>405000</v>
      </c>
      <c r="L594" s="34"/>
      <c r="M594" s="71" t="s">
        <v>28</v>
      </c>
      <c r="N594" s="73"/>
      <c r="O594" s="72"/>
      <c r="P594" s="33">
        <f>SUM(P581:P593)</f>
        <v>0</v>
      </c>
      <c r="Q594" s="34"/>
      <c r="R594" s="35"/>
      <c r="T594" s="1"/>
    </row>
    <row r="595" spans="1:22" s="36" customFormat="1" ht="15.75" thickBot="1" x14ac:dyDescent="0.3">
      <c r="C595" s="37"/>
      <c r="D595" s="37"/>
      <c r="F595" s="38"/>
      <c r="G595" s="38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T595" s="40"/>
    </row>
    <row r="596" spans="1:22" ht="15.75" customHeight="1" thickBot="1" x14ac:dyDescent="0.3">
      <c r="A596" s="2">
        <f>A579+1</f>
        <v>36</v>
      </c>
      <c r="B596" s="74"/>
      <c r="C596" s="75"/>
      <c r="D596" s="75"/>
      <c r="E596" s="75"/>
      <c r="F596" s="76"/>
      <c r="G596" s="3" t="s">
        <v>0</v>
      </c>
      <c r="H596" s="77" t="s">
        <v>1</v>
      </c>
      <c r="I596" s="78"/>
      <c r="J596" s="78"/>
      <c r="K596" s="78"/>
      <c r="L596" s="79"/>
      <c r="M596" s="80" t="s">
        <v>2</v>
      </c>
      <c r="N596" s="78"/>
      <c r="O596" s="78"/>
      <c r="P596" s="78"/>
      <c r="Q596" s="79"/>
      <c r="R596" s="69" t="s">
        <v>29</v>
      </c>
      <c r="T596" s="1"/>
    </row>
    <row r="597" spans="1:22" x14ac:dyDescent="0.25">
      <c r="A597" s="4" t="s">
        <v>4</v>
      </c>
      <c r="B597" s="5" t="s">
        <v>5</v>
      </c>
      <c r="C597" s="6" t="s">
        <v>6</v>
      </c>
      <c r="D597" s="6" t="s">
        <v>7</v>
      </c>
      <c r="E597" s="5" t="s">
        <v>8</v>
      </c>
      <c r="F597" s="5" t="s">
        <v>9</v>
      </c>
      <c r="G597" s="7" t="s">
        <v>10</v>
      </c>
      <c r="H597" s="8" t="s">
        <v>11</v>
      </c>
      <c r="I597" s="9" t="s">
        <v>0</v>
      </c>
      <c r="J597" s="9" t="s">
        <v>12</v>
      </c>
      <c r="K597" s="9" t="s">
        <v>13</v>
      </c>
      <c r="L597" s="10" t="s">
        <v>14</v>
      </c>
      <c r="M597" s="9" t="s">
        <v>11</v>
      </c>
      <c r="N597" s="9" t="s">
        <v>0</v>
      </c>
      <c r="O597" s="9" t="s">
        <v>12</v>
      </c>
      <c r="P597" s="9" t="s">
        <v>13</v>
      </c>
      <c r="Q597" s="10" t="s">
        <v>14</v>
      </c>
      <c r="R597" s="70"/>
      <c r="S597" s="11"/>
      <c r="T597" s="1"/>
    </row>
    <row r="598" spans="1:22" x14ac:dyDescent="0.25">
      <c r="A598" s="12" t="s">
        <v>15</v>
      </c>
      <c r="B598" s="41"/>
      <c r="C598" s="41"/>
      <c r="D598" s="41"/>
      <c r="E598" s="41"/>
      <c r="F598" s="41"/>
      <c r="G598" s="15"/>
      <c r="H598" s="16"/>
      <c r="I598" s="17"/>
      <c r="J598" s="18"/>
      <c r="K598" s="17"/>
      <c r="L598" s="17"/>
      <c r="M598" s="17"/>
      <c r="N598" s="17"/>
      <c r="O598" s="17"/>
      <c r="P598" s="17"/>
      <c r="Q598" s="17"/>
      <c r="R598" s="19"/>
      <c r="T598" s="1"/>
    </row>
    <row r="599" spans="1:22" x14ac:dyDescent="0.25">
      <c r="A599" s="20" t="s">
        <v>16</v>
      </c>
      <c r="B599" s="42"/>
      <c r="C599" s="43"/>
      <c r="D599" s="43"/>
      <c r="E599" s="43"/>
      <c r="F599" s="43"/>
      <c r="G599" s="15"/>
      <c r="H599" s="16"/>
      <c r="I599" s="26"/>
      <c r="J599" s="25"/>
      <c r="K599" s="26"/>
      <c r="L599" s="26"/>
      <c r="M599" s="25"/>
      <c r="N599" s="25"/>
      <c r="O599" s="25"/>
      <c r="P599" s="25"/>
      <c r="Q599" s="25"/>
      <c r="R599" s="27"/>
      <c r="T599" s="1"/>
    </row>
    <row r="600" spans="1:22" x14ac:dyDescent="0.25">
      <c r="A600" s="20" t="s">
        <v>17</v>
      </c>
      <c r="B600" s="42"/>
      <c r="C600" s="43"/>
      <c r="D600" s="43"/>
      <c r="E600" s="43"/>
      <c r="F600" s="43"/>
      <c r="G600" s="15"/>
      <c r="H600" s="16"/>
      <c r="I600" s="26"/>
      <c r="J600" s="25"/>
      <c r="K600" s="26"/>
      <c r="L600" s="26"/>
      <c r="M600" s="25"/>
      <c r="N600" s="25"/>
      <c r="O600" s="25"/>
      <c r="P600" s="25"/>
      <c r="Q600" s="25"/>
      <c r="R600" s="27"/>
      <c r="T600" s="1"/>
      <c r="V600" s="1"/>
    </row>
    <row r="601" spans="1:22" x14ac:dyDescent="0.25">
      <c r="A601" s="20" t="s">
        <v>18</v>
      </c>
      <c r="B601" s="42"/>
      <c r="C601" s="43"/>
      <c r="D601" s="43"/>
      <c r="E601" s="43"/>
      <c r="F601" s="43"/>
      <c r="G601" s="15"/>
      <c r="H601" s="16"/>
      <c r="I601" s="26"/>
      <c r="J601" s="25"/>
      <c r="K601" s="26"/>
      <c r="L601" s="26"/>
      <c r="M601" s="25"/>
      <c r="N601" s="25"/>
      <c r="O601" s="25"/>
      <c r="P601" s="25"/>
      <c r="Q601" s="25"/>
      <c r="R601" s="27"/>
      <c r="T601" s="1"/>
    </row>
    <row r="602" spans="1:22" x14ac:dyDescent="0.25">
      <c r="A602" s="20" t="s">
        <v>19</v>
      </c>
      <c r="B602" s="42"/>
      <c r="C602" s="43"/>
      <c r="D602" s="43"/>
      <c r="E602" s="43"/>
      <c r="F602" s="43"/>
      <c r="G602" s="15"/>
      <c r="H602" s="16"/>
      <c r="I602" s="26"/>
      <c r="J602" s="25"/>
      <c r="K602" s="26"/>
      <c r="L602" s="26"/>
      <c r="M602" s="25"/>
      <c r="N602" s="25"/>
      <c r="O602" s="25"/>
      <c r="P602" s="25"/>
      <c r="Q602" s="25"/>
      <c r="R602" s="27"/>
      <c r="T602" s="1"/>
    </row>
    <row r="603" spans="1:22" x14ac:dyDescent="0.25">
      <c r="A603" s="20" t="s">
        <v>20</v>
      </c>
      <c r="B603" s="42"/>
      <c r="C603" s="43"/>
      <c r="D603" s="43"/>
      <c r="E603" s="43"/>
      <c r="F603" s="43"/>
      <c r="G603" s="15"/>
      <c r="H603" s="16"/>
      <c r="I603" s="26"/>
      <c r="J603" s="25"/>
      <c r="K603" s="26"/>
      <c r="L603" s="26"/>
      <c r="M603" s="25"/>
      <c r="N603" s="25"/>
      <c r="O603" s="25"/>
      <c r="P603" s="25"/>
      <c r="Q603" s="25"/>
      <c r="R603" s="27"/>
      <c r="T603" s="1"/>
    </row>
    <row r="604" spans="1:22" x14ac:dyDescent="0.25">
      <c r="A604" s="20" t="s">
        <v>21</v>
      </c>
      <c r="B604" s="42"/>
      <c r="C604" s="43"/>
      <c r="D604" s="43"/>
      <c r="E604" s="43"/>
      <c r="F604" s="43"/>
      <c r="G604" s="15"/>
      <c r="H604" s="16"/>
      <c r="I604" s="26"/>
      <c r="J604" s="25"/>
      <c r="K604" s="26"/>
      <c r="L604" s="26"/>
      <c r="M604" s="25"/>
      <c r="N604" s="25"/>
      <c r="O604" s="25"/>
      <c r="P604" s="25"/>
      <c r="Q604" s="25"/>
      <c r="R604" s="27"/>
      <c r="T604" s="1"/>
    </row>
    <row r="605" spans="1:22" x14ac:dyDescent="0.25">
      <c r="A605" s="20" t="s">
        <v>22</v>
      </c>
      <c r="B605" s="42"/>
      <c r="C605" s="43"/>
      <c r="D605" s="43"/>
      <c r="E605" s="43"/>
      <c r="F605" s="43"/>
      <c r="G605" s="15"/>
      <c r="H605" s="16"/>
      <c r="I605" s="26"/>
      <c r="J605" s="25"/>
      <c r="K605" s="26"/>
      <c r="L605" s="26"/>
      <c r="M605" s="25"/>
      <c r="N605" s="25"/>
      <c r="O605" s="25"/>
      <c r="P605" s="25"/>
      <c r="Q605" s="25"/>
      <c r="R605" s="27"/>
      <c r="T605" s="1"/>
      <c r="V605" s="1"/>
    </row>
    <row r="606" spans="1:22" x14ac:dyDescent="0.25">
      <c r="A606" s="20" t="s">
        <v>23</v>
      </c>
      <c r="B606" s="42"/>
      <c r="C606" s="43"/>
      <c r="D606" s="43"/>
      <c r="E606" s="43"/>
      <c r="F606" s="43"/>
      <c r="G606" s="15"/>
      <c r="H606" s="16"/>
      <c r="I606" s="26"/>
      <c r="J606" s="25"/>
      <c r="K606" s="26"/>
      <c r="L606" s="26"/>
      <c r="M606" s="25"/>
      <c r="N606" s="25"/>
      <c r="O606" s="25"/>
      <c r="P606" s="25"/>
      <c r="Q606" s="25"/>
      <c r="R606" s="27"/>
      <c r="T606" s="1"/>
      <c r="V606" s="1"/>
    </row>
    <row r="607" spans="1:22" x14ac:dyDescent="0.25">
      <c r="A607" s="20" t="s">
        <v>24</v>
      </c>
      <c r="B607" s="42"/>
      <c r="C607" s="43"/>
      <c r="D607" s="43"/>
      <c r="E607" s="43"/>
      <c r="F607" s="43"/>
      <c r="G607" s="15"/>
      <c r="H607" s="16"/>
      <c r="I607" s="26"/>
      <c r="J607" s="25"/>
      <c r="K607" s="26"/>
      <c r="L607" s="26"/>
      <c r="M607" s="25"/>
      <c r="N607" s="25"/>
      <c r="O607" s="25"/>
      <c r="P607" s="25"/>
      <c r="Q607" s="25"/>
      <c r="R607" s="27"/>
      <c r="T607" s="1"/>
    </row>
    <row r="608" spans="1:22" x14ac:dyDescent="0.25">
      <c r="A608" s="20" t="s">
        <v>25</v>
      </c>
      <c r="B608" s="42"/>
      <c r="C608" s="43"/>
      <c r="D608" s="43"/>
      <c r="E608" s="43"/>
      <c r="F608" s="43"/>
      <c r="G608" s="15"/>
      <c r="H608" s="16"/>
      <c r="I608" s="26"/>
      <c r="J608" s="25"/>
      <c r="K608" s="26"/>
      <c r="L608" s="26"/>
      <c r="M608" s="25"/>
      <c r="N608" s="25"/>
      <c r="O608" s="25"/>
      <c r="P608" s="25"/>
      <c r="Q608" s="25"/>
      <c r="R608" s="27"/>
      <c r="T608" s="1"/>
    </row>
    <row r="609" spans="1:22" x14ac:dyDescent="0.25">
      <c r="A609" s="20" t="s">
        <v>26</v>
      </c>
      <c r="B609" s="42"/>
      <c r="C609" s="43"/>
      <c r="D609" s="43"/>
      <c r="E609" s="43"/>
      <c r="F609" s="43"/>
      <c r="G609" s="15"/>
      <c r="H609" s="16"/>
      <c r="I609" s="26"/>
      <c r="J609" s="25"/>
      <c r="K609" s="26"/>
      <c r="L609" s="26"/>
      <c r="M609" s="25"/>
      <c r="N609" s="25"/>
      <c r="O609" s="25"/>
      <c r="P609" s="25"/>
      <c r="Q609" s="25"/>
      <c r="R609" s="27"/>
    </row>
    <row r="610" spans="1:22" ht="15.75" thickBot="1" x14ac:dyDescent="0.3">
      <c r="A610" s="12" t="s">
        <v>15</v>
      </c>
      <c r="B610" s="44"/>
      <c r="C610" s="45"/>
      <c r="D610" s="45"/>
      <c r="E610" s="45"/>
      <c r="F610" s="45"/>
      <c r="G610" s="15"/>
      <c r="H610" s="16"/>
      <c r="I610" s="26"/>
      <c r="J610" s="25"/>
      <c r="K610" s="26"/>
      <c r="L610" s="26"/>
      <c r="M610" s="25"/>
      <c r="N610" s="25"/>
      <c r="O610" s="25"/>
      <c r="P610" s="25"/>
      <c r="Q610" s="25"/>
      <c r="R610" s="27"/>
      <c r="T610" s="1"/>
    </row>
    <row r="611" spans="1:22" ht="15.75" thickBot="1" x14ac:dyDescent="0.3">
      <c r="A611" s="29" t="s">
        <v>0</v>
      </c>
      <c r="B611" s="30">
        <f t="shared" ref="B611:G611" si="194">SUM(B598:B610)</f>
        <v>0</v>
      </c>
      <c r="C611" s="30">
        <f t="shared" si="194"/>
        <v>0</v>
      </c>
      <c r="D611" s="30">
        <f t="shared" si="194"/>
        <v>0</v>
      </c>
      <c r="E611" s="30">
        <f t="shared" si="194"/>
        <v>0</v>
      </c>
      <c r="F611" s="30">
        <f t="shared" si="194"/>
        <v>0</v>
      </c>
      <c r="G611" s="31">
        <f t="shared" si="194"/>
        <v>0</v>
      </c>
      <c r="H611" s="32"/>
      <c r="I611" s="71" t="s">
        <v>27</v>
      </c>
      <c r="J611" s="72"/>
      <c r="K611" s="33">
        <f>SUM(K598:K610)</f>
        <v>0</v>
      </c>
      <c r="L611" s="34"/>
      <c r="M611" s="71" t="s">
        <v>28</v>
      </c>
      <c r="N611" s="73"/>
      <c r="O611" s="72"/>
      <c r="P611" s="33">
        <f>SUM(P598:P610)</f>
        <v>0</v>
      </c>
      <c r="Q611" s="34"/>
      <c r="R611" s="35"/>
      <c r="T611" s="1"/>
    </row>
    <row r="612" spans="1:22" s="36" customFormat="1" ht="15.75" thickBot="1" x14ac:dyDescent="0.3">
      <c r="C612" s="37"/>
      <c r="D612" s="37"/>
      <c r="F612" s="38"/>
      <c r="G612" s="38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T612" s="40"/>
    </row>
    <row r="613" spans="1:22" ht="15.75" customHeight="1" thickBot="1" x14ac:dyDescent="0.3">
      <c r="A613" s="2">
        <f>A596+1</f>
        <v>37</v>
      </c>
      <c r="B613" s="74"/>
      <c r="C613" s="75"/>
      <c r="D613" s="75"/>
      <c r="E613" s="75"/>
      <c r="F613" s="76"/>
      <c r="G613" s="3" t="s">
        <v>0</v>
      </c>
      <c r="H613" s="77" t="s">
        <v>1</v>
      </c>
      <c r="I613" s="78"/>
      <c r="J613" s="78"/>
      <c r="K613" s="78"/>
      <c r="L613" s="79"/>
      <c r="M613" s="80" t="s">
        <v>2</v>
      </c>
      <c r="N613" s="78"/>
      <c r="O613" s="78"/>
      <c r="P613" s="78"/>
      <c r="Q613" s="79"/>
      <c r="R613" s="69" t="s">
        <v>29</v>
      </c>
      <c r="T613" s="1"/>
    </row>
    <row r="614" spans="1:22" x14ac:dyDescent="0.25">
      <c r="A614" s="4" t="s">
        <v>4</v>
      </c>
      <c r="B614" s="5" t="s">
        <v>5</v>
      </c>
      <c r="C614" s="6" t="s">
        <v>6</v>
      </c>
      <c r="D614" s="6" t="s">
        <v>7</v>
      </c>
      <c r="E614" s="5" t="s">
        <v>8</v>
      </c>
      <c r="F614" s="5" t="s">
        <v>9</v>
      </c>
      <c r="G614" s="7" t="s">
        <v>10</v>
      </c>
      <c r="H614" s="8" t="s">
        <v>11</v>
      </c>
      <c r="I614" s="9" t="s">
        <v>0</v>
      </c>
      <c r="J614" s="9" t="s">
        <v>12</v>
      </c>
      <c r="K614" s="9" t="s">
        <v>13</v>
      </c>
      <c r="L614" s="10" t="s">
        <v>14</v>
      </c>
      <c r="M614" s="9" t="s">
        <v>11</v>
      </c>
      <c r="N614" s="9" t="s">
        <v>0</v>
      </c>
      <c r="O614" s="9" t="s">
        <v>12</v>
      </c>
      <c r="P614" s="9" t="s">
        <v>13</v>
      </c>
      <c r="Q614" s="10" t="s">
        <v>14</v>
      </c>
      <c r="R614" s="70"/>
      <c r="S614" s="11"/>
      <c r="T614" s="1"/>
    </row>
    <row r="615" spans="1:22" x14ac:dyDescent="0.25">
      <c r="A615" s="12" t="s">
        <v>15</v>
      </c>
      <c r="B615" s="41"/>
      <c r="C615" s="41"/>
      <c r="D615" s="41"/>
      <c r="E615" s="41"/>
      <c r="F615" s="41"/>
      <c r="G615" s="15"/>
      <c r="H615" s="16"/>
      <c r="I615" s="17"/>
      <c r="J615" s="18">
        <v>0</v>
      </c>
      <c r="K615" s="17"/>
      <c r="L615" s="17"/>
      <c r="M615" s="17"/>
      <c r="N615" s="17"/>
      <c r="O615" s="17">
        <v>0</v>
      </c>
      <c r="P615" s="17"/>
      <c r="Q615" s="17"/>
      <c r="R615" s="19"/>
      <c r="T615" s="1"/>
    </row>
    <row r="616" spans="1:22" x14ac:dyDescent="0.25">
      <c r="A616" s="20" t="s">
        <v>16</v>
      </c>
      <c r="B616" s="42"/>
      <c r="C616" s="43"/>
      <c r="D616" s="43"/>
      <c r="E616" s="43"/>
      <c r="F616" s="43"/>
      <c r="G616" s="15"/>
      <c r="H616" s="16"/>
      <c r="I616" s="26"/>
      <c r="J616" s="25"/>
      <c r="K616" s="26"/>
      <c r="L616" s="26"/>
      <c r="M616" s="25"/>
      <c r="N616" s="25"/>
      <c r="O616" s="25"/>
      <c r="P616" s="25"/>
      <c r="Q616" s="25"/>
      <c r="R616" s="27">
        <f>G616</f>
        <v>0</v>
      </c>
      <c r="T616" s="1"/>
    </row>
    <row r="617" spans="1:22" x14ac:dyDescent="0.25">
      <c r="A617" s="20" t="s">
        <v>17</v>
      </c>
      <c r="B617" s="42"/>
      <c r="C617" s="43"/>
      <c r="D617" s="43"/>
      <c r="E617" s="43"/>
      <c r="F617" s="43"/>
      <c r="G617" s="15"/>
      <c r="H617" s="16"/>
      <c r="I617" s="26"/>
      <c r="J617" s="25"/>
      <c r="K617" s="26"/>
      <c r="L617" s="26"/>
      <c r="M617" s="25"/>
      <c r="N617" s="25"/>
      <c r="O617" s="25"/>
      <c r="P617" s="25"/>
      <c r="Q617" s="25"/>
      <c r="R617" s="27"/>
      <c r="T617" s="1"/>
      <c r="V617" s="1"/>
    </row>
    <row r="618" spans="1:22" x14ac:dyDescent="0.25">
      <c r="A618" s="20" t="s">
        <v>18</v>
      </c>
      <c r="B618" s="42"/>
      <c r="C618" s="43"/>
      <c r="D618" s="43"/>
      <c r="E618" s="43"/>
      <c r="F618" s="43"/>
      <c r="G618" s="15"/>
      <c r="H618" s="16"/>
      <c r="I618" s="26"/>
      <c r="J618" s="25"/>
      <c r="K618" s="26"/>
      <c r="L618" s="26"/>
      <c r="M618" s="25"/>
      <c r="N618" s="25"/>
      <c r="O618" s="25"/>
      <c r="P618" s="25"/>
      <c r="Q618" s="25"/>
      <c r="R618" s="27"/>
      <c r="T618" s="1"/>
    </row>
    <row r="619" spans="1:22" x14ac:dyDescent="0.25">
      <c r="A619" s="20" t="s">
        <v>19</v>
      </c>
      <c r="B619" s="42"/>
      <c r="C619" s="43"/>
      <c r="D619" s="43"/>
      <c r="E619" s="43"/>
      <c r="F619" s="43"/>
      <c r="G619" s="15"/>
      <c r="H619" s="16"/>
      <c r="I619" s="26"/>
      <c r="J619" s="25"/>
      <c r="K619" s="26"/>
      <c r="L619" s="26"/>
      <c r="M619" s="25"/>
      <c r="N619" s="25"/>
      <c r="O619" s="25"/>
      <c r="P619" s="25"/>
      <c r="Q619" s="25"/>
      <c r="R619" s="27"/>
      <c r="T619" s="1"/>
    </row>
    <row r="620" spans="1:22" x14ac:dyDescent="0.25">
      <c r="A620" s="20" t="s">
        <v>20</v>
      </c>
      <c r="B620" s="42"/>
      <c r="C620" s="43"/>
      <c r="D620" s="43"/>
      <c r="E620" s="43"/>
      <c r="F620" s="43"/>
      <c r="G620" s="15"/>
      <c r="H620" s="16"/>
      <c r="I620" s="26"/>
      <c r="J620" s="25"/>
      <c r="K620" s="26"/>
      <c r="L620" s="26"/>
      <c r="M620" s="25"/>
      <c r="N620" s="25"/>
      <c r="O620" s="25"/>
      <c r="P620" s="25"/>
      <c r="Q620" s="25"/>
      <c r="R620" s="27"/>
      <c r="T620" s="1"/>
    </row>
    <row r="621" spans="1:22" x14ac:dyDescent="0.25">
      <c r="A621" s="20" t="s">
        <v>21</v>
      </c>
      <c r="B621" s="42"/>
      <c r="C621" s="43"/>
      <c r="D621" s="43"/>
      <c r="E621" s="43"/>
      <c r="F621" s="43"/>
      <c r="G621" s="15"/>
      <c r="H621" s="16"/>
      <c r="I621" s="26"/>
      <c r="J621" s="25"/>
      <c r="K621" s="26"/>
      <c r="L621" s="26"/>
      <c r="M621" s="25"/>
      <c r="N621" s="25"/>
      <c r="O621" s="25"/>
      <c r="P621" s="25"/>
      <c r="Q621" s="25"/>
      <c r="R621" s="27"/>
      <c r="T621" s="1"/>
    </row>
    <row r="622" spans="1:22" x14ac:dyDescent="0.25">
      <c r="A622" s="20" t="s">
        <v>22</v>
      </c>
      <c r="B622" s="42"/>
      <c r="C622" s="43"/>
      <c r="D622" s="43"/>
      <c r="E622" s="43"/>
      <c r="F622" s="43"/>
      <c r="G622" s="15"/>
      <c r="H622" s="16"/>
      <c r="I622" s="26"/>
      <c r="J622" s="25"/>
      <c r="K622" s="26"/>
      <c r="L622" s="26"/>
      <c r="M622" s="25"/>
      <c r="N622" s="25"/>
      <c r="O622" s="25"/>
      <c r="P622" s="25"/>
      <c r="Q622" s="25"/>
      <c r="R622" s="27"/>
      <c r="T622" s="1"/>
      <c r="V622" s="1"/>
    </row>
    <row r="623" spans="1:22" x14ac:dyDescent="0.25">
      <c r="A623" s="20" t="s">
        <v>23</v>
      </c>
      <c r="B623" s="42"/>
      <c r="C623" s="43"/>
      <c r="D623" s="43"/>
      <c r="E623" s="43"/>
      <c r="F623" s="43"/>
      <c r="G623" s="15"/>
      <c r="H623" s="16"/>
      <c r="I623" s="26"/>
      <c r="J623" s="25"/>
      <c r="K623" s="26"/>
      <c r="L623" s="26"/>
      <c r="M623" s="25"/>
      <c r="N623" s="25"/>
      <c r="O623" s="25"/>
      <c r="P623" s="25"/>
      <c r="Q623" s="25"/>
      <c r="R623" s="27"/>
      <c r="T623" s="1"/>
      <c r="V623" s="1"/>
    </row>
    <row r="624" spans="1:22" x14ac:dyDescent="0.25">
      <c r="A624" s="20" t="s">
        <v>24</v>
      </c>
      <c r="B624" s="42"/>
      <c r="C624" s="43"/>
      <c r="D624" s="43"/>
      <c r="E624" s="43"/>
      <c r="F624" s="43"/>
      <c r="G624" s="15"/>
      <c r="H624" s="16"/>
      <c r="I624" s="26"/>
      <c r="J624" s="25"/>
      <c r="K624" s="26"/>
      <c r="L624" s="26"/>
      <c r="M624" s="25"/>
      <c r="N624" s="25"/>
      <c r="O624" s="25"/>
      <c r="P624" s="25"/>
      <c r="Q624" s="25"/>
      <c r="R624" s="27"/>
      <c r="T624" s="1"/>
    </row>
    <row r="625" spans="1:22" x14ac:dyDescent="0.25">
      <c r="A625" s="20" t="s">
        <v>25</v>
      </c>
      <c r="B625" s="42"/>
      <c r="C625" s="43"/>
      <c r="D625" s="43"/>
      <c r="E625" s="43"/>
      <c r="F625" s="43"/>
      <c r="G625" s="15"/>
      <c r="H625" s="16"/>
      <c r="I625" s="26"/>
      <c r="J625" s="25"/>
      <c r="K625" s="26"/>
      <c r="L625" s="26"/>
      <c r="M625" s="25"/>
      <c r="N625" s="25"/>
      <c r="O625" s="25"/>
      <c r="P625" s="25"/>
      <c r="Q625" s="25"/>
      <c r="R625" s="27"/>
      <c r="T625" s="1"/>
    </row>
    <row r="626" spans="1:22" x14ac:dyDescent="0.25">
      <c r="A626" s="20" t="s">
        <v>26</v>
      </c>
      <c r="B626" s="42"/>
      <c r="C626" s="43"/>
      <c r="D626" s="43"/>
      <c r="E626" s="43"/>
      <c r="F626" s="43"/>
      <c r="G626" s="15"/>
      <c r="H626" s="16"/>
      <c r="I626" s="26"/>
      <c r="J626" s="25"/>
      <c r="K626" s="26"/>
      <c r="L626" s="26"/>
      <c r="M626" s="25"/>
      <c r="N626" s="25"/>
      <c r="O626" s="25"/>
      <c r="P626" s="25"/>
      <c r="Q626" s="25"/>
      <c r="R626" s="27"/>
    </row>
    <row r="627" spans="1:22" ht="15.75" thickBot="1" x14ac:dyDescent="0.3">
      <c r="A627" s="12" t="s">
        <v>15</v>
      </c>
      <c r="B627" s="44"/>
      <c r="C627" s="45"/>
      <c r="D627" s="45"/>
      <c r="E627" s="45"/>
      <c r="F627" s="45"/>
      <c r="G627" s="15"/>
      <c r="H627" s="16"/>
      <c r="I627" s="26"/>
      <c r="J627" s="25"/>
      <c r="K627" s="26"/>
      <c r="L627" s="26"/>
      <c r="M627" s="25"/>
      <c r="N627" s="25"/>
      <c r="O627" s="25"/>
      <c r="P627" s="25"/>
      <c r="Q627" s="25"/>
      <c r="R627" s="27"/>
      <c r="T627" s="1"/>
    </row>
    <row r="628" spans="1:22" ht="15.75" thickBot="1" x14ac:dyDescent="0.3">
      <c r="A628" s="29" t="s">
        <v>0</v>
      </c>
      <c r="B628" s="30">
        <f t="shared" ref="B628:G628" si="195">SUM(B615:B627)</f>
        <v>0</v>
      </c>
      <c r="C628" s="30">
        <f t="shared" si="195"/>
        <v>0</v>
      </c>
      <c r="D628" s="30">
        <f t="shared" si="195"/>
        <v>0</v>
      </c>
      <c r="E628" s="30">
        <f t="shared" si="195"/>
        <v>0</v>
      </c>
      <c r="F628" s="30">
        <f t="shared" si="195"/>
        <v>0</v>
      </c>
      <c r="G628" s="31">
        <f t="shared" si="195"/>
        <v>0</v>
      </c>
      <c r="H628" s="32"/>
      <c r="I628" s="71" t="s">
        <v>27</v>
      </c>
      <c r="J628" s="72"/>
      <c r="K628" s="33">
        <f>SUM(K615:K627)</f>
        <v>0</v>
      </c>
      <c r="L628" s="34"/>
      <c r="M628" s="71" t="s">
        <v>28</v>
      </c>
      <c r="N628" s="73"/>
      <c r="O628" s="72"/>
      <c r="P628" s="33">
        <f>SUM(P615:P627)</f>
        <v>0</v>
      </c>
      <c r="Q628" s="34"/>
      <c r="R628" s="35"/>
      <c r="T628" s="1"/>
    </row>
    <row r="629" spans="1:22" s="36" customFormat="1" ht="15.75" thickBot="1" x14ac:dyDescent="0.3">
      <c r="C629" s="37"/>
      <c r="D629" s="37"/>
      <c r="F629" s="38"/>
      <c r="G629" s="38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T629" s="40"/>
    </row>
    <row r="630" spans="1:22" ht="15.75" customHeight="1" thickBot="1" x14ac:dyDescent="0.3">
      <c r="A630" s="2">
        <f>A613+1</f>
        <v>38</v>
      </c>
      <c r="B630" s="74"/>
      <c r="C630" s="75"/>
      <c r="D630" s="75"/>
      <c r="E630" s="75"/>
      <c r="F630" s="76"/>
      <c r="G630" s="3" t="s">
        <v>0</v>
      </c>
      <c r="H630" s="77" t="s">
        <v>1</v>
      </c>
      <c r="I630" s="78"/>
      <c r="J630" s="78"/>
      <c r="K630" s="78"/>
      <c r="L630" s="79"/>
      <c r="M630" s="80" t="s">
        <v>2</v>
      </c>
      <c r="N630" s="78"/>
      <c r="O630" s="78"/>
      <c r="P630" s="78"/>
      <c r="Q630" s="79"/>
      <c r="R630" s="69" t="s">
        <v>29</v>
      </c>
      <c r="T630" s="1"/>
    </row>
    <row r="631" spans="1:22" x14ac:dyDescent="0.25">
      <c r="A631" s="4" t="s">
        <v>4</v>
      </c>
      <c r="B631" s="5" t="s">
        <v>5</v>
      </c>
      <c r="C631" s="6" t="s">
        <v>6</v>
      </c>
      <c r="D631" s="6" t="s">
        <v>7</v>
      </c>
      <c r="E631" s="5" t="s">
        <v>8</v>
      </c>
      <c r="F631" s="5" t="s">
        <v>9</v>
      </c>
      <c r="G631" s="7" t="s">
        <v>10</v>
      </c>
      <c r="H631" s="8" t="s">
        <v>11</v>
      </c>
      <c r="I631" s="9" t="s">
        <v>0</v>
      </c>
      <c r="J631" s="9" t="s">
        <v>12</v>
      </c>
      <c r="K631" s="9" t="s">
        <v>13</v>
      </c>
      <c r="L631" s="10" t="s">
        <v>14</v>
      </c>
      <c r="M631" s="9" t="s">
        <v>11</v>
      </c>
      <c r="N631" s="9" t="s">
        <v>0</v>
      </c>
      <c r="O631" s="9" t="s">
        <v>12</v>
      </c>
      <c r="P631" s="9" t="s">
        <v>13</v>
      </c>
      <c r="Q631" s="10" t="s">
        <v>14</v>
      </c>
      <c r="R631" s="70"/>
      <c r="S631" s="11"/>
      <c r="T631" s="1"/>
    </row>
    <row r="632" spans="1:22" x14ac:dyDescent="0.25">
      <c r="A632" s="12" t="s">
        <v>15</v>
      </c>
      <c r="B632" s="41"/>
      <c r="C632" s="41"/>
      <c r="D632" s="41"/>
      <c r="E632" s="41"/>
      <c r="F632" s="41"/>
      <c r="G632" s="15"/>
      <c r="H632" s="16"/>
      <c r="I632" s="17"/>
      <c r="J632" s="18"/>
      <c r="K632" s="17"/>
      <c r="L632" s="17"/>
      <c r="M632" s="17"/>
      <c r="N632" s="17"/>
      <c r="O632" s="17"/>
      <c r="P632" s="17"/>
      <c r="Q632" s="17"/>
      <c r="R632" s="19"/>
      <c r="T632" s="1"/>
    </row>
    <row r="633" spans="1:22" x14ac:dyDescent="0.25">
      <c r="A633" s="20" t="s">
        <v>16</v>
      </c>
      <c r="B633" s="42"/>
      <c r="C633" s="43"/>
      <c r="D633" s="43"/>
      <c r="E633" s="43"/>
      <c r="F633" s="43"/>
      <c r="G633" s="15"/>
      <c r="H633" s="16">
        <v>0</v>
      </c>
      <c r="I633" s="26">
        <v>0</v>
      </c>
      <c r="J633" s="25">
        <v>0</v>
      </c>
      <c r="K633" s="26">
        <v>0</v>
      </c>
      <c r="L633" s="26"/>
      <c r="M633" s="25"/>
      <c r="N633" s="25"/>
      <c r="O633" s="25"/>
      <c r="P633" s="25"/>
      <c r="Q633" s="25"/>
      <c r="R633" s="27">
        <v>0</v>
      </c>
      <c r="T633" s="1"/>
    </row>
    <row r="634" spans="1:22" x14ac:dyDescent="0.25">
      <c r="A634" s="20" t="s">
        <v>17</v>
      </c>
      <c r="B634" s="42"/>
      <c r="C634" s="43"/>
      <c r="D634" s="43"/>
      <c r="E634" s="43"/>
      <c r="F634" s="43"/>
      <c r="G634" s="15"/>
      <c r="H634" s="16"/>
      <c r="I634" s="26"/>
      <c r="J634" s="25"/>
      <c r="K634" s="26"/>
      <c r="L634" s="26"/>
      <c r="M634" s="25"/>
      <c r="N634" s="25"/>
      <c r="O634" s="25"/>
      <c r="P634" s="25"/>
      <c r="Q634" s="25"/>
      <c r="R634" s="27"/>
      <c r="T634" s="1"/>
      <c r="V634" s="1"/>
    </row>
    <row r="635" spans="1:22" x14ac:dyDescent="0.25">
      <c r="A635" s="20" t="s">
        <v>18</v>
      </c>
      <c r="B635" s="42"/>
      <c r="C635" s="43"/>
      <c r="D635" s="43"/>
      <c r="E635" s="43"/>
      <c r="F635" s="43"/>
      <c r="G635" s="15"/>
      <c r="H635" s="16"/>
      <c r="I635" s="26"/>
      <c r="J635" s="25"/>
      <c r="K635" s="26"/>
      <c r="L635" s="26"/>
      <c r="M635" s="25"/>
      <c r="N635" s="25"/>
      <c r="O635" s="25"/>
      <c r="P635" s="25"/>
      <c r="Q635" s="25"/>
      <c r="R635" s="27"/>
      <c r="T635" s="1"/>
    </row>
    <row r="636" spans="1:22" x14ac:dyDescent="0.25">
      <c r="A636" s="20" t="s">
        <v>19</v>
      </c>
      <c r="B636" s="42"/>
      <c r="C636" s="43"/>
      <c r="D636" s="43"/>
      <c r="E636" s="43"/>
      <c r="F636" s="43"/>
      <c r="G636" s="15"/>
      <c r="H636" s="16"/>
      <c r="I636" s="26"/>
      <c r="J636" s="25"/>
      <c r="K636" s="26"/>
      <c r="L636" s="26"/>
      <c r="M636" s="25"/>
      <c r="N636" s="25"/>
      <c r="O636" s="25"/>
      <c r="P636" s="25"/>
      <c r="Q636" s="25"/>
      <c r="R636" s="27"/>
      <c r="T636" s="1"/>
    </row>
    <row r="637" spans="1:22" x14ac:dyDescent="0.25">
      <c r="A637" s="20" t="s">
        <v>20</v>
      </c>
      <c r="B637" s="42"/>
      <c r="C637" s="43"/>
      <c r="D637" s="43"/>
      <c r="E637" s="43"/>
      <c r="F637" s="43"/>
      <c r="G637" s="15"/>
      <c r="H637" s="16"/>
      <c r="I637" s="26"/>
      <c r="J637" s="25"/>
      <c r="K637" s="26"/>
      <c r="L637" s="26"/>
      <c r="M637" s="25"/>
      <c r="N637" s="25"/>
      <c r="O637" s="25"/>
      <c r="P637" s="25"/>
      <c r="Q637" s="25"/>
      <c r="R637" s="27"/>
      <c r="T637" s="1"/>
    </row>
    <row r="638" spans="1:22" x14ac:dyDescent="0.25">
      <c r="A638" s="20" t="s">
        <v>21</v>
      </c>
      <c r="B638" s="42"/>
      <c r="C638" s="43"/>
      <c r="D638" s="43"/>
      <c r="E638" s="43"/>
      <c r="F638" s="43"/>
      <c r="G638" s="15"/>
      <c r="H638" s="16"/>
      <c r="I638" s="26"/>
      <c r="J638" s="25"/>
      <c r="K638" s="26"/>
      <c r="L638" s="26"/>
      <c r="M638" s="25"/>
      <c r="N638" s="25"/>
      <c r="O638" s="25"/>
      <c r="P638" s="25"/>
      <c r="Q638" s="25"/>
      <c r="R638" s="27"/>
      <c r="T638" s="1"/>
    </row>
    <row r="639" spans="1:22" x14ac:dyDescent="0.25">
      <c r="A639" s="20" t="s">
        <v>22</v>
      </c>
      <c r="B639" s="42"/>
      <c r="C639" s="43"/>
      <c r="D639" s="43"/>
      <c r="E639" s="43"/>
      <c r="F639" s="43"/>
      <c r="G639" s="15"/>
      <c r="H639" s="16"/>
      <c r="I639" s="26"/>
      <c r="J639" s="25"/>
      <c r="K639" s="26"/>
      <c r="L639" s="26"/>
      <c r="M639" s="25"/>
      <c r="N639" s="25"/>
      <c r="O639" s="25"/>
      <c r="P639" s="25"/>
      <c r="Q639" s="25"/>
      <c r="R639" s="27"/>
      <c r="T639" s="1"/>
      <c r="V639" s="1"/>
    </row>
    <row r="640" spans="1:22" x14ac:dyDescent="0.25">
      <c r="A640" s="20" t="s">
        <v>23</v>
      </c>
      <c r="B640" s="42"/>
      <c r="C640" s="43"/>
      <c r="D640" s="43"/>
      <c r="E640" s="43"/>
      <c r="F640" s="43"/>
      <c r="G640" s="15"/>
      <c r="H640" s="16"/>
      <c r="I640" s="26"/>
      <c r="J640" s="25"/>
      <c r="K640" s="26"/>
      <c r="L640" s="26"/>
      <c r="M640" s="25"/>
      <c r="N640" s="25"/>
      <c r="O640" s="25"/>
      <c r="P640" s="25"/>
      <c r="Q640" s="25"/>
      <c r="R640" s="27"/>
      <c r="T640" s="1"/>
      <c r="V640" s="1"/>
    </row>
    <row r="641" spans="1:22" x14ac:dyDescent="0.25">
      <c r="A641" s="20" t="s">
        <v>24</v>
      </c>
      <c r="B641" s="42"/>
      <c r="C641" s="43"/>
      <c r="D641" s="43"/>
      <c r="E641" s="43"/>
      <c r="F641" s="43"/>
      <c r="G641" s="15"/>
      <c r="H641" s="16"/>
      <c r="I641" s="26"/>
      <c r="J641" s="25"/>
      <c r="K641" s="26"/>
      <c r="L641" s="26"/>
      <c r="M641" s="25"/>
      <c r="N641" s="25"/>
      <c r="O641" s="25"/>
      <c r="P641" s="25"/>
      <c r="Q641" s="25"/>
      <c r="R641" s="27"/>
      <c r="T641" s="1"/>
    </row>
    <row r="642" spans="1:22" x14ac:dyDescent="0.25">
      <c r="A642" s="20" t="s">
        <v>25</v>
      </c>
      <c r="B642" s="42"/>
      <c r="C642" s="43"/>
      <c r="D642" s="43"/>
      <c r="E642" s="43"/>
      <c r="F642" s="43"/>
      <c r="G642" s="15"/>
      <c r="H642" s="16"/>
      <c r="I642" s="26"/>
      <c r="J642" s="25"/>
      <c r="K642" s="26"/>
      <c r="L642" s="26"/>
      <c r="M642" s="25"/>
      <c r="N642" s="25"/>
      <c r="O642" s="25"/>
      <c r="P642" s="25"/>
      <c r="Q642" s="25"/>
      <c r="R642" s="27"/>
      <c r="T642" s="1"/>
    </row>
    <row r="643" spans="1:22" x14ac:dyDescent="0.25">
      <c r="A643" s="20" t="s">
        <v>26</v>
      </c>
      <c r="B643" s="42"/>
      <c r="C643" s="43"/>
      <c r="D643" s="43"/>
      <c r="E643" s="43"/>
      <c r="F643" s="43"/>
      <c r="G643" s="15"/>
      <c r="H643" s="16"/>
      <c r="I643" s="26"/>
      <c r="J643" s="25"/>
      <c r="K643" s="26"/>
      <c r="L643" s="26"/>
      <c r="M643" s="25"/>
      <c r="N643" s="25"/>
      <c r="O643" s="25"/>
      <c r="P643" s="25"/>
      <c r="Q643" s="25"/>
      <c r="R643" s="27"/>
    </row>
    <row r="644" spans="1:22" ht="15.75" thickBot="1" x14ac:dyDescent="0.3">
      <c r="A644" s="12" t="s">
        <v>15</v>
      </c>
      <c r="B644" s="44"/>
      <c r="C644" s="45"/>
      <c r="D644" s="45"/>
      <c r="E644" s="45"/>
      <c r="F644" s="45"/>
      <c r="G644" s="15"/>
      <c r="H644" s="16"/>
      <c r="I644" s="26"/>
      <c r="J644" s="25"/>
      <c r="K644" s="26"/>
      <c r="L644" s="26"/>
      <c r="M644" s="25"/>
      <c r="N644" s="25"/>
      <c r="O644" s="25"/>
      <c r="P644" s="25"/>
      <c r="Q644" s="25"/>
      <c r="R644" s="27"/>
      <c r="T644" s="1"/>
    </row>
    <row r="645" spans="1:22" ht="15.75" thickBot="1" x14ac:dyDescent="0.3">
      <c r="A645" s="29" t="s">
        <v>0</v>
      </c>
      <c r="B645" s="30">
        <f t="shared" ref="B645:G645" si="196">SUM(B632:B644)</f>
        <v>0</v>
      </c>
      <c r="C645" s="30">
        <f t="shared" si="196"/>
        <v>0</v>
      </c>
      <c r="D645" s="30">
        <f t="shared" si="196"/>
        <v>0</v>
      </c>
      <c r="E645" s="30">
        <f t="shared" si="196"/>
        <v>0</v>
      </c>
      <c r="F645" s="30">
        <f t="shared" si="196"/>
        <v>0</v>
      </c>
      <c r="G645" s="31">
        <f t="shared" si="196"/>
        <v>0</v>
      </c>
      <c r="H645" s="32"/>
      <c r="I645" s="71" t="s">
        <v>27</v>
      </c>
      <c r="J645" s="72"/>
      <c r="K645" s="33">
        <f>SUM(K632:K644)</f>
        <v>0</v>
      </c>
      <c r="L645" s="34"/>
      <c r="M645" s="71" t="s">
        <v>28</v>
      </c>
      <c r="N645" s="73"/>
      <c r="O645" s="72"/>
      <c r="P645" s="33">
        <f>SUM(P632:P644)</f>
        <v>0</v>
      </c>
      <c r="Q645" s="34"/>
      <c r="R645" s="35"/>
      <c r="T645" s="1"/>
    </row>
    <row r="646" spans="1:22" s="36" customFormat="1" ht="15.75" thickBot="1" x14ac:dyDescent="0.3">
      <c r="C646" s="37"/>
      <c r="D646" s="37"/>
      <c r="F646" s="38"/>
      <c r="G646" s="38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T646" s="40"/>
    </row>
    <row r="647" spans="1:22" ht="15.75" customHeight="1" thickBot="1" x14ac:dyDescent="0.3">
      <c r="A647" s="2">
        <f>A630+1</f>
        <v>39</v>
      </c>
      <c r="B647" s="74" t="str">
        <f>VLOOKUP(A647,NAMA,2)</f>
        <v>EVA KUSUMA DEWI</v>
      </c>
      <c r="C647" s="75"/>
      <c r="D647" s="75"/>
      <c r="E647" s="75"/>
      <c r="F647" s="76"/>
      <c r="G647" s="3" t="s">
        <v>0</v>
      </c>
      <c r="H647" s="77" t="s">
        <v>1</v>
      </c>
      <c r="I647" s="78"/>
      <c r="J647" s="78"/>
      <c r="K647" s="78"/>
      <c r="L647" s="79"/>
      <c r="M647" s="80" t="s">
        <v>2</v>
      </c>
      <c r="N647" s="78"/>
      <c r="O647" s="78"/>
      <c r="P647" s="78"/>
      <c r="Q647" s="79"/>
      <c r="R647" s="69" t="s">
        <v>29</v>
      </c>
      <c r="T647" s="1"/>
    </row>
    <row r="648" spans="1:22" x14ac:dyDescent="0.25">
      <c r="A648" s="4" t="s">
        <v>4</v>
      </c>
      <c r="B648" s="5" t="s">
        <v>5</v>
      </c>
      <c r="C648" s="6" t="s">
        <v>6</v>
      </c>
      <c r="D648" s="6" t="s">
        <v>7</v>
      </c>
      <c r="E648" s="5" t="s">
        <v>8</v>
      </c>
      <c r="F648" s="5" t="s">
        <v>9</v>
      </c>
      <c r="G648" s="7" t="s">
        <v>10</v>
      </c>
      <c r="H648" s="8" t="s">
        <v>11</v>
      </c>
      <c r="I648" s="9" t="s">
        <v>0</v>
      </c>
      <c r="J648" s="9" t="s">
        <v>12</v>
      </c>
      <c r="K648" s="9" t="s">
        <v>13</v>
      </c>
      <c r="L648" s="10" t="s">
        <v>14</v>
      </c>
      <c r="M648" s="9" t="s">
        <v>11</v>
      </c>
      <c r="N648" s="9" t="s">
        <v>0</v>
      </c>
      <c r="O648" s="9" t="s">
        <v>12</v>
      </c>
      <c r="P648" s="9" t="s">
        <v>13</v>
      </c>
      <c r="Q648" s="10" t="s">
        <v>14</v>
      </c>
      <c r="R648" s="70"/>
      <c r="S648" s="11"/>
      <c r="T648" s="1"/>
    </row>
    <row r="649" spans="1:22" x14ac:dyDescent="0.25">
      <c r="A649" s="12" t="s">
        <v>15</v>
      </c>
      <c r="B649" s="41">
        <v>100000</v>
      </c>
      <c r="C649" s="41">
        <v>3340000</v>
      </c>
      <c r="D649" s="41">
        <v>1740000</v>
      </c>
      <c r="E649" s="41">
        <v>1600000</v>
      </c>
      <c r="F649" s="41">
        <v>4460000</v>
      </c>
      <c r="G649" s="15">
        <f t="shared" ref="G649" si="197">SUM(B649:F649)</f>
        <v>11240000</v>
      </c>
      <c r="H649" s="16"/>
      <c r="I649" s="17"/>
      <c r="J649" s="18">
        <v>0</v>
      </c>
      <c r="K649" s="17"/>
      <c r="L649" s="17"/>
      <c r="M649" s="17"/>
      <c r="N649" s="17"/>
      <c r="O649" s="17"/>
      <c r="P649" s="17"/>
      <c r="Q649" s="17"/>
      <c r="R649" s="19"/>
      <c r="T649" s="1"/>
    </row>
    <row r="650" spans="1:22" x14ac:dyDescent="0.25">
      <c r="A650" s="20" t="s">
        <v>16</v>
      </c>
      <c r="B650" s="42"/>
      <c r="C650" s="43">
        <v>100000</v>
      </c>
      <c r="D650" s="43">
        <v>100000</v>
      </c>
      <c r="E650" s="43">
        <v>200000</v>
      </c>
      <c r="F650" s="43">
        <v>-600000</v>
      </c>
      <c r="G650" s="15">
        <f t="shared" ref="G650:G662" si="198">SUM(B650:F650)</f>
        <v>-200000</v>
      </c>
      <c r="H650" s="16"/>
      <c r="I650" s="26"/>
      <c r="J650" s="25"/>
      <c r="K650" s="26"/>
      <c r="L650" s="26"/>
      <c r="M650" s="25"/>
      <c r="N650" s="25"/>
      <c r="O650" s="17"/>
      <c r="P650" s="26"/>
      <c r="Q650" s="25"/>
      <c r="R650" s="27">
        <f>G650</f>
        <v>-200000</v>
      </c>
      <c r="T650" s="1"/>
    </row>
    <row r="651" spans="1:22" x14ac:dyDescent="0.25">
      <c r="A651" s="20" t="s">
        <v>17</v>
      </c>
      <c r="B651" s="42"/>
      <c r="C651" s="43">
        <v>100000</v>
      </c>
      <c r="D651" s="43">
        <v>100000</v>
      </c>
      <c r="E651" s="43">
        <v>200000</v>
      </c>
      <c r="F651" s="43">
        <v>400000</v>
      </c>
      <c r="G651" s="15">
        <f t="shared" si="198"/>
        <v>800000</v>
      </c>
      <c r="H651" s="16"/>
      <c r="I651" s="26"/>
      <c r="J651" s="25"/>
      <c r="K651" s="26"/>
      <c r="L651" s="26"/>
      <c r="M651" s="25"/>
      <c r="N651" s="25"/>
      <c r="O651" s="17"/>
      <c r="P651" s="26"/>
      <c r="Q651" s="25"/>
      <c r="R651" s="27">
        <f t="shared" ref="R651:R661" si="199">G651</f>
        <v>800000</v>
      </c>
      <c r="T651" s="1"/>
      <c r="V651" s="1"/>
    </row>
    <row r="652" spans="1:22" x14ac:dyDescent="0.25">
      <c r="A652" s="20" t="s">
        <v>18</v>
      </c>
      <c r="B652" s="42"/>
      <c r="C652" s="43">
        <v>100000</v>
      </c>
      <c r="D652" s="43">
        <v>100000</v>
      </c>
      <c r="E652" s="43">
        <v>200000</v>
      </c>
      <c r="F652" s="43">
        <v>-1100000</v>
      </c>
      <c r="G652" s="15">
        <f t="shared" si="198"/>
        <v>-700000</v>
      </c>
      <c r="H652" s="16"/>
      <c r="I652" s="26"/>
      <c r="J652" s="25"/>
      <c r="K652" s="26"/>
      <c r="L652" s="26"/>
      <c r="M652" s="25"/>
      <c r="N652" s="25"/>
      <c r="O652" s="17">
        <f t="shared" ref="O652:O653" si="200">O651-N652</f>
        <v>0</v>
      </c>
      <c r="P652" s="26">
        <f t="shared" ref="P652:P661" si="201">O651*0.02</f>
        <v>0</v>
      </c>
      <c r="Q652" s="25"/>
      <c r="R652" s="27">
        <f t="shared" si="199"/>
        <v>-700000</v>
      </c>
      <c r="T652" s="1"/>
    </row>
    <row r="653" spans="1:22" x14ac:dyDescent="0.25">
      <c r="A653" s="20" t="s">
        <v>19</v>
      </c>
      <c r="B653" s="42"/>
      <c r="C653" s="43">
        <v>100000</v>
      </c>
      <c r="D653" s="43">
        <v>100000</v>
      </c>
      <c r="E653" s="43">
        <v>-2200000</v>
      </c>
      <c r="F653" s="43">
        <v>400000</v>
      </c>
      <c r="G653" s="15">
        <f t="shared" si="198"/>
        <v>-1600000</v>
      </c>
      <c r="H653" s="16"/>
      <c r="I653" s="26"/>
      <c r="J653" s="25"/>
      <c r="K653" s="26"/>
      <c r="L653" s="26"/>
      <c r="M653" s="25"/>
      <c r="N653" s="25"/>
      <c r="O653" s="17">
        <f t="shared" si="200"/>
        <v>0</v>
      </c>
      <c r="P653" s="26">
        <f t="shared" si="201"/>
        <v>0</v>
      </c>
      <c r="Q653" s="25"/>
      <c r="R653" s="27">
        <f t="shared" si="199"/>
        <v>-1600000</v>
      </c>
      <c r="T653" s="1"/>
    </row>
    <row r="654" spans="1:22" x14ac:dyDescent="0.25">
      <c r="A654" s="20" t="s">
        <v>20</v>
      </c>
      <c r="B654" s="42"/>
      <c r="C654" s="43">
        <v>100000</v>
      </c>
      <c r="D654" s="43">
        <v>100000</v>
      </c>
      <c r="E654" s="43">
        <v>200000</v>
      </c>
      <c r="F654" s="43">
        <v>50000</v>
      </c>
      <c r="G654" s="15">
        <f t="shared" si="198"/>
        <v>450000</v>
      </c>
      <c r="H654" s="16"/>
      <c r="I654" s="26"/>
      <c r="J654" s="25"/>
      <c r="K654" s="26"/>
      <c r="L654" s="26"/>
      <c r="M654" s="25"/>
      <c r="N654" s="25"/>
      <c r="O654" s="25"/>
      <c r="P654" s="26">
        <f t="shared" si="201"/>
        <v>0</v>
      </c>
      <c r="Q654" s="25"/>
      <c r="R654" s="27">
        <f t="shared" si="199"/>
        <v>450000</v>
      </c>
      <c r="T654" s="1"/>
    </row>
    <row r="655" spans="1:22" x14ac:dyDescent="0.25">
      <c r="A655" s="20" t="s">
        <v>21</v>
      </c>
      <c r="B655" s="42"/>
      <c r="C655" s="43">
        <v>100000</v>
      </c>
      <c r="D655" s="43">
        <v>100000</v>
      </c>
      <c r="E655" s="43">
        <v>200000</v>
      </c>
      <c r="F655" s="43">
        <v>400000</v>
      </c>
      <c r="G655" s="15">
        <f t="shared" si="198"/>
        <v>800000</v>
      </c>
      <c r="H655" s="16"/>
      <c r="I655" s="26"/>
      <c r="J655" s="25"/>
      <c r="K655" s="26"/>
      <c r="L655" s="26"/>
      <c r="M655" s="25"/>
      <c r="N655" s="25"/>
      <c r="O655" s="25"/>
      <c r="P655" s="26">
        <f t="shared" si="201"/>
        <v>0</v>
      </c>
      <c r="Q655" s="25"/>
      <c r="R655" s="27">
        <f>G655</f>
        <v>800000</v>
      </c>
      <c r="T655" s="1"/>
    </row>
    <row r="656" spans="1:22" x14ac:dyDescent="0.25">
      <c r="A656" s="20" t="s">
        <v>22</v>
      </c>
      <c r="B656" s="42"/>
      <c r="C656" s="43">
        <v>100000</v>
      </c>
      <c r="D656" s="43">
        <v>100000</v>
      </c>
      <c r="E656" s="43">
        <v>200000</v>
      </c>
      <c r="F656" s="43">
        <v>400000</v>
      </c>
      <c r="G656" s="15">
        <f t="shared" si="198"/>
        <v>800000</v>
      </c>
      <c r="H656" s="16"/>
      <c r="I656" s="26"/>
      <c r="J656" s="25"/>
      <c r="K656" s="26"/>
      <c r="L656" s="26"/>
      <c r="M656" s="25"/>
      <c r="N656" s="25"/>
      <c r="O656" s="25"/>
      <c r="P656" s="26">
        <f t="shared" si="201"/>
        <v>0</v>
      </c>
      <c r="Q656" s="25"/>
      <c r="R656" s="27">
        <f t="shared" si="199"/>
        <v>800000</v>
      </c>
      <c r="T656" s="1"/>
      <c r="V656" s="1"/>
    </row>
    <row r="657" spans="1:22" x14ac:dyDescent="0.25">
      <c r="A657" s="20" t="s">
        <v>23</v>
      </c>
      <c r="B657" s="42"/>
      <c r="C657" s="43">
        <v>100000</v>
      </c>
      <c r="D657" s="43">
        <v>100000</v>
      </c>
      <c r="E657" s="43">
        <v>200000</v>
      </c>
      <c r="F657" s="43">
        <v>400000</v>
      </c>
      <c r="G657" s="15">
        <f t="shared" si="198"/>
        <v>800000</v>
      </c>
      <c r="H657" s="16"/>
      <c r="I657" s="26"/>
      <c r="J657" s="25"/>
      <c r="K657" s="26"/>
      <c r="L657" s="26"/>
      <c r="M657" s="25"/>
      <c r="N657" s="25"/>
      <c r="O657" s="25"/>
      <c r="P657" s="26">
        <f t="shared" si="201"/>
        <v>0</v>
      </c>
      <c r="Q657" s="25"/>
      <c r="R657" s="27">
        <f t="shared" si="199"/>
        <v>800000</v>
      </c>
      <c r="T657" s="1"/>
      <c r="V657" s="1"/>
    </row>
    <row r="658" spans="1:22" x14ac:dyDescent="0.25">
      <c r="A658" s="20" t="s">
        <v>24</v>
      </c>
      <c r="B658" s="42"/>
      <c r="C658" s="43">
        <v>100000</v>
      </c>
      <c r="D658" s="43">
        <v>100000</v>
      </c>
      <c r="E658" s="43">
        <v>200000</v>
      </c>
      <c r="F658" s="43">
        <v>400000</v>
      </c>
      <c r="G658" s="15">
        <f t="shared" si="198"/>
        <v>800000</v>
      </c>
      <c r="H658" s="16"/>
      <c r="I658" s="26"/>
      <c r="J658" s="25"/>
      <c r="K658" s="26"/>
      <c r="L658" s="26"/>
      <c r="M658" s="25"/>
      <c r="N658" s="25"/>
      <c r="O658" s="25"/>
      <c r="P658" s="26">
        <f t="shared" si="201"/>
        <v>0</v>
      </c>
      <c r="Q658" s="25"/>
      <c r="R658" s="27">
        <f t="shared" si="199"/>
        <v>800000</v>
      </c>
      <c r="T658" s="1"/>
    </row>
    <row r="659" spans="1:22" x14ac:dyDescent="0.25">
      <c r="A659" s="20" t="s">
        <v>25</v>
      </c>
      <c r="B659" s="42"/>
      <c r="C659" s="43">
        <v>100000</v>
      </c>
      <c r="D659" s="43">
        <v>100000</v>
      </c>
      <c r="E659" s="43">
        <v>200000</v>
      </c>
      <c r="F659" s="43">
        <v>400000</v>
      </c>
      <c r="G659" s="15">
        <f t="shared" si="198"/>
        <v>800000</v>
      </c>
      <c r="H659" s="16"/>
      <c r="I659" s="26"/>
      <c r="J659" s="25"/>
      <c r="K659" s="26"/>
      <c r="L659" s="26"/>
      <c r="M659" s="25"/>
      <c r="N659" s="25"/>
      <c r="O659" s="25"/>
      <c r="P659" s="26">
        <f t="shared" si="201"/>
        <v>0</v>
      </c>
      <c r="Q659" s="25"/>
      <c r="R659" s="27">
        <f t="shared" si="199"/>
        <v>800000</v>
      </c>
      <c r="T659" s="1"/>
    </row>
    <row r="660" spans="1:22" x14ac:dyDescent="0.25">
      <c r="A660" s="20" t="s">
        <v>26</v>
      </c>
      <c r="B660" s="42"/>
      <c r="C660" s="43">
        <v>100000</v>
      </c>
      <c r="D660" s="43">
        <v>100000</v>
      </c>
      <c r="E660" s="43">
        <v>200000</v>
      </c>
      <c r="F660" s="43">
        <v>400000</v>
      </c>
      <c r="G660" s="15">
        <f t="shared" si="198"/>
        <v>800000</v>
      </c>
      <c r="H660" s="16"/>
      <c r="I660" s="26"/>
      <c r="J660" s="25"/>
      <c r="K660" s="26"/>
      <c r="L660" s="26"/>
      <c r="M660" s="25"/>
      <c r="N660" s="25"/>
      <c r="O660" s="25"/>
      <c r="P660" s="26">
        <f t="shared" si="201"/>
        <v>0</v>
      </c>
      <c r="Q660" s="25"/>
      <c r="R660" s="27">
        <f>G660</f>
        <v>800000</v>
      </c>
    </row>
    <row r="661" spans="1:22" ht="15.75" thickBot="1" x14ac:dyDescent="0.3">
      <c r="A661" s="12" t="s">
        <v>15</v>
      </c>
      <c r="B661" s="44"/>
      <c r="C661" s="43">
        <v>100000</v>
      </c>
      <c r="D661" s="43">
        <v>100000</v>
      </c>
      <c r="E661" s="43">
        <v>200000</v>
      </c>
      <c r="F661" s="43">
        <v>400000</v>
      </c>
      <c r="G661" s="15">
        <f t="shared" si="198"/>
        <v>800000</v>
      </c>
      <c r="H661" s="16"/>
      <c r="I661" s="26"/>
      <c r="J661" s="25"/>
      <c r="K661" s="26"/>
      <c r="L661" s="26"/>
      <c r="M661" s="25"/>
      <c r="N661" s="25"/>
      <c r="O661" s="25"/>
      <c r="P661" s="26">
        <f t="shared" si="201"/>
        <v>0</v>
      </c>
      <c r="Q661" s="25"/>
      <c r="R661" s="27">
        <f t="shared" si="199"/>
        <v>800000</v>
      </c>
      <c r="T661" s="1"/>
    </row>
    <row r="662" spans="1:22" ht="15.75" thickBot="1" x14ac:dyDescent="0.3">
      <c r="A662" s="29" t="s">
        <v>0</v>
      </c>
      <c r="B662" s="30">
        <f t="shared" ref="B662:F662" si="202">SUM(B649:B661)</f>
        <v>100000</v>
      </c>
      <c r="C662" s="30">
        <f t="shared" si="202"/>
        <v>4540000</v>
      </c>
      <c r="D662" s="30">
        <f t="shared" si="202"/>
        <v>2940000</v>
      </c>
      <c r="E662" s="30">
        <f t="shared" si="202"/>
        <v>1600000</v>
      </c>
      <c r="F662" s="30">
        <f t="shared" si="202"/>
        <v>6410000</v>
      </c>
      <c r="G662" s="15">
        <f t="shared" si="198"/>
        <v>15590000</v>
      </c>
      <c r="H662" s="32"/>
      <c r="I662" s="71" t="s">
        <v>27</v>
      </c>
      <c r="J662" s="72"/>
      <c r="K662" s="33">
        <f>SUM(K649:K661)</f>
        <v>0</v>
      </c>
      <c r="L662" s="34"/>
      <c r="M662" s="71" t="s">
        <v>28</v>
      </c>
      <c r="N662" s="73"/>
      <c r="O662" s="72"/>
      <c r="P662" s="33">
        <f>SUM(P649:P661)</f>
        <v>0</v>
      </c>
      <c r="Q662" s="34"/>
      <c r="R662" s="35"/>
      <c r="T662" s="1"/>
    </row>
    <row r="663" spans="1:22" s="36" customFormat="1" ht="15.75" thickBot="1" x14ac:dyDescent="0.3">
      <c r="C663" s="37"/>
      <c r="D663" s="37"/>
      <c r="F663" s="38"/>
      <c r="G663" s="38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T663" s="40"/>
    </row>
    <row r="664" spans="1:22" ht="15.75" customHeight="1" thickBot="1" x14ac:dyDescent="0.3">
      <c r="A664" s="2">
        <f>A647+1</f>
        <v>40</v>
      </c>
      <c r="B664" s="74"/>
      <c r="C664" s="75"/>
      <c r="D664" s="75"/>
      <c r="E664" s="75"/>
      <c r="F664" s="76"/>
      <c r="G664" s="3" t="s">
        <v>0</v>
      </c>
      <c r="H664" s="77" t="s">
        <v>1</v>
      </c>
      <c r="I664" s="78"/>
      <c r="J664" s="78"/>
      <c r="K664" s="78"/>
      <c r="L664" s="79"/>
      <c r="M664" s="80" t="s">
        <v>2</v>
      </c>
      <c r="N664" s="78"/>
      <c r="O664" s="78"/>
      <c r="P664" s="78"/>
      <c r="Q664" s="79"/>
      <c r="R664" s="69" t="s">
        <v>29</v>
      </c>
      <c r="T664" s="1"/>
    </row>
    <row r="665" spans="1:22" x14ac:dyDescent="0.25">
      <c r="A665" s="4" t="s">
        <v>4</v>
      </c>
      <c r="B665" s="5" t="s">
        <v>5</v>
      </c>
      <c r="C665" s="6" t="s">
        <v>6</v>
      </c>
      <c r="D665" s="6" t="s">
        <v>7</v>
      </c>
      <c r="E665" s="5" t="s">
        <v>8</v>
      </c>
      <c r="F665" s="5" t="s">
        <v>9</v>
      </c>
      <c r="G665" s="7" t="s">
        <v>10</v>
      </c>
      <c r="H665" s="8" t="s">
        <v>11</v>
      </c>
      <c r="I665" s="9" t="s">
        <v>0</v>
      </c>
      <c r="J665" s="9" t="s">
        <v>12</v>
      </c>
      <c r="K665" s="9" t="s">
        <v>13</v>
      </c>
      <c r="L665" s="10" t="s">
        <v>14</v>
      </c>
      <c r="M665" s="9" t="s">
        <v>11</v>
      </c>
      <c r="N665" s="9" t="s">
        <v>0</v>
      </c>
      <c r="O665" s="9" t="s">
        <v>12</v>
      </c>
      <c r="P665" s="9" t="s">
        <v>13</v>
      </c>
      <c r="Q665" s="10" t="s">
        <v>14</v>
      </c>
      <c r="R665" s="70"/>
      <c r="S665" s="11"/>
      <c r="T665" s="1"/>
    </row>
    <row r="666" spans="1:22" x14ac:dyDescent="0.25">
      <c r="A666" s="12" t="s">
        <v>15</v>
      </c>
      <c r="B666" s="41"/>
      <c r="C666" s="41"/>
      <c r="D666" s="41"/>
      <c r="E666" s="41"/>
      <c r="F666" s="41"/>
      <c r="G666" s="15"/>
      <c r="H666" s="16"/>
      <c r="I666" s="17"/>
      <c r="J666" s="18"/>
      <c r="K666" s="17"/>
      <c r="L666" s="17"/>
      <c r="M666" s="17"/>
      <c r="N666" s="17"/>
      <c r="O666" s="17"/>
      <c r="P666" s="17"/>
      <c r="Q666" s="17"/>
      <c r="R666" s="19"/>
      <c r="T666" s="1"/>
    </row>
    <row r="667" spans="1:22" x14ac:dyDescent="0.25">
      <c r="A667" s="20" t="s">
        <v>16</v>
      </c>
      <c r="B667" s="42"/>
      <c r="C667" s="43"/>
      <c r="D667" s="43"/>
      <c r="E667" s="43"/>
      <c r="F667" s="43"/>
      <c r="G667" s="15"/>
      <c r="H667" s="16">
        <v>0</v>
      </c>
      <c r="I667" s="26">
        <v>0</v>
      </c>
      <c r="J667" s="25">
        <v>0</v>
      </c>
      <c r="K667" s="26">
        <v>0</v>
      </c>
      <c r="L667" s="26"/>
      <c r="M667" s="25"/>
      <c r="N667" s="25"/>
      <c r="O667" s="25"/>
      <c r="P667" s="25"/>
      <c r="Q667" s="25"/>
      <c r="R667" s="27">
        <f>K667+I667+G667</f>
        <v>0</v>
      </c>
      <c r="T667" s="1"/>
    </row>
    <row r="668" spans="1:22" x14ac:dyDescent="0.25">
      <c r="A668" s="20" t="s">
        <v>17</v>
      </c>
      <c r="B668" s="42"/>
      <c r="C668" s="43"/>
      <c r="D668" s="43"/>
      <c r="E668" s="43"/>
      <c r="F668" s="43"/>
      <c r="G668" s="15"/>
      <c r="H668" s="43"/>
      <c r="I668" s="26"/>
      <c r="J668" s="25"/>
      <c r="K668" s="26"/>
      <c r="L668" s="26"/>
      <c r="M668" s="25"/>
      <c r="N668" s="25"/>
      <c r="O668" s="25"/>
      <c r="P668" s="25"/>
      <c r="Q668" s="25"/>
      <c r="R668" s="27"/>
      <c r="T668" s="1"/>
      <c r="V668" s="1"/>
    </row>
    <row r="669" spans="1:22" x14ac:dyDescent="0.25">
      <c r="A669" s="20" t="s">
        <v>18</v>
      </c>
      <c r="B669" s="42"/>
      <c r="C669" s="43"/>
      <c r="D669" s="43"/>
      <c r="E669" s="43"/>
      <c r="F669" s="43"/>
      <c r="G669" s="15"/>
      <c r="H669" s="16"/>
      <c r="I669" s="26"/>
      <c r="J669" s="25"/>
      <c r="K669" s="26"/>
      <c r="L669" s="26"/>
      <c r="M669" s="25"/>
      <c r="N669" s="25"/>
      <c r="O669" s="25"/>
      <c r="P669" s="25"/>
      <c r="Q669" s="25"/>
      <c r="R669" s="27"/>
      <c r="T669" s="1"/>
    </row>
    <row r="670" spans="1:22" x14ac:dyDescent="0.25">
      <c r="A670" s="20" t="s">
        <v>19</v>
      </c>
      <c r="B670" s="42"/>
      <c r="C670" s="43"/>
      <c r="D670" s="43"/>
      <c r="E670" s="43"/>
      <c r="F670" s="43"/>
      <c r="G670" s="15"/>
      <c r="H670" s="16"/>
      <c r="I670" s="26"/>
      <c r="J670" s="25"/>
      <c r="K670" s="26"/>
      <c r="L670" s="26"/>
      <c r="M670" s="25"/>
      <c r="N670" s="25"/>
      <c r="O670" s="25"/>
      <c r="P670" s="25"/>
      <c r="Q670" s="25"/>
      <c r="R670" s="27"/>
      <c r="T670" s="1"/>
    </row>
    <row r="671" spans="1:22" x14ac:dyDescent="0.25">
      <c r="A671" s="20" t="s">
        <v>20</v>
      </c>
      <c r="B671" s="42"/>
      <c r="C671" s="43"/>
      <c r="D671" s="43"/>
      <c r="E671" s="43"/>
      <c r="F671" s="43"/>
      <c r="G671" s="15"/>
      <c r="H671" s="16"/>
      <c r="I671" s="26"/>
      <c r="J671" s="25"/>
      <c r="K671" s="26"/>
      <c r="L671" s="26"/>
      <c r="M671" s="25"/>
      <c r="N671" s="25"/>
      <c r="O671" s="25"/>
      <c r="P671" s="25"/>
      <c r="Q671" s="25"/>
      <c r="R671" s="27"/>
      <c r="T671" s="1"/>
    </row>
    <row r="672" spans="1:22" x14ac:dyDescent="0.25">
      <c r="A672" s="20" t="s">
        <v>21</v>
      </c>
      <c r="B672" s="42"/>
      <c r="C672" s="43"/>
      <c r="D672" s="43"/>
      <c r="E672" s="43"/>
      <c r="F672" s="43"/>
      <c r="G672" s="15"/>
      <c r="H672" s="16"/>
      <c r="I672" s="26"/>
      <c r="J672" s="25"/>
      <c r="K672" s="26"/>
      <c r="L672" s="26"/>
      <c r="M672" s="25"/>
      <c r="N672" s="25"/>
      <c r="O672" s="25"/>
      <c r="P672" s="25"/>
      <c r="Q672" s="25"/>
      <c r="R672" s="27"/>
      <c r="T672" s="1"/>
    </row>
    <row r="673" spans="1:22" x14ac:dyDescent="0.25">
      <c r="A673" s="20" t="s">
        <v>22</v>
      </c>
      <c r="B673" s="42"/>
      <c r="C673" s="43"/>
      <c r="D673" s="43"/>
      <c r="E673" s="43"/>
      <c r="F673" s="43"/>
      <c r="G673" s="15"/>
      <c r="H673" s="16"/>
      <c r="I673" s="26"/>
      <c r="J673" s="25"/>
      <c r="K673" s="26"/>
      <c r="L673" s="26"/>
      <c r="M673" s="25"/>
      <c r="N673" s="25"/>
      <c r="O673" s="25"/>
      <c r="P673" s="25"/>
      <c r="Q673" s="25"/>
      <c r="R673" s="27"/>
      <c r="T673" s="1"/>
      <c r="V673" s="1"/>
    </row>
    <row r="674" spans="1:22" x14ac:dyDescent="0.25">
      <c r="A674" s="20" t="s">
        <v>23</v>
      </c>
      <c r="B674" s="42"/>
      <c r="C674" s="43"/>
      <c r="D674" s="43"/>
      <c r="E674" s="43"/>
      <c r="F674" s="43"/>
      <c r="G674" s="15"/>
      <c r="H674" s="16"/>
      <c r="I674" s="26"/>
      <c r="J674" s="25"/>
      <c r="K674" s="26"/>
      <c r="L674" s="26"/>
      <c r="M674" s="25"/>
      <c r="N674" s="25"/>
      <c r="O674" s="25"/>
      <c r="P674" s="25"/>
      <c r="Q674" s="25"/>
      <c r="R674" s="27"/>
      <c r="T674" s="1"/>
      <c r="V674" s="1"/>
    </row>
    <row r="675" spans="1:22" x14ac:dyDescent="0.25">
      <c r="A675" s="20" t="s">
        <v>24</v>
      </c>
      <c r="B675" s="42"/>
      <c r="C675" s="43"/>
      <c r="D675" s="43"/>
      <c r="E675" s="43"/>
      <c r="F675" s="43"/>
      <c r="G675" s="15"/>
      <c r="H675" s="16"/>
      <c r="I675" s="26"/>
      <c r="J675" s="25"/>
      <c r="K675" s="26"/>
      <c r="L675" s="26"/>
      <c r="M675" s="25"/>
      <c r="N675" s="25"/>
      <c r="O675" s="25"/>
      <c r="P675" s="25"/>
      <c r="Q675" s="25"/>
      <c r="R675" s="27"/>
      <c r="T675" s="1"/>
    </row>
    <row r="676" spans="1:22" x14ac:dyDescent="0.25">
      <c r="A676" s="20" t="s">
        <v>25</v>
      </c>
      <c r="B676" s="42"/>
      <c r="C676" s="43"/>
      <c r="D676" s="43"/>
      <c r="E676" s="43"/>
      <c r="F676" s="43"/>
      <c r="G676" s="15"/>
      <c r="H676" s="16"/>
      <c r="I676" s="26"/>
      <c r="J676" s="25"/>
      <c r="K676" s="26"/>
      <c r="L676" s="26"/>
      <c r="M676" s="25"/>
      <c r="N676" s="25"/>
      <c r="O676" s="25"/>
      <c r="P676" s="25"/>
      <c r="Q676" s="25"/>
      <c r="R676" s="27"/>
      <c r="T676" s="1"/>
    </row>
    <row r="677" spans="1:22" x14ac:dyDescent="0.25">
      <c r="A677" s="20" t="s">
        <v>26</v>
      </c>
      <c r="B677" s="42"/>
      <c r="C677" s="43"/>
      <c r="D677" s="43"/>
      <c r="E677" s="43"/>
      <c r="F677" s="43"/>
      <c r="G677" s="15"/>
      <c r="H677" s="16"/>
      <c r="I677" s="26"/>
      <c r="J677" s="25"/>
      <c r="K677" s="26"/>
      <c r="L677" s="26"/>
      <c r="M677" s="25"/>
      <c r="N677" s="25"/>
      <c r="O677" s="25"/>
      <c r="P677" s="25"/>
      <c r="Q677" s="25"/>
      <c r="R677" s="27"/>
    </row>
    <row r="678" spans="1:22" ht="15.75" thickBot="1" x14ac:dyDescent="0.3">
      <c r="A678" s="12" t="s">
        <v>15</v>
      </c>
      <c r="B678" s="44"/>
      <c r="C678" s="45"/>
      <c r="D678" s="45"/>
      <c r="E678" s="45"/>
      <c r="F678" s="45"/>
      <c r="G678" s="15"/>
      <c r="H678" s="16"/>
      <c r="I678" s="26"/>
      <c r="J678" s="25"/>
      <c r="K678" s="26"/>
      <c r="L678" s="26"/>
      <c r="M678" s="25"/>
      <c r="N678" s="25"/>
      <c r="O678" s="25"/>
      <c r="P678" s="25"/>
      <c r="Q678" s="25"/>
      <c r="R678" s="27"/>
      <c r="T678" s="1"/>
    </row>
    <row r="679" spans="1:22" ht="15.75" thickBot="1" x14ac:dyDescent="0.3">
      <c r="A679" s="29" t="s">
        <v>0</v>
      </c>
      <c r="B679" s="30">
        <f t="shared" ref="B679:G679" si="203">SUM(B666:B678)</f>
        <v>0</v>
      </c>
      <c r="C679" s="30">
        <f t="shared" si="203"/>
        <v>0</v>
      </c>
      <c r="D679" s="30">
        <f t="shared" si="203"/>
        <v>0</v>
      </c>
      <c r="E679" s="30">
        <f t="shared" si="203"/>
        <v>0</v>
      </c>
      <c r="F679" s="30">
        <f t="shared" si="203"/>
        <v>0</v>
      </c>
      <c r="G679" s="31">
        <f t="shared" si="203"/>
        <v>0</v>
      </c>
      <c r="H679" s="32"/>
      <c r="I679" s="71" t="s">
        <v>27</v>
      </c>
      <c r="J679" s="72"/>
      <c r="K679" s="33">
        <f>SUM(K666:K678)</f>
        <v>0</v>
      </c>
      <c r="L679" s="34"/>
      <c r="M679" s="71" t="s">
        <v>28</v>
      </c>
      <c r="N679" s="73"/>
      <c r="O679" s="72"/>
      <c r="P679" s="33">
        <f>SUM(P666:P678)</f>
        <v>0</v>
      </c>
      <c r="Q679" s="34"/>
      <c r="R679" s="35"/>
      <c r="T679" s="1"/>
    </row>
    <row r="680" spans="1:22" s="36" customFormat="1" ht="15.75" thickBot="1" x14ac:dyDescent="0.3">
      <c r="C680" s="37"/>
      <c r="D680" s="37"/>
      <c r="F680" s="38"/>
      <c r="G680" s="38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T680" s="40"/>
    </row>
    <row r="681" spans="1:22" ht="15.75" customHeight="1" thickBot="1" x14ac:dyDescent="0.3">
      <c r="A681" s="2">
        <f>A664+1</f>
        <v>41</v>
      </c>
      <c r="B681" s="74" t="str">
        <f>VLOOKUP(A681,NAMA,2)</f>
        <v>MINTORINI,SPd</v>
      </c>
      <c r="C681" s="75"/>
      <c r="D681" s="75"/>
      <c r="E681" s="75"/>
      <c r="F681" s="76"/>
      <c r="G681" s="3" t="s">
        <v>0</v>
      </c>
      <c r="H681" s="77" t="s">
        <v>1</v>
      </c>
      <c r="I681" s="78"/>
      <c r="J681" s="78"/>
      <c r="K681" s="78"/>
      <c r="L681" s="79"/>
      <c r="M681" s="80" t="s">
        <v>2</v>
      </c>
      <c r="N681" s="78"/>
      <c r="O681" s="78"/>
      <c r="P681" s="78"/>
      <c r="Q681" s="79"/>
      <c r="R681" s="69" t="s">
        <v>29</v>
      </c>
      <c r="T681" s="1"/>
    </row>
    <row r="682" spans="1:22" x14ac:dyDescent="0.25">
      <c r="A682" s="4" t="s">
        <v>4</v>
      </c>
      <c r="B682" s="5" t="s">
        <v>5</v>
      </c>
      <c r="C682" s="6" t="s">
        <v>6</v>
      </c>
      <c r="D682" s="6" t="s">
        <v>7</v>
      </c>
      <c r="E682" s="5" t="s">
        <v>8</v>
      </c>
      <c r="F682" s="5" t="s">
        <v>9</v>
      </c>
      <c r="G682" s="7" t="s">
        <v>10</v>
      </c>
      <c r="H682" s="8" t="s">
        <v>11</v>
      </c>
      <c r="I682" s="9" t="s">
        <v>0</v>
      </c>
      <c r="J682" s="9" t="s">
        <v>12</v>
      </c>
      <c r="K682" s="9" t="s">
        <v>13</v>
      </c>
      <c r="L682" s="10" t="s">
        <v>14</v>
      </c>
      <c r="M682" s="9" t="s">
        <v>11</v>
      </c>
      <c r="N682" s="9" t="s">
        <v>0</v>
      </c>
      <c r="O682" s="9" t="s">
        <v>12</v>
      </c>
      <c r="P682" s="9" t="s">
        <v>13</v>
      </c>
      <c r="Q682" s="10" t="s">
        <v>14</v>
      </c>
      <c r="R682" s="70"/>
      <c r="S682" s="11"/>
      <c r="T682" s="1"/>
    </row>
    <row r="683" spans="1:22" x14ac:dyDescent="0.25">
      <c r="A683" s="12" t="s">
        <v>15</v>
      </c>
      <c r="B683" s="41">
        <v>25000</v>
      </c>
      <c r="C683" s="41">
        <v>1320000</v>
      </c>
      <c r="D683" s="41">
        <v>905000</v>
      </c>
      <c r="E683" s="41">
        <f>[2]krnmei!$E$696</f>
        <v>1600000</v>
      </c>
      <c r="F683" s="41">
        <v>0</v>
      </c>
      <c r="G683" s="15">
        <f t="shared" ref="G683" si="204">SUM(B683:F683)</f>
        <v>3850000</v>
      </c>
      <c r="H683" s="16"/>
      <c r="I683" s="17"/>
      <c r="J683" s="18">
        <v>0</v>
      </c>
      <c r="K683" s="17"/>
      <c r="L683" s="17"/>
      <c r="M683" s="17"/>
      <c r="N683" s="17"/>
      <c r="O683" s="17"/>
      <c r="P683" s="17"/>
      <c r="Q683" s="17"/>
      <c r="R683" s="19"/>
      <c r="T683" s="1"/>
    </row>
    <row r="684" spans="1:22" x14ac:dyDescent="0.25">
      <c r="A684" s="20" t="s">
        <v>16</v>
      </c>
      <c r="B684" s="42"/>
      <c r="C684" s="43">
        <v>15000</v>
      </c>
      <c r="D684" s="43">
        <v>10000</v>
      </c>
      <c r="E684" s="43">
        <v>200000</v>
      </c>
      <c r="F684" s="43">
        <v>0</v>
      </c>
      <c r="G684" s="15">
        <f t="shared" ref="G684:G696" si="205">SUM(B684:F684)</f>
        <v>225000</v>
      </c>
      <c r="H684" s="16">
        <v>0</v>
      </c>
      <c r="I684" s="26">
        <v>0</v>
      </c>
      <c r="J684" s="25">
        <f t="shared" ref="J684" si="206">J683-I684</f>
        <v>0</v>
      </c>
      <c r="K684" s="26">
        <f t="shared" ref="K684:K685" si="207">J683*0.015</f>
        <v>0</v>
      </c>
      <c r="L684" s="26"/>
      <c r="M684" s="25"/>
      <c r="N684" s="25"/>
      <c r="O684" s="25"/>
      <c r="P684" s="25"/>
      <c r="Q684" s="25"/>
      <c r="R684" s="27">
        <f>K684+I684+G684</f>
        <v>225000</v>
      </c>
      <c r="T684" s="1"/>
    </row>
    <row r="685" spans="1:22" x14ac:dyDescent="0.25">
      <c r="A685" s="20" t="s">
        <v>17</v>
      </c>
      <c r="B685" s="42"/>
      <c r="C685" s="43">
        <v>15000</v>
      </c>
      <c r="D685" s="43">
        <v>10000</v>
      </c>
      <c r="E685" s="43">
        <v>200000</v>
      </c>
      <c r="F685" s="43">
        <v>0</v>
      </c>
      <c r="G685" s="15">
        <f t="shared" si="205"/>
        <v>225000</v>
      </c>
      <c r="H685" s="16"/>
      <c r="I685" s="26"/>
      <c r="J685" s="25"/>
      <c r="K685" s="26">
        <f t="shared" si="207"/>
        <v>0</v>
      </c>
      <c r="L685" s="26"/>
      <c r="M685" s="25"/>
      <c r="N685" s="25"/>
      <c r="O685" s="25"/>
      <c r="P685" s="25"/>
      <c r="Q685" s="25"/>
      <c r="R685" s="27">
        <f t="shared" ref="R685:R686" si="208">K685+I685+G685</f>
        <v>225000</v>
      </c>
      <c r="T685" s="1"/>
      <c r="V685" s="1"/>
    </row>
    <row r="686" spans="1:22" x14ac:dyDescent="0.25">
      <c r="A686" s="20" t="s">
        <v>18</v>
      </c>
      <c r="B686" s="42"/>
      <c r="C686" s="43">
        <v>15000</v>
      </c>
      <c r="D686" s="43">
        <v>10000</v>
      </c>
      <c r="E686" s="43">
        <v>200000</v>
      </c>
      <c r="F686" s="43">
        <v>0</v>
      </c>
      <c r="G686" s="15">
        <f t="shared" si="205"/>
        <v>225000</v>
      </c>
      <c r="H686" s="16"/>
      <c r="I686" s="26"/>
      <c r="J686" s="25"/>
      <c r="K686" s="26">
        <f t="shared" ref="K686:K687" si="209">J685*0.015</f>
        <v>0</v>
      </c>
      <c r="L686" s="26"/>
      <c r="M686" s="25"/>
      <c r="N686" s="25">
        <v>5000000</v>
      </c>
      <c r="O686" s="25">
        <v>5000000</v>
      </c>
      <c r="P686" s="25"/>
      <c r="Q686" s="25"/>
      <c r="R686" s="27">
        <f t="shared" si="208"/>
        <v>225000</v>
      </c>
      <c r="T686" s="1"/>
    </row>
    <row r="687" spans="1:22" x14ac:dyDescent="0.25">
      <c r="A687" s="20" t="s">
        <v>19</v>
      </c>
      <c r="B687" s="42"/>
      <c r="C687" s="43">
        <v>15000</v>
      </c>
      <c r="D687" s="43">
        <v>10000</v>
      </c>
      <c r="E687" s="43">
        <v>-2200000</v>
      </c>
      <c r="F687" s="43">
        <v>0</v>
      </c>
      <c r="G687" s="15">
        <f t="shared" si="205"/>
        <v>-2175000</v>
      </c>
      <c r="H687" s="16"/>
      <c r="I687" s="26"/>
      <c r="J687" s="25"/>
      <c r="K687" s="26">
        <f t="shared" si="209"/>
        <v>0</v>
      </c>
      <c r="L687" s="26"/>
      <c r="M687" s="25"/>
      <c r="N687" s="25"/>
      <c r="O687" s="25">
        <v>5000000</v>
      </c>
      <c r="P687" s="26">
        <f>0.02*O686</f>
        <v>100000</v>
      </c>
      <c r="Q687" s="25"/>
      <c r="R687" s="27">
        <f>K687+I687+G687+P687</f>
        <v>-2075000</v>
      </c>
      <c r="T687" s="1"/>
    </row>
    <row r="688" spans="1:22" x14ac:dyDescent="0.25">
      <c r="A688" s="20" t="s">
        <v>20</v>
      </c>
      <c r="B688" s="42"/>
      <c r="C688" s="43">
        <v>15000</v>
      </c>
      <c r="D688" s="43">
        <v>10000</v>
      </c>
      <c r="E688" s="43">
        <v>200000</v>
      </c>
      <c r="F688" s="43">
        <v>0</v>
      </c>
      <c r="G688" s="15">
        <f t="shared" si="205"/>
        <v>225000</v>
      </c>
      <c r="H688" s="16"/>
      <c r="I688" s="26"/>
      <c r="J688" s="25"/>
      <c r="K688" s="26">
        <f t="shared" ref="K688:K689" si="210">J687*0.015</f>
        <v>0</v>
      </c>
      <c r="L688" s="26"/>
      <c r="M688" s="25"/>
      <c r="N688" s="25"/>
      <c r="O688" s="25">
        <v>5000000</v>
      </c>
      <c r="P688" s="26">
        <f t="shared" ref="P688:P695" si="211">0.02*O687</f>
        <v>100000</v>
      </c>
      <c r="Q688" s="25"/>
      <c r="R688" s="27">
        <f t="shared" ref="R688:R693" si="212">K688+I688+G688+P688</f>
        <v>325000</v>
      </c>
      <c r="T688" s="1"/>
    </row>
    <row r="689" spans="1:22" x14ac:dyDescent="0.25">
      <c r="A689" s="20" t="s">
        <v>21</v>
      </c>
      <c r="B689" s="42"/>
      <c r="C689" s="43">
        <v>15000</v>
      </c>
      <c r="D689" s="43">
        <v>10000</v>
      </c>
      <c r="E689" s="43">
        <v>200000</v>
      </c>
      <c r="F689" s="43">
        <v>0</v>
      </c>
      <c r="G689" s="15">
        <f t="shared" si="205"/>
        <v>225000</v>
      </c>
      <c r="H689" s="16"/>
      <c r="I689" s="26"/>
      <c r="J689" s="25"/>
      <c r="K689" s="26">
        <f t="shared" si="210"/>
        <v>0</v>
      </c>
      <c r="L689" s="26"/>
      <c r="M689" s="25"/>
      <c r="N689" s="25"/>
      <c r="O689" s="25">
        <v>5000000</v>
      </c>
      <c r="P689" s="26">
        <f t="shared" si="211"/>
        <v>100000</v>
      </c>
      <c r="Q689" s="25"/>
      <c r="R689" s="27">
        <f t="shared" si="212"/>
        <v>325000</v>
      </c>
      <c r="T689" s="1"/>
    </row>
    <row r="690" spans="1:22" x14ac:dyDescent="0.25">
      <c r="A690" s="20" t="s">
        <v>22</v>
      </c>
      <c r="B690" s="42"/>
      <c r="C690" s="43">
        <v>15000</v>
      </c>
      <c r="D690" s="43">
        <v>10000</v>
      </c>
      <c r="E690" s="43">
        <v>200000</v>
      </c>
      <c r="F690" s="43">
        <v>14000000</v>
      </c>
      <c r="G690" s="15">
        <f t="shared" si="205"/>
        <v>14225000</v>
      </c>
      <c r="H690" s="16"/>
      <c r="I690" s="26">
        <v>20000000</v>
      </c>
      <c r="J690" s="25">
        <v>20000000</v>
      </c>
      <c r="K690" s="26">
        <f t="shared" ref="K690" si="213">J689*0.015</f>
        <v>0</v>
      </c>
      <c r="L690" s="26"/>
      <c r="M690" s="25"/>
      <c r="N690" s="25"/>
      <c r="O690" s="49" t="s">
        <v>30</v>
      </c>
      <c r="P690" s="26">
        <f t="shared" si="211"/>
        <v>100000</v>
      </c>
      <c r="Q690" s="25"/>
      <c r="R690" s="27">
        <f t="shared" si="212"/>
        <v>34325000</v>
      </c>
      <c r="T690" s="1"/>
      <c r="V690" s="1"/>
    </row>
    <row r="691" spans="1:22" x14ac:dyDescent="0.25">
      <c r="A691" s="20" t="s">
        <v>23</v>
      </c>
      <c r="B691" s="42"/>
      <c r="C691" s="43">
        <v>15000</v>
      </c>
      <c r="D691" s="43">
        <v>10000</v>
      </c>
      <c r="E691" s="43">
        <v>200000</v>
      </c>
      <c r="F691" s="43">
        <v>2500000</v>
      </c>
      <c r="G691" s="15">
        <f t="shared" si="205"/>
        <v>2725000</v>
      </c>
      <c r="H691" s="16">
        <v>1</v>
      </c>
      <c r="I691" s="26">
        <v>1500000</v>
      </c>
      <c r="J691" s="25">
        <f>J690-I691</f>
        <v>18500000</v>
      </c>
      <c r="K691" s="26">
        <f t="shared" ref="K691" si="214">J690*0.015</f>
        <v>300000</v>
      </c>
      <c r="L691" s="26"/>
      <c r="M691" s="25"/>
      <c r="N691" s="25"/>
      <c r="O691" s="25"/>
      <c r="P691" s="26"/>
      <c r="Q691" s="25"/>
      <c r="R691" s="27">
        <f t="shared" si="212"/>
        <v>4525000</v>
      </c>
      <c r="T691" s="1"/>
      <c r="V691" s="1"/>
    </row>
    <row r="692" spans="1:22" x14ac:dyDescent="0.25">
      <c r="A692" s="20" t="s">
        <v>24</v>
      </c>
      <c r="B692" s="42">
        <v>75000</v>
      </c>
      <c r="C692" s="43">
        <v>15000</v>
      </c>
      <c r="D692" s="43">
        <v>10000</v>
      </c>
      <c r="E692" s="43">
        <v>200000</v>
      </c>
      <c r="F692" s="43">
        <v>0</v>
      </c>
      <c r="G692" s="15">
        <f t="shared" si="205"/>
        <v>300000</v>
      </c>
      <c r="H692" s="16">
        <v>2</v>
      </c>
      <c r="I692" s="26">
        <v>1500000</v>
      </c>
      <c r="J692" s="25">
        <f>J691-I692</f>
        <v>17000000</v>
      </c>
      <c r="K692" s="26">
        <f t="shared" ref="K692" si="215">J691*0.015</f>
        <v>277500</v>
      </c>
      <c r="L692" s="26"/>
      <c r="M692" s="25"/>
      <c r="N692" s="25"/>
      <c r="O692" s="25"/>
      <c r="P692" s="26">
        <f t="shared" si="211"/>
        <v>0</v>
      </c>
      <c r="Q692" s="25"/>
      <c r="R692" s="27">
        <f t="shared" si="212"/>
        <v>2077500</v>
      </c>
      <c r="T692" s="1"/>
    </row>
    <row r="693" spans="1:22" x14ac:dyDescent="0.25">
      <c r="A693" s="20" t="s">
        <v>25</v>
      </c>
      <c r="B693" s="42"/>
      <c r="C693" s="43">
        <v>15000</v>
      </c>
      <c r="D693" s="43">
        <v>10000</v>
      </c>
      <c r="E693" s="43">
        <v>200000</v>
      </c>
      <c r="F693" s="43">
        <v>-8000000</v>
      </c>
      <c r="G693" s="15">
        <f t="shared" si="205"/>
        <v>-7775000</v>
      </c>
      <c r="H693" s="16">
        <v>3</v>
      </c>
      <c r="I693" s="26">
        <v>1500000</v>
      </c>
      <c r="J693" s="25">
        <f>J692-I693</f>
        <v>15500000</v>
      </c>
      <c r="K693" s="26">
        <f t="shared" ref="K693" si="216">J692*0.015</f>
        <v>255000</v>
      </c>
      <c r="L693" s="26"/>
      <c r="M693" s="25"/>
      <c r="N693" s="25"/>
      <c r="O693" s="25"/>
      <c r="P693" s="26">
        <f t="shared" si="211"/>
        <v>0</v>
      </c>
      <c r="Q693" s="25"/>
      <c r="R693" s="27">
        <f t="shared" si="212"/>
        <v>-6020000</v>
      </c>
      <c r="T693" s="1"/>
    </row>
    <row r="694" spans="1:22" x14ac:dyDescent="0.25">
      <c r="A694" s="20" t="s">
        <v>26</v>
      </c>
      <c r="B694" s="42"/>
      <c r="C694" s="43">
        <v>15000</v>
      </c>
      <c r="D694" s="43">
        <v>10000</v>
      </c>
      <c r="E694" s="43">
        <v>200000</v>
      </c>
      <c r="F694" s="43">
        <v>4000000</v>
      </c>
      <c r="G694" s="15">
        <f t="shared" si="205"/>
        <v>4225000</v>
      </c>
      <c r="H694" s="16">
        <v>4</v>
      </c>
      <c r="I694" s="26">
        <v>1500000</v>
      </c>
      <c r="J694" s="25">
        <f>J693-I694</f>
        <v>14000000</v>
      </c>
      <c r="K694" s="26">
        <f t="shared" ref="K694" si="217">J693*0.015</f>
        <v>232500</v>
      </c>
      <c r="L694" s="26"/>
      <c r="M694" s="25"/>
      <c r="N694" s="25"/>
      <c r="O694" s="25"/>
      <c r="P694" s="26">
        <f t="shared" si="211"/>
        <v>0</v>
      </c>
      <c r="Q694" s="25"/>
      <c r="R694" s="27">
        <f t="shared" ref="R694:R695" si="218">K694+I694+G694+P694</f>
        <v>5957500</v>
      </c>
    </row>
    <row r="695" spans="1:22" ht="15.75" thickBot="1" x14ac:dyDescent="0.3">
      <c r="A695" s="12" t="s">
        <v>15</v>
      </c>
      <c r="B695" s="44"/>
      <c r="C695" s="43">
        <v>15000</v>
      </c>
      <c r="D695" s="43">
        <v>10000</v>
      </c>
      <c r="E695" s="43">
        <v>200000</v>
      </c>
      <c r="F695" s="43">
        <v>3000000</v>
      </c>
      <c r="G695" s="15">
        <f t="shared" si="205"/>
        <v>3225000</v>
      </c>
      <c r="H695" s="16">
        <v>5</v>
      </c>
      <c r="I695" s="26">
        <v>1500000</v>
      </c>
      <c r="J695" s="25">
        <f>J694-I695</f>
        <v>12500000</v>
      </c>
      <c r="K695" s="26">
        <f t="shared" ref="K695" si="219">J694*0.015</f>
        <v>210000</v>
      </c>
      <c r="L695" s="26"/>
      <c r="M695" s="25"/>
      <c r="N695" s="25"/>
      <c r="O695" s="25"/>
      <c r="P695" s="26">
        <f t="shared" si="211"/>
        <v>0</v>
      </c>
      <c r="Q695" s="25"/>
      <c r="R695" s="27">
        <f t="shared" si="218"/>
        <v>4935000</v>
      </c>
      <c r="T695" s="1"/>
    </row>
    <row r="696" spans="1:22" ht="15.75" thickBot="1" x14ac:dyDescent="0.3">
      <c r="A696" s="29" t="s">
        <v>0</v>
      </c>
      <c r="B696" s="30">
        <f t="shared" ref="B696:F696" si="220">SUM(B683:B695)</f>
        <v>100000</v>
      </c>
      <c r="C696" s="30">
        <f t="shared" si="220"/>
        <v>1500000</v>
      </c>
      <c r="D696" s="30">
        <f t="shared" si="220"/>
        <v>1025000</v>
      </c>
      <c r="E696" s="30">
        <f t="shared" si="220"/>
        <v>1600000</v>
      </c>
      <c r="F696" s="30">
        <f t="shared" si="220"/>
        <v>15500000</v>
      </c>
      <c r="G696" s="15">
        <f t="shared" si="205"/>
        <v>19725000</v>
      </c>
      <c r="H696" s="32"/>
      <c r="I696" s="71" t="s">
        <v>27</v>
      </c>
      <c r="J696" s="72"/>
      <c r="K696" s="33">
        <f>SUM(K683:K695)</f>
        <v>1275000</v>
      </c>
      <c r="L696" s="34"/>
      <c r="M696" s="71" t="s">
        <v>28</v>
      </c>
      <c r="N696" s="73"/>
      <c r="O696" s="72"/>
      <c r="P696" s="33">
        <f>SUM(P683:P695)</f>
        <v>400000</v>
      </c>
      <c r="Q696" s="34"/>
      <c r="R696" s="35"/>
      <c r="T696" s="1"/>
    </row>
    <row r="697" spans="1:22" s="36" customFormat="1" ht="15.75" thickBot="1" x14ac:dyDescent="0.3">
      <c r="C697" s="37"/>
      <c r="D697" s="37"/>
      <c r="F697" s="38"/>
      <c r="G697" s="38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T697" s="40"/>
    </row>
    <row r="698" spans="1:22" ht="15.75" customHeight="1" thickBot="1" x14ac:dyDescent="0.3">
      <c r="A698" s="2">
        <f>A681+1</f>
        <v>42</v>
      </c>
      <c r="B698" s="74"/>
      <c r="C698" s="75"/>
      <c r="D698" s="75"/>
      <c r="E698" s="75"/>
      <c r="F698" s="76"/>
      <c r="G698" s="3" t="s">
        <v>0</v>
      </c>
      <c r="H698" s="77" t="s">
        <v>1</v>
      </c>
      <c r="I698" s="78"/>
      <c r="J698" s="78"/>
      <c r="K698" s="78"/>
      <c r="L698" s="79"/>
      <c r="M698" s="80" t="s">
        <v>2</v>
      </c>
      <c r="N698" s="78"/>
      <c r="O698" s="78"/>
      <c r="P698" s="78"/>
      <c r="Q698" s="79"/>
      <c r="R698" s="69" t="s">
        <v>29</v>
      </c>
      <c r="T698" s="1"/>
    </row>
    <row r="699" spans="1:22" x14ac:dyDescent="0.25">
      <c r="A699" s="4" t="s">
        <v>4</v>
      </c>
      <c r="B699" s="5" t="s">
        <v>5</v>
      </c>
      <c r="C699" s="6" t="s">
        <v>6</v>
      </c>
      <c r="D699" s="6" t="s">
        <v>7</v>
      </c>
      <c r="E699" s="5" t="s">
        <v>8</v>
      </c>
      <c r="F699" s="5" t="s">
        <v>9</v>
      </c>
      <c r="G699" s="7" t="s">
        <v>10</v>
      </c>
      <c r="H699" s="8" t="s">
        <v>11</v>
      </c>
      <c r="I699" s="9" t="s">
        <v>0</v>
      </c>
      <c r="J699" s="9" t="s">
        <v>12</v>
      </c>
      <c r="K699" s="9" t="s">
        <v>13</v>
      </c>
      <c r="L699" s="10" t="s">
        <v>14</v>
      </c>
      <c r="M699" s="9" t="s">
        <v>11</v>
      </c>
      <c r="N699" s="9" t="s">
        <v>0</v>
      </c>
      <c r="O699" s="9" t="s">
        <v>12</v>
      </c>
      <c r="P699" s="9" t="s">
        <v>13</v>
      </c>
      <c r="Q699" s="10" t="s">
        <v>14</v>
      </c>
      <c r="R699" s="70"/>
      <c r="S699" s="11"/>
      <c r="T699" s="1"/>
    </row>
    <row r="700" spans="1:22" x14ac:dyDescent="0.25">
      <c r="A700" s="12" t="s">
        <v>15</v>
      </c>
      <c r="B700" s="41"/>
      <c r="C700" s="41"/>
      <c r="D700" s="41"/>
      <c r="E700" s="41"/>
      <c r="F700" s="41"/>
      <c r="G700" s="15"/>
      <c r="H700" s="16"/>
      <c r="I700" s="17"/>
      <c r="J700" s="18"/>
      <c r="K700" s="17"/>
      <c r="L700" s="17"/>
      <c r="M700" s="17"/>
      <c r="N700" s="17"/>
      <c r="O700" s="17"/>
      <c r="P700" s="17"/>
      <c r="Q700" s="17"/>
      <c r="R700" s="19"/>
      <c r="T700" s="1"/>
    </row>
    <row r="701" spans="1:22" x14ac:dyDescent="0.25">
      <c r="A701" s="20" t="s">
        <v>16</v>
      </c>
      <c r="B701" s="42"/>
      <c r="C701" s="43"/>
      <c r="D701" s="43"/>
      <c r="E701" s="43"/>
      <c r="F701" s="43"/>
      <c r="G701" s="15"/>
      <c r="H701" s="16"/>
      <c r="I701" s="26"/>
      <c r="J701" s="25"/>
      <c r="K701" s="26"/>
      <c r="L701" s="26"/>
      <c r="M701" s="25"/>
      <c r="N701" s="25"/>
      <c r="O701" s="25"/>
      <c r="P701" s="25"/>
      <c r="Q701" s="25"/>
      <c r="R701" s="27">
        <f>K701+I701+G701</f>
        <v>0</v>
      </c>
      <c r="T701" s="1"/>
    </row>
    <row r="702" spans="1:22" x14ac:dyDescent="0.25">
      <c r="A702" s="20" t="s">
        <v>17</v>
      </c>
      <c r="B702" s="42"/>
      <c r="C702" s="43"/>
      <c r="D702" s="43"/>
      <c r="E702" s="43"/>
      <c r="F702" s="43"/>
      <c r="G702" s="15"/>
      <c r="H702" s="16"/>
      <c r="I702" s="26"/>
      <c r="J702" s="25"/>
      <c r="K702" s="26"/>
      <c r="L702" s="26"/>
      <c r="M702" s="25"/>
      <c r="N702" s="25"/>
      <c r="O702" s="25"/>
      <c r="P702" s="25"/>
      <c r="Q702" s="25"/>
      <c r="R702" s="27">
        <f t="shared" ref="R702:R712" si="221">K702+I702+G702</f>
        <v>0</v>
      </c>
      <c r="T702" s="1"/>
      <c r="V702" s="1"/>
    </row>
    <row r="703" spans="1:22" x14ac:dyDescent="0.25">
      <c r="A703" s="20" t="s">
        <v>18</v>
      </c>
      <c r="B703" s="42"/>
      <c r="C703" s="43"/>
      <c r="D703" s="43"/>
      <c r="E703" s="43"/>
      <c r="F703" s="43"/>
      <c r="G703" s="15"/>
      <c r="H703" s="16"/>
      <c r="I703" s="26"/>
      <c r="J703" s="25"/>
      <c r="K703" s="26"/>
      <c r="L703" s="26"/>
      <c r="M703" s="25"/>
      <c r="N703" s="25"/>
      <c r="O703" s="25"/>
      <c r="P703" s="25"/>
      <c r="Q703" s="25"/>
      <c r="R703" s="27">
        <f t="shared" si="221"/>
        <v>0</v>
      </c>
      <c r="T703" s="1"/>
    </row>
    <row r="704" spans="1:22" x14ac:dyDescent="0.25">
      <c r="A704" s="20" t="s">
        <v>19</v>
      </c>
      <c r="B704" s="42"/>
      <c r="C704" s="43"/>
      <c r="D704" s="43"/>
      <c r="E704" s="43"/>
      <c r="F704" s="43"/>
      <c r="G704" s="15"/>
      <c r="H704" s="16"/>
      <c r="I704" s="26"/>
      <c r="J704" s="25"/>
      <c r="K704" s="26"/>
      <c r="L704" s="26"/>
      <c r="M704" s="25"/>
      <c r="N704" s="25"/>
      <c r="O704" s="25"/>
      <c r="P704" s="25"/>
      <c r="Q704" s="25"/>
      <c r="R704" s="27">
        <f t="shared" si="221"/>
        <v>0</v>
      </c>
      <c r="T704" s="1"/>
    </row>
    <row r="705" spans="1:22" x14ac:dyDescent="0.25">
      <c r="A705" s="20" t="s">
        <v>20</v>
      </c>
      <c r="B705" s="42"/>
      <c r="C705" s="43"/>
      <c r="D705" s="43"/>
      <c r="E705" s="43"/>
      <c r="F705" s="43"/>
      <c r="G705" s="15"/>
      <c r="H705" s="16"/>
      <c r="I705" s="26"/>
      <c r="J705" s="25"/>
      <c r="K705" s="26"/>
      <c r="L705" s="26"/>
      <c r="M705" s="25"/>
      <c r="N705" s="26"/>
      <c r="O705" s="25"/>
      <c r="P705" s="25"/>
      <c r="Q705" s="25"/>
      <c r="R705" s="27">
        <f t="shared" si="221"/>
        <v>0</v>
      </c>
      <c r="T705" s="1"/>
    </row>
    <row r="706" spans="1:22" x14ac:dyDescent="0.25">
      <c r="A706" s="20" t="s">
        <v>21</v>
      </c>
      <c r="B706" s="42"/>
      <c r="C706" s="43"/>
      <c r="D706" s="43"/>
      <c r="E706" s="43"/>
      <c r="F706" s="43"/>
      <c r="G706" s="15"/>
      <c r="H706" s="16"/>
      <c r="I706" s="26"/>
      <c r="J706" s="25"/>
      <c r="K706" s="26"/>
      <c r="L706" s="26"/>
      <c r="M706" s="25"/>
      <c r="N706" s="25"/>
      <c r="O706" s="25"/>
      <c r="P706" s="25"/>
      <c r="Q706" s="25"/>
      <c r="R706" s="27">
        <f t="shared" si="221"/>
        <v>0</v>
      </c>
      <c r="T706" s="1"/>
    </row>
    <row r="707" spans="1:22" x14ac:dyDescent="0.25">
      <c r="A707" s="20" t="s">
        <v>22</v>
      </c>
      <c r="B707" s="42"/>
      <c r="C707" s="43"/>
      <c r="D707" s="43"/>
      <c r="E707" s="43"/>
      <c r="F707" s="43"/>
      <c r="G707" s="15"/>
      <c r="H707" s="16"/>
      <c r="I707" s="26"/>
      <c r="J707" s="25"/>
      <c r="K707" s="26"/>
      <c r="L707" s="26"/>
      <c r="M707" s="25"/>
      <c r="N707" s="25"/>
      <c r="O707" s="25"/>
      <c r="P707" s="25"/>
      <c r="Q707" s="25"/>
      <c r="R707" s="27">
        <f t="shared" si="221"/>
        <v>0</v>
      </c>
      <c r="T707" s="1"/>
      <c r="V707" s="1"/>
    </row>
    <row r="708" spans="1:22" x14ac:dyDescent="0.25">
      <c r="A708" s="20" t="s">
        <v>23</v>
      </c>
      <c r="B708" s="42"/>
      <c r="C708" s="43"/>
      <c r="D708" s="43"/>
      <c r="E708" s="43"/>
      <c r="F708" s="43"/>
      <c r="G708" s="15"/>
      <c r="H708" s="16"/>
      <c r="I708" s="26"/>
      <c r="J708" s="25"/>
      <c r="K708" s="26"/>
      <c r="L708" s="26"/>
      <c r="M708" s="25"/>
      <c r="N708" s="25"/>
      <c r="O708" s="25"/>
      <c r="P708" s="25"/>
      <c r="Q708" s="25"/>
      <c r="R708" s="27">
        <f t="shared" si="221"/>
        <v>0</v>
      </c>
      <c r="T708" s="1"/>
      <c r="V708" s="1"/>
    </row>
    <row r="709" spans="1:22" x14ac:dyDescent="0.25">
      <c r="A709" s="20" t="s">
        <v>24</v>
      </c>
      <c r="B709" s="42"/>
      <c r="C709" s="43"/>
      <c r="D709" s="43"/>
      <c r="E709" s="43"/>
      <c r="F709" s="43"/>
      <c r="G709" s="15"/>
      <c r="H709" s="16"/>
      <c r="I709" s="26"/>
      <c r="J709" s="25"/>
      <c r="K709" s="26"/>
      <c r="L709" s="26"/>
      <c r="M709" s="25"/>
      <c r="N709" s="25"/>
      <c r="O709" s="25"/>
      <c r="P709" s="25"/>
      <c r="Q709" s="25"/>
      <c r="R709" s="27">
        <f t="shared" si="221"/>
        <v>0</v>
      </c>
      <c r="T709" s="1"/>
    </row>
    <row r="710" spans="1:22" x14ac:dyDescent="0.25">
      <c r="A710" s="20" t="s">
        <v>25</v>
      </c>
      <c r="B710" s="42"/>
      <c r="C710" s="43"/>
      <c r="D710" s="43"/>
      <c r="E710" s="43"/>
      <c r="F710" s="43"/>
      <c r="G710" s="15"/>
      <c r="H710" s="16"/>
      <c r="I710" s="26"/>
      <c r="J710" s="25"/>
      <c r="K710" s="26"/>
      <c r="L710" s="26"/>
      <c r="M710" s="25"/>
      <c r="N710" s="25"/>
      <c r="O710" s="25"/>
      <c r="P710" s="25"/>
      <c r="Q710" s="25"/>
      <c r="R710" s="27">
        <v>0</v>
      </c>
      <c r="T710" s="1"/>
    </row>
    <row r="711" spans="1:22" x14ac:dyDescent="0.25">
      <c r="A711" s="20" t="s">
        <v>26</v>
      </c>
      <c r="B711" s="42"/>
      <c r="C711" s="43"/>
      <c r="D711" s="43"/>
      <c r="E711" s="43"/>
      <c r="F711" s="43"/>
      <c r="G711" s="15"/>
      <c r="H711" s="16"/>
      <c r="I711" s="26"/>
      <c r="J711" s="25"/>
      <c r="K711" s="26"/>
      <c r="L711" s="26"/>
      <c r="M711" s="25"/>
      <c r="N711" s="25"/>
      <c r="O711" s="25"/>
      <c r="P711" s="25"/>
      <c r="Q711" s="25"/>
      <c r="R711" s="27">
        <f t="shared" si="221"/>
        <v>0</v>
      </c>
    </row>
    <row r="712" spans="1:22" ht="15.75" thickBot="1" x14ac:dyDescent="0.3">
      <c r="A712" s="12" t="s">
        <v>15</v>
      </c>
      <c r="B712" s="44"/>
      <c r="C712" s="45"/>
      <c r="D712" s="45"/>
      <c r="E712" s="45"/>
      <c r="F712" s="45"/>
      <c r="G712" s="15"/>
      <c r="H712" s="16"/>
      <c r="I712" s="26"/>
      <c r="J712" s="25"/>
      <c r="K712" s="26"/>
      <c r="L712" s="26"/>
      <c r="M712" s="25"/>
      <c r="N712" s="25"/>
      <c r="O712" s="25"/>
      <c r="P712" s="25"/>
      <c r="Q712" s="25"/>
      <c r="R712" s="27">
        <f t="shared" si="221"/>
        <v>0</v>
      </c>
      <c r="T712" s="1"/>
    </row>
    <row r="713" spans="1:22" ht="15.75" thickBot="1" x14ac:dyDescent="0.3">
      <c r="A713" s="29" t="s">
        <v>0</v>
      </c>
      <c r="B713" s="30">
        <f t="shared" ref="B713:G713" si="222">SUM(B700:B712)</f>
        <v>0</v>
      </c>
      <c r="C713" s="30">
        <f t="shared" si="222"/>
        <v>0</v>
      </c>
      <c r="D713" s="30">
        <f t="shared" si="222"/>
        <v>0</v>
      </c>
      <c r="E713" s="30">
        <f t="shared" si="222"/>
        <v>0</v>
      </c>
      <c r="F713" s="30">
        <f t="shared" si="222"/>
        <v>0</v>
      </c>
      <c r="G713" s="31">
        <f t="shared" si="222"/>
        <v>0</v>
      </c>
      <c r="H713" s="32"/>
      <c r="I713" s="71" t="s">
        <v>27</v>
      </c>
      <c r="J713" s="72"/>
      <c r="K713" s="33">
        <f>SUM(K700:K712)</f>
        <v>0</v>
      </c>
      <c r="L713" s="34"/>
      <c r="M713" s="71" t="s">
        <v>28</v>
      </c>
      <c r="N713" s="73"/>
      <c r="O713" s="72"/>
      <c r="P713" s="33">
        <f>SUM(P700:P712)</f>
        <v>0</v>
      </c>
      <c r="Q713" s="34"/>
      <c r="R713" s="35"/>
      <c r="T713" s="1"/>
    </row>
    <row r="714" spans="1:22" s="36" customFormat="1" ht="15.75" thickBot="1" x14ac:dyDescent="0.3">
      <c r="C714" s="37"/>
      <c r="D714" s="37"/>
      <c r="F714" s="38"/>
      <c r="G714" s="38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T714" s="40"/>
    </row>
    <row r="715" spans="1:22" ht="15.75" customHeight="1" thickBot="1" x14ac:dyDescent="0.3">
      <c r="A715" s="2">
        <f>A698+1</f>
        <v>43</v>
      </c>
      <c r="B715" s="74"/>
      <c r="C715" s="75"/>
      <c r="D715" s="75"/>
      <c r="E715" s="75"/>
      <c r="F715" s="76"/>
      <c r="G715" s="3" t="s">
        <v>0</v>
      </c>
      <c r="H715" s="77" t="s">
        <v>1</v>
      </c>
      <c r="I715" s="78"/>
      <c r="J715" s="78"/>
      <c r="K715" s="78"/>
      <c r="L715" s="79"/>
      <c r="M715" s="80" t="s">
        <v>2</v>
      </c>
      <c r="N715" s="78"/>
      <c r="O715" s="78"/>
      <c r="P715" s="78"/>
      <c r="Q715" s="79"/>
      <c r="R715" s="69" t="s">
        <v>29</v>
      </c>
      <c r="T715" s="1"/>
    </row>
    <row r="716" spans="1:22" x14ac:dyDescent="0.25">
      <c r="A716" s="4" t="s">
        <v>4</v>
      </c>
      <c r="B716" s="5" t="s">
        <v>5</v>
      </c>
      <c r="C716" s="6" t="s">
        <v>6</v>
      </c>
      <c r="D716" s="6" t="s">
        <v>7</v>
      </c>
      <c r="E716" s="5" t="s">
        <v>8</v>
      </c>
      <c r="F716" s="5" t="s">
        <v>9</v>
      </c>
      <c r="G716" s="7" t="s">
        <v>10</v>
      </c>
      <c r="H716" s="8" t="s">
        <v>11</v>
      </c>
      <c r="I716" s="9" t="s">
        <v>0</v>
      </c>
      <c r="J716" s="9" t="s">
        <v>12</v>
      </c>
      <c r="K716" s="9" t="s">
        <v>13</v>
      </c>
      <c r="L716" s="10" t="s">
        <v>14</v>
      </c>
      <c r="M716" s="9" t="s">
        <v>11</v>
      </c>
      <c r="N716" s="9" t="s">
        <v>0</v>
      </c>
      <c r="O716" s="9" t="s">
        <v>12</v>
      </c>
      <c r="P716" s="9" t="s">
        <v>13</v>
      </c>
      <c r="Q716" s="10" t="s">
        <v>14</v>
      </c>
      <c r="R716" s="70"/>
      <c r="S716" s="11"/>
      <c r="T716" s="1"/>
    </row>
    <row r="717" spans="1:22" x14ac:dyDescent="0.25">
      <c r="A717" s="12" t="s">
        <v>15</v>
      </c>
      <c r="B717" s="41"/>
      <c r="C717" s="41"/>
      <c r="D717" s="41"/>
      <c r="E717" s="41"/>
      <c r="F717" s="41"/>
      <c r="G717" s="15"/>
      <c r="H717" s="16"/>
      <c r="I717" s="17"/>
      <c r="J717" s="18">
        <v>0</v>
      </c>
      <c r="K717" s="17"/>
      <c r="L717" s="17"/>
      <c r="M717" s="17"/>
      <c r="N717" s="17"/>
      <c r="O717" s="17"/>
      <c r="P717" s="17"/>
      <c r="Q717" s="17"/>
      <c r="R717" s="19"/>
      <c r="T717" s="1"/>
    </row>
    <row r="718" spans="1:22" x14ac:dyDescent="0.25">
      <c r="A718" s="20" t="s">
        <v>16</v>
      </c>
      <c r="B718" s="42"/>
      <c r="C718" s="43"/>
      <c r="D718" s="43"/>
      <c r="E718" s="43"/>
      <c r="F718" s="43"/>
      <c r="G718" s="15"/>
      <c r="H718" s="16"/>
      <c r="I718" s="26"/>
      <c r="J718" s="25"/>
      <c r="K718" s="26"/>
      <c r="L718" s="26"/>
      <c r="M718" s="25"/>
      <c r="N718" s="25"/>
      <c r="O718" s="25"/>
      <c r="P718" s="25"/>
      <c r="Q718" s="25"/>
      <c r="R718" s="27">
        <f>G718</f>
        <v>0</v>
      </c>
      <c r="T718" s="1"/>
    </row>
    <row r="719" spans="1:22" x14ac:dyDescent="0.25">
      <c r="A719" s="20" t="s">
        <v>17</v>
      </c>
      <c r="B719" s="42"/>
      <c r="C719" s="43"/>
      <c r="D719" s="43"/>
      <c r="E719" s="43"/>
      <c r="F719" s="43"/>
      <c r="G719" s="15"/>
      <c r="H719" s="16"/>
      <c r="I719" s="26"/>
      <c r="J719" s="25"/>
      <c r="K719" s="26"/>
      <c r="L719" s="26"/>
      <c r="M719" s="25"/>
      <c r="N719" s="25"/>
      <c r="O719" s="25"/>
      <c r="P719" s="25"/>
      <c r="Q719" s="25"/>
      <c r="R719" s="27"/>
      <c r="T719" s="1"/>
      <c r="V719" s="1"/>
    </row>
    <row r="720" spans="1:22" x14ac:dyDescent="0.25">
      <c r="A720" s="20" t="s">
        <v>18</v>
      </c>
      <c r="B720" s="42"/>
      <c r="C720" s="43"/>
      <c r="D720" s="43"/>
      <c r="E720" s="43"/>
      <c r="F720" s="43"/>
      <c r="G720" s="15"/>
      <c r="H720" s="16"/>
      <c r="I720" s="26"/>
      <c r="J720" s="25"/>
      <c r="K720" s="26"/>
      <c r="L720" s="26"/>
      <c r="M720" s="25"/>
      <c r="N720" s="25"/>
      <c r="O720" s="25"/>
      <c r="P720" s="25"/>
      <c r="Q720" s="25"/>
      <c r="R720" s="27"/>
      <c r="T720" s="1"/>
    </row>
    <row r="721" spans="1:22" x14ac:dyDescent="0.25">
      <c r="A721" s="20" t="s">
        <v>19</v>
      </c>
      <c r="B721" s="42"/>
      <c r="C721" s="43"/>
      <c r="D721" s="43"/>
      <c r="E721" s="43"/>
      <c r="F721" s="43"/>
      <c r="G721" s="15"/>
      <c r="H721" s="16"/>
      <c r="I721" s="26"/>
      <c r="J721" s="25"/>
      <c r="K721" s="26"/>
      <c r="L721" s="26"/>
      <c r="M721" s="25"/>
      <c r="N721" s="25"/>
      <c r="O721" s="25"/>
      <c r="P721" s="25"/>
      <c r="Q721" s="25"/>
      <c r="R721" s="27"/>
      <c r="T721" s="1"/>
    </row>
    <row r="722" spans="1:22" x14ac:dyDescent="0.25">
      <c r="A722" s="20" t="s">
        <v>20</v>
      </c>
      <c r="B722" s="42"/>
      <c r="C722" s="43"/>
      <c r="D722" s="43"/>
      <c r="E722" s="43"/>
      <c r="F722" s="43"/>
      <c r="G722" s="15"/>
      <c r="H722" s="16"/>
      <c r="I722" s="26"/>
      <c r="J722" s="25"/>
      <c r="K722" s="26"/>
      <c r="L722" s="26"/>
      <c r="M722" s="25"/>
      <c r="N722" s="25"/>
      <c r="O722" s="25"/>
      <c r="P722" s="25"/>
      <c r="Q722" s="25"/>
      <c r="R722" s="27"/>
      <c r="T722" s="1"/>
    </row>
    <row r="723" spans="1:22" x14ac:dyDescent="0.25">
      <c r="A723" s="20" t="s">
        <v>21</v>
      </c>
      <c r="B723" s="42"/>
      <c r="C723" s="43"/>
      <c r="D723" s="43"/>
      <c r="E723" s="43"/>
      <c r="F723" s="43"/>
      <c r="G723" s="15"/>
      <c r="H723" s="16"/>
      <c r="I723" s="26"/>
      <c r="J723" s="25"/>
      <c r="K723" s="26"/>
      <c r="L723" s="26"/>
      <c r="M723" s="25"/>
      <c r="N723" s="25"/>
      <c r="O723" s="25"/>
      <c r="P723" s="25"/>
      <c r="Q723" s="25"/>
      <c r="R723" s="27"/>
      <c r="T723" s="1"/>
    </row>
    <row r="724" spans="1:22" x14ac:dyDescent="0.25">
      <c r="A724" s="20" t="s">
        <v>22</v>
      </c>
      <c r="B724" s="42"/>
      <c r="C724" s="43"/>
      <c r="D724" s="43"/>
      <c r="E724" s="43"/>
      <c r="F724" s="43"/>
      <c r="G724" s="15"/>
      <c r="H724" s="16"/>
      <c r="I724" s="26"/>
      <c r="J724" s="25"/>
      <c r="K724" s="26"/>
      <c r="L724" s="26"/>
      <c r="M724" s="25"/>
      <c r="N724" s="25"/>
      <c r="O724" s="25"/>
      <c r="P724" s="25"/>
      <c r="Q724" s="25"/>
      <c r="R724" s="27"/>
      <c r="T724" s="1"/>
      <c r="V724" s="1"/>
    </row>
    <row r="725" spans="1:22" x14ac:dyDescent="0.25">
      <c r="A725" s="20" t="s">
        <v>23</v>
      </c>
      <c r="B725" s="42"/>
      <c r="C725" s="43"/>
      <c r="D725" s="43"/>
      <c r="E725" s="43"/>
      <c r="F725" s="43"/>
      <c r="G725" s="15"/>
      <c r="H725" s="16"/>
      <c r="I725" s="26"/>
      <c r="J725" s="25"/>
      <c r="K725" s="26"/>
      <c r="L725" s="26"/>
      <c r="M725" s="25"/>
      <c r="N725" s="25"/>
      <c r="O725" s="25"/>
      <c r="P725" s="25"/>
      <c r="Q725" s="25"/>
      <c r="R725" s="27"/>
      <c r="T725" s="1"/>
      <c r="V725" s="1"/>
    </row>
    <row r="726" spans="1:22" x14ac:dyDescent="0.25">
      <c r="A726" s="20" t="s">
        <v>24</v>
      </c>
      <c r="B726" s="42"/>
      <c r="C726" s="43"/>
      <c r="D726" s="43"/>
      <c r="E726" s="43"/>
      <c r="F726" s="43"/>
      <c r="G726" s="15"/>
      <c r="H726" s="16"/>
      <c r="I726" s="26"/>
      <c r="J726" s="25"/>
      <c r="K726" s="26"/>
      <c r="L726" s="26"/>
      <c r="M726" s="25"/>
      <c r="N726" s="25"/>
      <c r="O726" s="25"/>
      <c r="P726" s="25"/>
      <c r="Q726" s="25"/>
      <c r="R726" s="27"/>
      <c r="T726" s="1"/>
    </row>
    <row r="727" spans="1:22" x14ac:dyDescent="0.25">
      <c r="A727" s="20" t="s">
        <v>25</v>
      </c>
      <c r="B727" s="42"/>
      <c r="C727" s="43"/>
      <c r="D727" s="43"/>
      <c r="E727" s="43"/>
      <c r="F727" s="43"/>
      <c r="G727" s="15"/>
      <c r="H727" s="16"/>
      <c r="I727" s="26"/>
      <c r="J727" s="25"/>
      <c r="K727" s="26"/>
      <c r="L727" s="26"/>
      <c r="M727" s="25"/>
      <c r="N727" s="25"/>
      <c r="O727" s="25"/>
      <c r="P727" s="25"/>
      <c r="Q727" s="25"/>
      <c r="R727" s="27"/>
      <c r="T727" s="1"/>
    </row>
    <row r="728" spans="1:22" x14ac:dyDescent="0.25">
      <c r="A728" s="20" t="s">
        <v>26</v>
      </c>
      <c r="B728" s="42"/>
      <c r="C728" s="43"/>
      <c r="D728" s="43"/>
      <c r="E728" s="43"/>
      <c r="F728" s="43"/>
      <c r="G728" s="15"/>
      <c r="H728" s="16"/>
      <c r="I728" s="26"/>
      <c r="J728" s="25"/>
      <c r="K728" s="26"/>
      <c r="L728" s="26"/>
      <c r="M728" s="25"/>
      <c r="N728" s="25"/>
      <c r="O728" s="25"/>
      <c r="P728" s="25"/>
      <c r="Q728" s="25"/>
      <c r="R728" s="27"/>
    </row>
    <row r="729" spans="1:22" ht="15.75" thickBot="1" x14ac:dyDescent="0.3">
      <c r="A729" s="12" t="s">
        <v>15</v>
      </c>
      <c r="B729" s="44"/>
      <c r="C729" s="45"/>
      <c r="D729" s="45"/>
      <c r="E729" s="45"/>
      <c r="F729" s="45"/>
      <c r="G729" s="15"/>
      <c r="H729" s="16"/>
      <c r="I729" s="26"/>
      <c r="J729" s="25"/>
      <c r="K729" s="26"/>
      <c r="L729" s="26"/>
      <c r="M729" s="25"/>
      <c r="N729" s="25"/>
      <c r="O729" s="25"/>
      <c r="P729" s="25"/>
      <c r="Q729" s="25"/>
      <c r="R729" s="27"/>
      <c r="T729" s="1"/>
    </row>
    <row r="730" spans="1:22" ht="15.75" thickBot="1" x14ac:dyDescent="0.3">
      <c r="A730" s="29" t="s">
        <v>0</v>
      </c>
      <c r="B730" s="30">
        <f t="shared" ref="B730:G730" si="223">SUM(B717:B729)</f>
        <v>0</v>
      </c>
      <c r="C730" s="30">
        <f t="shared" si="223"/>
        <v>0</v>
      </c>
      <c r="D730" s="30">
        <f t="shared" si="223"/>
        <v>0</v>
      </c>
      <c r="E730" s="30">
        <f t="shared" si="223"/>
        <v>0</v>
      </c>
      <c r="F730" s="30">
        <f t="shared" si="223"/>
        <v>0</v>
      </c>
      <c r="G730" s="31">
        <f t="shared" si="223"/>
        <v>0</v>
      </c>
      <c r="H730" s="32"/>
      <c r="I730" s="71" t="s">
        <v>27</v>
      </c>
      <c r="J730" s="72"/>
      <c r="K730" s="33">
        <f>SUM(K717:K729)</f>
        <v>0</v>
      </c>
      <c r="L730" s="34"/>
      <c r="M730" s="71" t="s">
        <v>28</v>
      </c>
      <c r="N730" s="73"/>
      <c r="O730" s="72"/>
      <c r="P730" s="33">
        <f>SUM(P717:P729)</f>
        <v>0</v>
      </c>
      <c r="Q730" s="34"/>
      <c r="R730" s="35"/>
      <c r="T730" s="1"/>
    </row>
    <row r="731" spans="1:22" s="36" customFormat="1" ht="15.75" thickBot="1" x14ac:dyDescent="0.3">
      <c r="C731" s="37"/>
      <c r="D731" s="37"/>
      <c r="F731" s="38"/>
      <c r="G731" s="38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T731" s="40"/>
    </row>
    <row r="732" spans="1:22" ht="15.75" customHeight="1" thickBot="1" x14ac:dyDescent="0.3">
      <c r="A732" s="2">
        <f>A715+1</f>
        <v>44</v>
      </c>
      <c r="B732" s="74" t="str">
        <f>VLOOKUP(A732,NAMA,2)</f>
        <v>SUHAEBUDIN,ST</v>
      </c>
      <c r="C732" s="75"/>
      <c r="D732" s="75"/>
      <c r="E732" s="75"/>
      <c r="F732" s="76"/>
      <c r="G732" s="3" t="s">
        <v>0</v>
      </c>
      <c r="H732" s="77" t="s">
        <v>1</v>
      </c>
      <c r="I732" s="78"/>
      <c r="J732" s="78"/>
      <c r="K732" s="78"/>
      <c r="L732" s="79"/>
      <c r="M732" s="80" t="s">
        <v>2</v>
      </c>
      <c r="N732" s="78"/>
      <c r="O732" s="78"/>
      <c r="P732" s="78"/>
      <c r="Q732" s="79"/>
      <c r="R732" s="69" t="s">
        <v>29</v>
      </c>
      <c r="T732" s="1"/>
    </row>
    <row r="733" spans="1:22" x14ac:dyDescent="0.25">
      <c r="A733" s="4" t="s">
        <v>4</v>
      </c>
      <c r="B733" s="5" t="s">
        <v>5</v>
      </c>
      <c r="C733" s="6" t="s">
        <v>6</v>
      </c>
      <c r="D733" s="6" t="s">
        <v>7</v>
      </c>
      <c r="E733" s="5" t="s">
        <v>8</v>
      </c>
      <c r="F733" s="5" t="s">
        <v>9</v>
      </c>
      <c r="G733" s="7" t="s">
        <v>10</v>
      </c>
      <c r="H733" s="8" t="s">
        <v>11</v>
      </c>
      <c r="I733" s="9" t="s">
        <v>0</v>
      </c>
      <c r="J733" s="9" t="s">
        <v>12</v>
      </c>
      <c r="K733" s="9" t="s">
        <v>13</v>
      </c>
      <c r="L733" s="10" t="s">
        <v>14</v>
      </c>
      <c r="M733" s="9" t="s">
        <v>11</v>
      </c>
      <c r="N733" s="9" t="s">
        <v>0</v>
      </c>
      <c r="O733" s="9" t="s">
        <v>12</v>
      </c>
      <c r="P733" s="9" t="s">
        <v>13</v>
      </c>
      <c r="Q733" s="10" t="s">
        <v>14</v>
      </c>
      <c r="R733" s="70"/>
      <c r="S733" s="11"/>
      <c r="T733" s="1"/>
    </row>
    <row r="734" spans="1:22" x14ac:dyDescent="0.25">
      <c r="A734" s="12" t="s">
        <v>15</v>
      </c>
      <c r="B734" s="41">
        <v>25000</v>
      </c>
      <c r="C734" s="41">
        <v>3055000</v>
      </c>
      <c r="D734" s="41">
        <v>1154418</v>
      </c>
      <c r="E734" s="41">
        <f>[2]krnmei!$E$747</f>
        <v>1200000</v>
      </c>
      <c r="F734" s="41">
        <v>240000</v>
      </c>
      <c r="G734" s="15">
        <f t="shared" ref="G734" si="224">SUM(B734:F734)</f>
        <v>5674418</v>
      </c>
      <c r="H734" s="16"/>
      <c r="I734" s="17"/>
      <c r="J734" s="18">
        <v>9250000</v>
      </c>
      <c r="K734" s="17"/>
      <c r="L734" s="17"/>
      <c r="M734" s="17"/>
      <c r="N734" s="17"/>
      <c r="O734" s="17"/>
      <c r="P734" s="17"/>
      <c r="Q734" s="17"/>
      <c r="R734" s="19"/>
      <c r="T734" s="1"/>
    </row>
    <row r="735" spans="1:22" x14ac:dyDescent="0.25">
      <c r="A735" s="20" t="s">
        <v>16</v>
      </c>
      <c r="B735" s="42"/>
      <c r="C735" s="43">
        <v>15000</v>
      </c>
      <c r="D735" s="43">
        <v>5000</v>
      </c>
      <c r="E735" s="43">
        <v>150000</v>
      </c>
      <c r="F735" s="43">
        <v>30000</v>
      </c>
      <c r="G735" s="15">
        <f t="shared" ref="G735:G747" si="225">SUM(B735:F735)</f>
        <v>200000</v>
      </c>
      <c r="H735" s="16">
        <v>24</v>
      </c>
      <c r="I735" s="25">
        <v>250000</v>
      </c>
      <c r="J735" s="26">
        <f t="shared" ref="J735:J746" si="226">J734-I735</f>
        <v>9000000</v>
      </c>
      <c r="K735" s="26">
        <f t="shared" ref="K735:K746" si="227">J734*0.015</f>
        <v>138750</v>
      </c>
      <c r="L735" s="26"/>
      <c r="M735" s="25"/>
      <c r="N735" s="25"/>
      <c r="O735" s="25"/>
      <c r="P735" s="25"/>
      <c r="Q735" s="25"/>
      <c r="R735" s="27">
        <f t="shared" ref="R735" si="228">G735+I735+K735</f>
        <v>588750</v>
      </c>
      <c r="T735" s="1"/>
    </row>
    <row r="736" spans="1:22" x14ac:dyDescent="0.25">
      <c r="A736" s="20" t="s">
        <v>17</v>
      </c>
      <c r="B736" s="42"/>
      <c r="C736" s="43">
        <v>15000</v>
      </c>
      <c r="D736" s="43">
        <v>5000</v>
      </c>
      <c r="E736" s="43">
        <v>150000</v>
      </c>
      <c r="F736" s="43">
        <v>30000</v>
      </c>
      <c r="G736" s="15">
        <f t="shared" si="225"/>
        <v>200000</v>
      </c>
      <c r="H736" s="16">
        <v>25</v>
      </c>
      <c r="I736" s="25">
        <v>250000</v>
      </c>
      <c r="J736" s="26">
        <f t="shared" si="226"/>
        <v>8750000</v>
      </c>
      <c r="K736" s="26">
        <f t="shared" si="227"/>
        <v>135000</v>
      </c>
      <c r="L736" s="26"/>
      <c r="M736" s="25"/>
      <c r="N736" s="26"/>
      <c r="O736" s="25"/>
      <c r="P736" s="26"/>
      <c r="Q736" s="25"/>
      <c r="R736" s="27">
        <f>G736+I736+K736</f>
        <v>585000</v>
      </c>
      <c r="T736" s="1"/>
      <c r="V736" s="1"/>
    </row>
    <row r="737" spans="1:22" x14ac:dyDescent="0.25">
      <c r="A737" s="20" t="s">
        <v>18</v>
      </c>
      <c r="B737" s="42"/>
      <c r="C737" s="43">
        <v>15000</v>
      </c>
      <c r="D737" s="43">
        <v>5000</v>
      </c>
      <c r="E737" s="43">
        <v>150000</v>
      </c>
      <c r="F737" s="43">
        <v>30000</v>
      </c>
      <c r="G737" s="15">
        <f t="shared" si="225"/>
        <v>200000</v>
      </c>
      <c r="H737" s="16">
        <v>26</v>
      </c>
      <c r="I737" s="25">
        <v>250000</v>
      </c>
      <c r="J737" s="26">
        <f t="shared" si="226"/>
        <v>8500000</v>
      </c>
      <c r="K737" s="26">
        <f t="shared" si="227"/>
        <v>131250</v>
      </c>
      <c r="L737" s="26"/>
      <c r="M737" s="25"/>
      <c r="N737" s="26"/>
      <c r="O737" s="25"/>
      <c r="P737" s="26"/>
      <c r="Q737" s="25"/>
      <c r="R737" s="27">
        <f t="shared" ref="R737:R746" si="229">G737+I737+K737</f>
        <v>581250</v>
      </c>
      <c r="T737" s="1"/>
    </row>
    <row r="738" spans="1:22" x14ac:dyDescent="0.25">
      <c r="A738" s="20" t="s">
        <v>19</v>
      </c>
      <c r="B738" s="42"/>
      <c r="C738" s="43">
        <v>15000</v>
      </c>
      <c r="D738" s="43">
        <v>5000</v>
      </c>
      <c r="E738" s="43">
        <v>-1650000</v>
      </c>
      <c r="F738" s="43">
        <v>30000</v>
      </c>
      <c r="G738" s="15">
        <f t="shared" si="225"/>
        <v>-1600000</v>
      </c>
      <c r="H738" s="16">
        <v>27</v>
      </c>
      <c r="I738" s="25">
        <v>250000</v>
      </c>
      <c r="J738" s="26">
        <f t="shared" si="226"/>
        <v>8250000</v>
      </c>
      <c r="K738" s="26">
        <f t="shared" si="227"/>
        <v>127500</v>
      </c>
      <c r="L738" s="26"/>
      <c r="M738" s="25" t="s">
        <v>35</v>
      </c>
      <c r="N738" s="26"/>
      <c r="O738" s="25"/>
      <c r="P738" s="26"/>
      <c r="Q738" s="25"/>
      <c r="R738" s="27">
        <f t="shared" si="229"/>
        <v>-1222500</v>
      </c>
      <c r="T738" s="1"/>
    </row>
    <row r="739" spans="1:22" x14ac:dyDescent="0.25">
      <c r="A739" s="20" t="s">
        <v>20</v>
      </c>
      <c r="B739" s="42"/>
      <c r="C739" s="43">
        <v>15000</v>
      </c>
      <c r="D739" s="43">
        <v>5000</v>
      </c>
      <c r="E739" s="43">
        <v>150000</v>
      </c>
      <c r="F739" s="43">
        <v>30000</v>
      </c>
      <c r="G739" s="15">
        <f t="shared" si="225"/>
        <v>200000</v>
      </c>
      <c r="H739" s="16">
        <v>28</v>
      </c>
      <c r="I739" s="25">
        <v>250000</v>
      </c>
      <c r="J739" s="26">
        <f t="shared" si="226"/>
        <v>8000000</v>
      </c>
      <c r="K739" s="26">
        <f t="shared" si="227"/>
        <v>123750</v>
      </c>
      <c r="L739" s="26"/>
      <c r="M739" s="25"/>
      <c r="N739" s="26"/>
      <c r="O739" s="25"/>
      <c r="P739" s="26"/>
      <c r="Q739" s="25"/>
      <c r="R739" s="27">
        <f t="shared" si="229"/>
        <v>573750</v>
      </c>
      <c r="T739" s="1"/>
    </row>
    <row r="740" spans="1:22" x14ac:dyDescent="0.25">
      <c r="A740" s="20" t="s">
        <v>21</v>
      </c>
      <c r="B740" s="42"/>
      <c r="C740" s="43">
        <v>15000</v>
      </c>
      <c r="D740" s="43">
        <v>5000</v>
      </c>
      <c r="E740" s="43">
        <v>150000</v>
      </c>
      <c r="F740" s="43">
        <v>30000</v>
      </c>
      <c r="G740" s="15">
        <f t="shared" si="225"/>
        <v>200000</v>
      </c>
      <c r="H740" s="16">
        <v>29</v>
      </c>
      <c r="I740" s="25">
        <v>250000</v>
      </c>
      <c r="J740" s="26">
        <f t="shared" si="226"/>
        <v>7750000</v>
      </c>
      <c r="K740" s="26">
        <f>J739*0.015</f>
        <v>120000</v>
      </c>
      <c r="L740" s="26"/>
      <c r="M740" s="25"/>
      <c r="N740" s="25"/>
      <c r="O740" s="25"/>
      <c r="P740" s="25"/>
      <c r="Q740" s="25"/>
      <c r="R740" s="27">
        <f t="shared" si="229"/>
        <v>570000</v>
      </c>
      <c r="T740" s="1"/>
    </row>
    <row r="741" spans="1:22" x14ac:dyDescent="0.25">
      <c r="A741" s="20" t="s">
        <v>22</v>
      </c>
      <c r="B741" s="42"/>
      <c r="C741" s="43">
        <v>15000</v>
      </c>
      <c r="D741" s="43">
        <v>5000</v>
      </c>
      <c r="E741" s="43">
        <v>150000</v>
      </c>
      <c r="F741" s="43">
        <v>30000</v>
      </c>
      <c r="G741" s="15">
        <f t="shared" si="225"/>
        <v>200000</v>
      </c>
      <c r="H741" s="16">
        <v>30</v>
      </c>
      <c r="I741" s="25">
        <v>250000</v>
      </c>
      <c r="J741" s="26">
        <f t="shared" si="226"/>
        <v>7500000</v>
      </c>
      <c r="K741" s="26">
        <f t="shared" si="227"/>
        <v>116250</v>
      </c>
      <c r="L741" s="26"/>
      <c r="M741" s="25"/>
      <c r="N741" s="25"/>
      <c r="O741" s="25"/>
      <c r="P741" s="25"/>
      <c r="Q741" s="25"/>
      <c r="R741" s="27">
        <f t="shared" si="229"/>
        <v>566250</v>
      </c>
      <c r="T741" s="1"/>
      <c r="V741" s="1"/>
    </row>
    <row r="742" spans="1:22" x14ac:dyDescent="0.25">
      <c r="A742" s="20" t="s">
        <v>23</v>
      </c>
      <c r="B742" s="42"/>
      <c r="C742" s="43">
        <v>15000</v>
      </c>
      <c r="D742" s="43">
        <v>5000</v>
      </c>
      <c r="E742" s="43">
        <v>150000</v>
      </c>
      <c r="F742" s="43">
        <v>30000</v>
      </c>
      <c r="G742" s="15">
        <f t="shared" si="225"/>
        <v>200000</v>
      </c>
      <c r="H742" s="16">
        <v>31</v>
      </c>
      <c r="I742" s="25">
        <v>250000</v>
      </c>
      <c r="J742" s="26">
        <f t="shared" si="226"/>
        <v>7250000</v>
      </c>
      <c r="K742" s="26">
        <f t="shared" si="227"/>
        <v>112500</v>
      </c>
      <c r="L742" s="26"/>
      <c r="M742" s="25"/>
      <c r="N742" s="25"/>
      <c r="O742" s="25"/>
      <c r="P742" s="25"/>
      <c r="Q742" s="25"/>
      <c r="R742" s="27">
        <f t="shared" si="229"/>
        <v>562500</v>
      </c>
      <c r="T742" s="1"/>
      <c r="V742" s="1"/>
    </row>
    <row r="743" spans="1:22" x14ac:dyDescent="0.25">
      <c r="A743" s="20" t="s">
        <v>24</v>
      </c>
      <c r="B743" s="42">
        <v>75000</v>
      </c>
      <c r="C743" s="43">
        <v>15000</v>
      </c>
      <c r="D743" s="43">
        <v>5000</v>
      </c>
      <c r="E743" s="43">
        <v>150000</v>
      </c>
      <c r="F743" s="43">
        <v>30000</v>
      </c>
      <c r="G743" s="15">
        <f t="shared" si="225"/>
        <v>275000</v>
      </c>
      <c r="H743" s="16">
        <v>32</v>
      </c>
      <c r="I743" s="25">
        <v>250000</v>
      </c>
      <c r="J743" s="26">
        <f t="shared" si="226"/>
        <v>7000000</v>
      </c>
      <c r="K743" s="26">
        <f t="shared" si="227"/>
        <v>108750</v>
      </c>
      <c r="L743" s="26"/>
      <c r="M743" s="25"/>
      <c r="N743" s="25"/>
      <c r="O743" s="25"/>
      <c r="P743" s="25"/>
      <c r="Q743" s="25"/>
      <c r="R743" s="27">
        <f t="shared" si="229"/>
        <v>633750</v>
      </c>
      <c r="T743" s="1"/>
    </row>
    <row r="744" spans="1:22" x14ac:dyDescent="0.25">
      <c r="A744" s="20" t="s">
        <v>25</v>
      </c>
      <c r="B744" s="42"/>
      <c r="C744" s="43">
        <v>15000</v>
      </c>
      <c r="D744" s="43">
        <v>5000</v>
      </c>
      <c r="E744" s="43">
        <v>150000</v>
      </c>
      <c r="F744" s="43">
        <v>30000</v>
      </c>
      <c r="G744" s="15">
        <f t="shared" si="225"/>
        <v>200000</v>
      </c>
      <c r="H744" s="16">
        <v>33</v>
      </c>
      <c r="I744" s="25">
        <v>250000</v>
      </c>
      <c r="J744" s="26">
        <f t="shared" si="226"/>
        <v>6750000</v>
      </c>
      <c r="K744" s="26">
        <f t="shared" si="227"/>
        <v>105000</v>
      </c>
      <c r="L744" s="26"/>
      <c r="M744" s="25"/>
      <c r="N744" s="25"/>
      <c r="O744" s="25"/>
      <c r="P744" s="25"/>
      <c r="Q744" s="25"/>
      <c r="R744" s="27">
        <f t="shared" si="229"/>
        <v>555000</v>
      </c>
      <c r="T744" s="1"/>
    </row>
    <row r="745" spans="1:22" x14ac:dyDescent="0.25">
      <c r="A745" s="20" t="s">
        <v>26</v>
      </c>
      <c r="B745" s="42"/>
      <c r="C745" s="43">
        <v>15000</v>
      </c>
      <c r="D745" s="43">
        <v>5000</v>
      </c>
      <c r="E745" s="43">
        <v>150000</v>
      </c>
      <c r="F745" s="43">
        <v>30000</v>
      </c>
      <c r="G745" s="15">
        <f t="shared" si="225"/>
        <v>200000</v>
      </c>
      <c r="H745" s="16">
        <v>34</v>
      </c>
      <c r="I745" s="25">
        <v>250000</v>
      </c>
      <c r="J745" s="26">
        <f t="shared" si="226"/>
        <v>6500000</v>
      </c>
      <c r="K745" s="26">
        <f t="shared" si="227"/>
        <v>101250</v>
      </c>
      <c r="L745" s="26"/>
      <c r="M745" s="25"/>
      <c r="N745" s="25"/>
      <c r="O745" s="25"/>
      <c r="P745" s="25"/>
      <c r="Q745" s="25"/>
      <c r="R745" s="27">
        <f t="shared" si="229"/>
        <v>551250</v>
      </c>
    </row>
    <row r="746" spans="1:22" ht="15.75" thickBot="1" x14ac:dyDescent="0.3">
      <c r="A746" s="12" t="s">
        <v>15</v>
      </c>
      <c r="B746" s="44"/>
      <c r="C746" s="43">
        <v>15000</v>
      </c>
      <c r="D746" s="43">
        <v>5000</v>
      </c>
      <c r="E746" s="43">
        <v>150000</v>
      </c>
      <c r="F746" s="43">
        <v>30000</v>
      </c>
      <c r="G746" s="15">
        <f t="shared" si="225"/>
        <v>200000</v>
      </c>
      <c r="H746" s="16">
        <v>35</v>
      </c>
      <c r="I746" s="25">
        <v>250000</v>
      </c>
      <c r="J746" s="26">
        <f t="shared" si="226"/>
        <v>6250000</v>
      </c>
      <c r="K746" s="26">
        <f t="shared" si="227"/>
        <v>97500</v>
      </c>
      <c r="L746" s="26"/>
      <c r="M746" s="25"/>
      <c r="N746" s="25"/>
      <c r="O746" s="25"/>
      <c r="P746" s="26"/>
      <c r="R746" s="27">
        <f t="shared" si="229"/>
        <v>547500</v>
      </c>
      <c r="T746" s="1"/>
    </row>
    <row r="747" spans="1:22" ht="15.75" thickBot="1" x14ac:dyDescent="0.3">
      <c r="A747" s="29" t="s">
        <v>0</v>
      </c>
      <c r="B747" s="30">
        <f t="shared" ref="B747:F747" si="230">SUM(B734:B746)</f>
        <v>100000</v>
      </c>
      <c r="C747" s="30">
        <f t="shared" si="230"/>
        <v>3235000</v>
      </c>
      <c r="D747" s="30">
        <f t="shared" si="230"/>
        <v>1214418</v>
      </c>
      <c r="E747" s="30">
        <f t="shared" si="230"/>
        <v>1200000</v>
      </c>
      <c r="F747" s="30">
        <f t="shared" si="230"/>
        <v>600000</v>
      </c>
      <c r="G747" s="15">
        <f t="shared" si="225"/>
        <v>6349418</v>
      </c>
      <c r="H747" s="32"/>
      <c r="I747" s="71" t="s">
        <v>27</v>
      </c>
      <c r="J747" s="72"/>
      <c r="K747" s="33">
        <f>SUM(K734:K746)</f>
        <v>1417500</v>
      </c>
      <c r="L747" s="34"/>
      <c r="M747" s="71" t="s">
        <v>28</v>
      </c>
      <c r="N747" s="73"/>
      <c r="O747" s="72"/>
      <c r="P747" s="33">
        <f>SUM(P734:P746)</f>
        <v>0</v>
      </c>
      <c r="Q747" s="34"/>
      <c r="R747" s="35"/>
      <c r="T747" s="1"/>
    </row>
    <row r="748" spans="1:22" s="36" customFormat="1" ht="15.75" thickBot="1" x14ac:dyDescent="0.3">
      <c r="C748" s="37"/>
      <c r="D748" s="37"/>
      <c r="F748" s="38"/>
      <c r="G748" s="38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T748" s="40"/>
    </row>
    <row r="749" spans="1:22" ht="15.75" customHeight="1" thickBot="1" x14ac:dyDescent="0.3">
      <c r="A749" s="2">
        <f>A732+1</f>
        <v>45</v>
      </c>
      <c r="B749" s="74" t="str">
        <f>VLOOKUP(A749,NAMA,2)</f>
        <v>SUGIONO</v>
      </c>
      <c r="C749" s="75"/>
      <c r="D749" s="75"/>
      <c r="E749" s="75"/>
      <c r="F749" s="76"/>
      <c r="G749" s="3" t="s">
        <v>0</v>
      </c>
      <c r="H749" s="77" t="s">
        <v>1</v>
      </c>
      <c r="I749" s="78"/>
      <c r="J749" s="78"/>
      <c r="K749" s="78"/>
      <c r="L749" s="79"/>
      <c r="M749" s="80" t="s">
        <v>2</v>
      </c>
      <c r="N749" s="78"/>
      <c r="O749" s="78"/>
      <c r="P749" s="78"/>
      <c r="Q749" s="79"/>
      <c r="R749" s="69" t="s">
        <v>29</v>
      </c>
      <c r="T749" s="1"/>
    </row>
    <row r="750" spans="1:22" x14ac:dyDescent="0.25">
      <c r="A750" s="4" t="s">
        <v>4</v>
      </c>
      <c r="B750" s="5" t="s">
        <v>5</v>
      </c>
      <c r="C750" s="6" t="s">
        <v>6</v>
      </c>
      <c r="D750" s="6" t="s">
        <v>7</v>
      </c>
      <c r="E750" s="5" t="s">
        <v>8</v>
      </c>
      <c r="F750" s="5" t="s">
        <v>9</v>
      </c>
      <c r="G750" s="7" t="s">
        <v>10</v>
      </c>
      <c r="H750" s="8" t="s">
        <v>11</v>
      </c>
      <c r="I750" s="9" t="s">
        <v>0</v>
      </c>
      <c r="J750" s="9" t="s">
        <v>12</v>
      </c>
      <c r="K750" s="9" t="s">
        <v>13</v>
      </c>
      <c r="L750" s="10" t="s">
        <v>14</v>
      </c>
      <c r="M750" s="9" t="s">
        <v>11</v>
      </c>
      <c r="N750" s="9" t="s">
        <v>0</v>
      </c>
      <c r="O750" s="9" t="s">
        <v>12</v>
      </c>
      <c r="P750" s="9" t="s">
        <v>13</v>
      </c>
      <c r="Q750" s="10" t="s">
        <v>14</v>
      </c>
      <c r="R750" s="70"/>
      <c r="S750" s="11"/>
      <c r="T750" s="1"/>
    </row>
    <row r="751" spans="1:22" x14ac:dyDescent="0.25">
      <c r="A751" s="12" t="s">
        <v>15</v>
      </c>
      <c r="B751" s="41">
        <v>25000</v>
      </c>
      <c r="C751" s="41">
        <v>1245000</v>
      </c>
      <c r="D751" s="41">
        <v>1087748</v>
      </c>
      <c r="E751" s="41">
        <v>0</v>
      </c>
      <c r="F751" s="41">
        <v>0</v>
      </c>
      <c r="G751" s="15">
        <f t="shared" ref="G751" si="231">SUM(B751:F751)</f>
        <v>2357748</v>
      </c>
      <c r="H751" s="16"/>
      <c r="I751" s="17"/>
      <c r="J751" s="25">
        <v>9350000</v>
      </c>
      <c r="K751" s="17"/>
      <c r="L751" s="17"/>
      <c r="M751" s="17"/>
      <c r="N751" s="17"/>
      <c r="O751" s="17"/>
      <c r="P751" s="17"/>
      <c r="Q751" s="17"/>
      <c r="R751" s="19"/>
      <c r="T751" s="1"/>
    </row>
    <row r="752" spans="1:22" x14ac:dyDescent="0.25">
      <c r="A752" s="20" t="s">
        <v>16</v>
      </c>
      <c r="B752" s="42">
        <v>-25000</v>
      </c>
      <c r="C752" s="43">
        <v>-1245000</v>
      </c>
      <c r="D752" s="43">
        <v>-1087748</v>
      </c>
      <c r="E752" s="43">
        <v>0</v>
      </c>
      <c r="F752" s="43">
        <v>0</v>
      </c>
      <c r="G752" s="15">
        <f t="shared" ref="G752:G763" si="232">SUM(B752:F752)</f>
        <v>-2357748</v>
      </c>
      <c r="H752" s="16">
        <v>51</v>
      </c>
      <c r="I752" s="26">
        <v>200000</v>
      </c>
      <c r="J752" s="25">
        <f t="shared" ref="J752:J763" si="233">J751-I752</f>
        <v>9150000</v>
      </c>
      <c r="K752" s="26">
        <f t="shared" ref="K752:K763" si="234">J751*0.015</f>
        <v>140250</v>
      </c>
      <c r="L752" s="26"/>
      <c r="M752" s="25"/>
      <c r="N752" s="25"/>
      <c r="O752" s="25"/>
      <c r="P752" s="25"/>
      <c r="Q752" s="25"/>
      <c r="R752" s="27">
        <f t="shared" ref="R752" si="235">K752+I752+G752</f>
        <v>-2017498</v>
      </c>
      <c r="T752" s="1"/>
    </row>
    <row r="753" spans="1:22" x14ac:dyDescent="0.25">
      <c r="A753" s="20" t="s">
        <v>17</v>
      </c>
      <c r="B753" s="42">
        <v>25000</v>
      </c>
      <c r="C753" s="43">
        <v>10000</v>
      </c>
      <c r="D753" s="43">
        <v>15000</v>
      </c>
      <c r="E753" s="43">
        <v>0</v>
      </c>
      <c r="F753" s="43">
        <v>0</v>
      </c>
      <c r="G753" s="15">
        <f t="shared" si="232"/>
        <v>50000</v>
      </c>
      <c r="H753" s="16">
        <v>52</v>
      </c>
      <c r="I753" s="26">
        <v>200000</v>
      </c>
      <c r="J753" s="25">
        <f t="shared" si="233"/>
        <v>8950000</v>
      </c>
      <c r="K753" s="26">
        <f t="shared" si="234"/>
        <v>137250</v>
      </c>
      <c r="L753" s="26"/>
      <c r="M753" s="25"/>
      <c r="N753" s="25"/>
      <c r="O753" s="25"/>
      <c r="P753" s="25"/>
      <c r="Q753" s="25"/>
      <c r="R753" s="27">
        <f t="shared" ref="R753:R755" si="236">K753+I753+G753</f>
        <v>387250</v>
      </c>
      <c r="T753" s="1"/>
      <c r="V753" s="1"/>
    </row>
    <row r="754" spans="1:22" x14ac:dyDescent="0.25">
      <c r="A754" s="20" t="s">
        <v>18</v>
      </c>
      <c r="B754" s="42"/>
      <c r="C754" s="43">
        <v>10000</v>
      </c>
      <c r="D754" s="43">
        <v>15000</v>
      </c>
      <c r="E754" s="43">
        <v>0</v>
      </c>
      <c r="F754" s="43">
        <v>0</v>
      </c>
      <c r="G754" s="15">
        <f t="shared" si="232"/>
        <v>25000</v>
      </c>
      <c r="H754" s="16">
        <v>53</v>
      </c>
      <c r="I754" s="26">
        <v>200000</v>
      </c>
      <c r="J754" s="25">
        <f t="shared" si="233"/>
        <v>8750000</v>
      </c>
      <c r="K754" s="26">
        <f t="shared" si="234"/>
        <v>134250</v>
      </c>
      <c r="L754" s="26"/>
      <c r="M754" s="25"/>
      <c r="N754" s="25"/>
      <c r="O754" s="25"/>
      <c r="P754" s="25"/>
      <c r="Q754" s="25"/>
      <c r="R754" s="27">
        <f t="shared" si="236"/>
        <v>359250</v>
      </c>
      <c r="T754" s="1"/>
    </row>
    <row r="755" spans="1:22" x14ac:dyDescent="0.25">
      <c r="A755" s="20" t="s">
        <v>19</v>
      </c>
      <c r="B755" s="42"/>
      <c r="C755" s="43">
        <v>10000</v>
      </c>
      <c r="D755" s="43">
        <v>15000</v>
      </c>
      <c r="E755" s="43">
        <v>0</v>
      </c>
      <c r="F755" s="43">
        <v>0</v>
      </c>
      <c r="G755" s="15">
        <f t="shared" si="232"/>
        <v>25000</v>
      </c>
      <c r="H755" s="16">
        <v>54</v>
      </c>
      <c r="I755" s="26">
        <v>200000</v>
      </c>
      <c r="J755" s="25">
        <f t="shared" si="233"/>
        <v>8550000</v>
      </c>
      <c r="K755" s="26">
        <f t="shared" si="234"/>
        <v>131250</v>
      </c>
      <c r="L755" s="26"/>
      <c r="M755" s="25"/>
      <c r="N755" s="25"/>
      <c r="O755" s="25"/>
      <c r="P755" s="25"/>
      <c r="Q755" s="25"/>
      <c r="R755" s="27">
        <f t="shared" si="236"/>
        <v>356250</v>
      </c>
      <c r="T755" s="1"/>
    </row>
    <row r="756" spans="1:22" x14ac:dyDescent="0.25">
      <c r="A756" s="20" t="s">
        <v>20</v>
      </c>
      <c r="B756" s="42"/>
      <c r="C756" s="43">
        <v>10000</v>
      </c>
      <c r="D756" s="43">
        <v>15000</v>
      </c>
      <c r="E756" s="43">
        <v>0</v>
      </c>
      <c r="F756" s="43">
        <v>0</v>
      </c>
      <c r="G756" s="15">
        <f t="shared" si="232"/>
        <v>25000</v>
      </c>
      <c r="H756" s="16">
        <v>55</v>
      </c>
      <c r="I756" s="26">
        <v>200000</v>
      </c>
      <c r="J756" s="25">
        <f t="shared" si="233"/>
        <v>8350000</v>
      </c>
      <c r="K756" s="26">
        <f t="shared" si="234"/>
        <v>128250</v>
      </c>
      <c r="L756" s="26"/>
      <c r="M756" s="25"/>
      <c r="N756" s="25"/>
      <c r="O756" s="25"/>
      <c r="P756" s="25"/>
      <c r="Q756" s="25"/>
      <c r="R756" s="27">
        <f t="shared" ref="R756:R763" si="237">K756+I756+G756</f>
        <v>353250</v>
      </c>
      <c r="T756" s="1"/>
    </row>
    <row r="757" spans="1:22" x14ac:dyDescent="0.25">
      <c r="A757" s="20" t="s">
        <v>21</v>
      </c>
      <c r="B757" s="42"/>
      <c r="C757" s="43">
        <v>10000</v>
      </c>
      <c r="D757" s="43">
        <v>15000</v>
      </c>
      <c r="E757" s="43">
        <v>0</v>
      </c>
      <c r="F757" s="43">
        <v>0</v>
      </c>
      <c r="G757" s="15">
        <f t="shared" si="232"/>
        <v>25000</v>
      </c>
      <c r="H757" s="16">
        <v>56</v>
      </c>
      <c r="I757" s="26">
        <v>200000</v>
      </c>
      <c r="J757" s="25">
        <f t="shared" si="233"/>
        <v>8150000</v>
      </c>
      <c r="K757" s="26">
        <f t="shared" si="234"/>
        <v>125250</v>
      </c>
      <c r="L757" s="26"/>
      <c r="M757" s="25"/>
      <c r="N757" s="25"/>
      <c r="O757" s="25"/>
      <c r="P757" s="25"/>
      <c r="Q757" s="25"/>
      <c r="R757" s="27">
        <f t="shared" si="237"/>
        <v>350250</v>
      </c>
      <c r="T757" s="1"/>
    </row>
    <row r="758" spans="1:22" x14ac:dyDescent="0.25">
      <c r="A758" s="20" t="s">
        <v>22</v>
      </c>
      <c r="B758" s="42"/>
      <c r="C758" s="43">
        <v>10000</v>
      </c>
      <c r="D758" s="43">
        <v>15000</v>
      </c>
      <c r="E758" s="43">
        <v>0</v>
      </c>
      <c r="F758" s="43">
        <v>0</v>
      </c>
      <c r="G758" s="15">
        <f t="shared" si="232"/>
        <v>25000</v>
      </c>
      <c r="H758" s="16">
        <v>57</v>
      </c>
      <c r="I758" s="26">
        <v>200000</v>
      </c>
      <c r="J758" s="25">
        <f t="shared" si="233"/>
        <v>7950000</v>
      </c>
      <c r="K758" s="26">
        <f t="shared" si="234"/>
        <v>122250</v>
      </c>
      <c r="L758" s="26"/>
      <c r="M758" s="25"/>
      <c r="N758" s="25"/>
      <c r="O758" s="25"/>
      <c r="P758" s="25"/>
      <c r="Q758" s="25"/>
      <c r="R758" s="27">
        <f t="shared" si="237"/>
        <v>347250</v>
      </c>
      <c r="T758" s="1"/>
      <c r="V758" s="1"/>
    </row>
    <row r="759" spans="1:22" x14ac:dyDescent="0.25">
      <c r="A759" s="20" t="s">
        <v>23</v>
      </c>
      <c r="B759" s="42"/>
      <c r="C759" s="43">
        <v>10000</v>
      </c>
      <c r="D759" s="43">
        <v>15000</v>
      </c>
      <c r="E759" s="43">
        <v>0</v>
      </c>
      <c r="F759" s="43">
        <v>0</v>
      </c>
      <c r="G759" s="15">
        <f t="shared" si="232"/>
        <v>25000</v>
      </c>
      <c r="H759" s="16">
        <v>58</v>
      </c>
      <c r="I759" s="26">
        <v>200000</v>
      </c>
      <c r="J759" s="25">
        <f t="shared" si="233"/>
        <v>7750000</v>
      </c>
      <c r="K759" s="26">
        <f t="shared" si="234"/>
        <v>119250</v>
      </c>
      <c r="L759" s="26"/>
      <c r="M759" s="25"/>
      <c r="N759" s="25"/>
      <c r="O759" s="25"/>
      <c r="P759" s="25"/>
      <c r="Q759" s="25"/>
      <c r="R759" s="27">
        <f t="shared" si="237"/>
        <v>344250</v>
      </c>
      <c r="T759" s="1"/>
      <c r="V759" s="1"/>
    </row>
    <row r="760" spans="1:22" x14ac:dyDescent="0.25">
      <c r="A760" s="20" t="s">
        <v>24</v>
      </c>
      <c r="B760" s="42"/>
      <c r="C760" s="43">
        <v>10000</v>
      </c>
      <c r="D760" s="43">
        <v>15000</v>
      </c>
      <c r="E760" s="43">
        <v>0</v>
      </c>
      <c r="F760" s="43">
        <v>0</v>
      </c>
      <c r="G760" s="15">
        <f t="shared" si="232"/>
        <v>25000</v>
      </c>
      <c r="H760" s="16">
        <v>58</v>
      </c>
      <c r="I760" s="26">
        <v>200000</v>
      </c>
      <c r="J760" s="25">
        <f t="shared" si="233"/>
        <v>7550000</v>
      </c>
      <c r="K760" s="26">
        <f t="shared" si="234"/>
        <v>116250</v>
      </c>
      <c r="L760" s="26"/>
      <c r="M760" s="25"/>
      <c r="N760" s="25"/>
      <c r="O760" s="25"/>
      <c r="P760" s="25"/>
      <c r="Q760" s="25"/>
      <c r="R760" s="27">
        <f t="shared" si="237"/>
        <v>341250</v>
      </c>
      <c r="T760" s="1"/>
    </row>
    <row r="761" spans="1:22" x14ac:dyDescent="0.25">
      <c r="A761" s="20" t="s">
        <v>25</v>
      </c>
      <c r="B761" s="42"/>
      <c r="C761" s="43">
        <v>10000</v>
      </c>
      <c r="D761" s="43">
        <v>15000</v>
      </c>
      <c r="E761" s="43">
        <v>0</v>
      </c>
      <c r="F761" s="43">
        <v>0</v>
      </c>
      <c r="G761" s="15">
        <f t="shared" si="232"/>
        <v>25000</v>
      </c>
      <c r="H761" s="16">
        <v>59</v>
      </c>
      <c r="I761" s="26">
        <v>200000</v>
      </c>
      <c r="J761" s="25">
        <f t="shared" si="233"/>
        <v>7350000</v>
      </c>
      <c r="K761" s="26">
        <f t="shared" si="234"/>
        <v>113250</v>
      </c>
      <c r="L761" s="26"/>
      <c r="M761" s="25"/>
      <c r="N761" s="25"/>
      <c r="O761" s="25"/>
      <c r="P761" s="25"/>
      <c r="Q761" s="25"/>
      <c r="R761" s="27">
        <f t="shared" si="237"/>
        <v>338250</v>
      </c>
      <c r="T761" s="1"/>
    </row>
    <row r="762" spans="1:22" x14ac:dyDescent="0.25">
      <c r="A762" s="20" t="s">
        <v>26</v>
      </c>
      <c r="B762" s="42"/>
      <c r="C762" s="43">
        <v>10000</v>
      </c>
      <c r="D762" s="43">
        <v>15000</v>
      </c>
      <c r="E762" s="43">
        <v>0</v>
      </c>
      <c r="F762" s="43">
        <v>0</v>
      </c>
      <c r="G762" s="15">
        <f t="shared" si="232"/>
        <v>25000</v>
      </c>
      <c r="H762" s="16">
        <v>60</v>
      </c>
      <c r="I762" s="26">
        <v>200000</v>
      </c>
      <c r="J762" s="25">
        <f t="shared" si="233"/>
        <v>7150000</v>
      </c>
      <c r="K762" s="26">
        <f t="shared" si="234"/>
        <v>110250</v>
      </c>
      <c r="L762" s="26"/>
      <c r="M762" s="25"/>
      <c r="N762" s="25"/>
      <c r="O762" s="25"/>
      <c r="P762" s="25"/>
      <c r="Q762" s="25"/>
      <c r="R762" s="27">
        <f t="shared" si="237"/>
        <v>335250</v>
      </c>
    </row>
    <row r="763" spans="1:22" ht="15.75" thickBot="1" x14ac:dyDescent="0.3">
      <c r="A763" s="12" t="s">
        <v>15</v>
      </c>
      <c r="B763" s="44"/>
      <c r="C763" s="43">
        <v>10000</v>
      </c>
      <c r="D763" s="43">
        <v>15000</v>
      </c>
      <c r="E763" s="43">
        <v>0</v>
      </c>
      <c r="F763" s="43">
        <v>0</v>
      </c>
      <c r="G763" s="15">
        <f t="shared" si="232"/>
        <v>25000</v>
      </c>
      <c r="H763" s="16">
        <v>61</v>
      </c>
      <c r="I763" s="26">
        <v>200000</v>
      </c>
      <c r="J763" s="25">
        <f t="shared" si="233"/>
        <v>6950000</v>
      </c>
      <c r="K763" s="26">
        <f t="shared" si="234"/>
        <v>107250</v>
      </c>
      <c r="L763" s="26"/>
      <c r="M763" s="25"/>
      <c r="N763" s="25"/>
      <c r="O763" s="25"/>
      <c r="P763" s="25"/>
      <c r="Q763" s="25"/>
      <c r="R763" s="27">
        <f t="shared" si="237"/>
        <v>332250</v>
      </c>
      <c r="T763" s="1"/>
    </row>
    <row r="764" spans="1:22" ht="15.75" thickBot="1" x14ac:dyDescent="0.3">
      <c r="A764" s="29" t="s">
        <v>0</v>
      </c>
      <c r="B764" s="30">
        <f t="shared" ref="B764:F764" si="238">SUM(B751:B763)</f>
        <v>25000</v>
      </c>
      <c r="C764" s="30">
        <f t="shared" si="238"/>
        <v>110000</v>
      </c>
      <c r="D764" s="30">
        <f t="shared" si="238"/>
        <v>165000</v>
      </c>
      <c r="E764" s="30">
        <f t="shared" si="238"/>
        <v>0</v>
      </c>
      <c r="F764" s="30">
        <f t="shared" si="238"/>
        <v>0</v>
      </c>
      <c r="G764" s="15">
        <f t="shared" ref="G764" si="239">SUM(B764:F764)</f>
        <v>300000</v>
      </c>
      <c r="H764" s="32"/>
      <c r="I764" s="71" t="s">
        <v>27</v>
      </c>
      <c r="J764" s="72"/>
      <c r="K764" s="33">
        <f>SUM(K751:K763)</f>
        <v>1485000</v>
      </c>
      <c r="L764" s="34"/>
      <c r="M764" s="71" t="s">
        <v>28</v>
      </c>
      <c r="N764" s="73"/>
      <c r="O764" s="72"/>
      <c r="P764" s="33">
        <f>SUM(P751:P763)</f>
        <v>0</v>
      </c>
      <c r="Q764" s="34"/>
      <c r="R764" s="35"/>
      <c r="T764" s="1"/>
    </row>
    <row r="765" spans="1:22" s="36" customFormat="1" ht="15.75" thickBot="1" x14ac:dyDescent="0.3">
      <c r="C765" s="37"/>
      <c r="D765" s="37"/>
      <c r="F765" s="38"/>
      <c r="G765" s="38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T765" s="40"/>
    </row>
    <row r="766" spans="1:22" ht="15.75" customHeight="1" thickBot="1" x14ac:dyDescent="0.3">
      <c r="A766" s="2">
        <f>A749+1</f>
        <v>46</v>
      </c>
      <c r="B766" s="74" t="str">
        <f>VLOOKUP(A766,NAMA,2)</f>
        <v>BASUKI</v>
      </c>
      <c r="C766" s="75"/>
      <c r="D766" s="75"/>
      <c r="E766" s="75"/>
      <c r="F766" s="76"/>
      <c r="G766" s="3" t="s">
        <v>0</v>
      </c>
      <c r="H766" s="77" t="s">
        <v>1</v>
      </c>
      <c r="I766" s="78"/>
      <c r="J766" s="78"/>
      <c r="K766" s="78"/>
      <c r="L766" s="79"/>
      <c r="M766" s="80" t="s">
        <v>2</v>
      </c>
      <c r="N766" s="78"/>
      <c r="O766" s="78"/>
      <c r="P766" s="78"/>
      <c r="Q766" s="79"/>
      <c r="R766" s="69" t="s">
        <v>29</v>
      </c>
      <c r="T766" s="1"/>
    </row>
    <row r="767" spans="1:22" x14ac:dyDescent="0.25">
      <c r="A767" s="4" t="s">
        <v>4</v>
      </c>
      <c r="B767" s="5" t="s">
        <v>5</v>
      </c>
      <c r="C767" s="6" t="s">
        <v>6</v>
      </c>
      <c r="D767" s="6" t="s">
        <v>7</v>
      </c>
      <c r="E767" s="5" t="s">
        <v>8</v>
      </c>
      <c r="F767" s="5" t="s">
        <v>9</v>
      </c>
      <c r="G767" s="7" t="s">
        <v>10</v>
      </c>
      <c r="H767" s="8" t="s">
        <v>11</v>
      </c>
      <c r="I767" s="9" t="s">
        <v>0</v>
      </c>
      <c r="J767" s="9" t="s">
        <v>12</v>
      </c>
      <c r="K767" s="9" t="s">
        <v>13</v>
      </c>
      <c r="L767" s="10" t="s">
        <v>14</v>
      </c>
      <c r="M767" s="9" t="s">
        <v>11</v>
      </c>
      <c r="N767" s="9" t="s">
        <v>0</v>
      </c>
      <c r="O767" s="9" t="s">
        <v>12</v>
      </c>
      <c r="P767" s="9" t="s">
        <v>13</v>
      </c>
      <c r="Q767" s="10" t="s">
        <v>14</v>
      </c>
      <c r="R767" s="70"/>
      <c r="S767" s="11"/>
      <c r="T767" s="1"/>
    </row>
    <row r="768" spans="1:22" x14ac:dyDescent="0.25">
      <c r="A768" s="12" t="s">
        <v>15</v>
      </c>
      <c r="B768" s="41">
        <v>25000</v>
      </c>
      <c r="C768" s="41">
        <v>4312000</v>
      </c>
      <c r="D768" s="41">
        <v>1540000</v>
      </c>
      <c r="E768" s="41">
        <v>0</v>
      </c>
      <c r="F768" s="41">
        <v>0</v>
      </c>
      <c r="G768" s="15">
        <f t="shared" ref="G768" si="240">SUM(B768:F768)</f>
        <v>5877000</v>
      </c>
      <c r="H768" s="16"/>
      <c r="I768" s="17"/>
      <c r="J768" s="18">
        <v>7000000</v>
      </c>
      <c r="K768" s="17"/>
      <c r="L768" s="17"/>
      <c r="M768" s="17"/>
      <c r="N768" s="17"/>
      <c r="O768" s="17"/>
      <c r="P768" s="17"/>
      <c r="Q768" s="17"/>
      <c r="R768" s="19"/>
      <c r="T768" s="1"/>
    </row>
    <row r="769" spans="1:22" x14ac:dyDescent="0.25">
      <c r="A769" s="20" t="s">
        <v>16</v>
      </c>
      <c r="B769" s="42"/>
      <c r="C769" s="43">
        <v>15000</v>
      </c>
      <c r="D769" s="43">
        <v>0</v>
      </c>
      <c r="E769" s="43">
        <v>0</v>
      </c>
      <c r="F769" s="43">
        <v>0</v>
      </c>
      <c r="G769" s="15">
        <f t="shared" ref="G769:G781" si="241">SUM(B769:F769)</f>
        <v>15000</v>
      </c>
      <c r="H769" s="16">
        <v>19</v>
      </c>
      <c r="I769" s="26">
        <v>500000</v>
      </c>
      <c r="J769" s="25">
        <f t="shared" ref="J769:J780" si="242">J768-I769</f>
        <v>6500000</v>
      </c>
      <c r="K769" s="26">
        <f t="shared" ref="K769:K770" si="243">0.015*J768</f>
        <v>105000</v>
      </c>
      <c r="L769" s="26"/>
      <c r="M769" s="25"/>
      <c r="N769" s="25"/>
      <c r="O769" s="25"/>
      <c r="P769" s="25"/>
      <c r="Q769" s="25"/>
      <c r="R769" s="27">
        <f>K769+I769+G769</f>
        <v>620000</v>
      </c>
      <c r="T769" s="1"/>
    </row>
    <row r="770" spans="1:22" x14ac:dyDescent="0.25">
      <c r="A770" s="20" t="s">
        <v>17</v>
      </c>
      <c r="B770" s="42"/>
      <c r="C770" s="43">
        <v>15000</v>
      </c>
      <c r="D770" s="43">
        <v>0</v>
      </c>
      <c r="E770" s="43">
        <v>0</v>
      </c>
      <c r="F770" s="43">
        <v>0</v>
      </c>
      <c r="G770" s="15">
        <f t="shared" si="241"/>
        <v>15000</v>
      </c>
      <c r="H770" s="16">
        <v>20</v>
      </c>
      <c r="I770" s="26">
        <v>500000</v>
      </c>
      <c r="J770" s="25">
        <f t="shared" si="242"/>
        <v>6000000</v>
      </c>
      <c r="K770" s="26">
        <f t="shared" si="243"/>
        <v>97500</v>
      </c>
      <c r="L770" s="26"/>
      <c r="M770" s="25"/>
      <c r="N770" s="25"/>
      <c r="O770" s="25"/>
      <c r="P770" s="25"/>
      <c r="Q770" s="25"/>
      <c r="R770" s="27">
        <f t="shared" ref="R770:R780" si="244">K770+I770+G770</f>
        <v>612500</v>
      </c>
      <c r="T770" s="1"/>
      <c r="V770" s="1"/>
    </row>
    <row r="771" spans="1:22" x14ac:dyDescent="0.25">
      <c r="A771" s="20" t="s">
        <v>18</v>
      </c>
      <c r="B771" s="42"/>
      <c r="C771" s="43">
        <v>15000</v>
      </c>
      <c r="D771" s="43">
        <v>0</v>
      </c>
      <c r="E771" s="43">
        <v>0</v>
      </c>
      <c r="F771" s="43">
        <v>0</v>
      </c>
      <c r="G771" s="15">
        <f t="shared" si="241"/>
        <v>15000</v>
      </c>
      <c r="H771" s="16">
        <v>21</v>
      </c>
      <c r="I771" s="26">
        <v>500000</v>
      </c>
      <c r="J771" s="25">
        <f t="shared" si="242"/>
        <v>5500000</v>
      </c>
      <c r="K771" s="26">
        <f t="shared" ref="K771:K772" si="245">0.015*J770</f>
        <v>90000</v>
      </c>
      <c r="L771" s="26"/>
      <c r="M771" s="25"/>
      <c r="N771" s="25"/>
      <c r="O771" s="25"/>
      <c r="P771" s="25"/>
      <c r="Q771" s="25"/>
      <c r="R771" s="27">
        <f t="shared" si="244"/>
        <v>605000</v>
      </c>
      <c r="T771" s="1"/>
    </row>
    <row r="772" spans="1:22" x14ac:dyDescent="0.25">
      <c r="A772" s="20" t="s">
        <v>19</v>
      </c>
      <c r="B772" s="42"/>
      <c r="C772" s="43">
        <v>15000</v>
      </c>
      <c r="D772" s="43">
        <v>0</v>
      </c>
      <c r="E772" s="43">
        <v>100000</v>
      </c>
      <c r="F772" s="43">
        <v>0</v>
      </c>
      <c r="G772" s="15">
        <f t="shared" si="241"/>
        <v>115000</v>
      </c>
      <c r="H772" s="16">
        <v>22</v>
      </c>
      <c r="I772" s="26">
        <v>500000</v>
      </c>
      <c r="J772" s="25">
        <f t="shared" si="242"/>
        <v>5000000</v>
      </c>
      <c r="K772" s="26">
        <f t="shared" si="245"/>
        <v>82500</v>
      </c>
      <c r="L772" s="26"/>
      <c r="M772" s="25"/>
      <c r="N772" s="25"/>
      <c r="O772" s="25"/>
      <c r="P772" s="25"/>
      <c r="Q772" s="25"/>
      <c r="R772" s="27">
        <f t="shared" si="244"/>
        <v>697500</v>
      </c>
      <c r="T772" s="1"/>
    </row>
    <row r="773" spans="1:22" x14ac:dyDescent="0.25">
      <c r="A773" s="20" t="s">
        <v>20</v>
      </c>
      <c r="B773" s="42"/>
      <c r="C773" s="43">
        <v>15000</v>
      </c>
      <c r="D773" s="43">
        <v>0</v>
      </c>
      <c r="E773" s="43">
        <v>100000</v>
      </c>
      <c r="F773" s="43">
        <v>0</v>
      </c>
      <c r="G773" s="15">
        <f t="shared" si="241"/>
        <v>115000</v>
      </c>
      <c r="H773" s="16">
        <v>23</v>
      </c>
      <c r="I773" s="26">
        <v>500000</v>
      </c>
      <c r="J773" s="25">
        <f t="shared" si="242"/>
        <v>4500000</v>
      </c>
      <c r="K773" s="26">
        <f t="shared" ref="K773:K774" si="246">0.015*J772</f>
        <v>75000</v>
      </c>
      <c r="L773" s="26"/>
      <c r="M773" s="25"/>
      <c r="N773" s="25"/>
      <c r="O773" s="25"/>
      <c r="P773" s="25"/>
      <c r="Q773" s="25"/>
      <c r="R773" s="27">
        <f t="shared" si="244"/>
        <v>690000</v>
      </c>
      <c r="T773" s="1"/>
    </row>
    <row r="774" spans="1:22" x14ac:dyDescent="0.25">
      <c r="A774" s="20" t="s">
        <v>21</v>
      </c>
      <c r="B774" s="42"/>
      <c r="C774" s="43">
        <v>15000</v>
      </c>
      <c r="D774" s="43">
        <v>0</v>
      </c>
      <c r="E774" s="43">
        <v>100000</v>
      </c>
      <c r="F774" s="43">
        <v>0</v>
      </c>
      <c r="G774" s="15">
        <f t="shared" si="241"/>
        <v>115000</v>
      </c>
      <c r="H774" s="16">
        <v>24</v>
      </c>
      <c r="I774" s="26">
        <v>500000</v>
      </c>
      <c r="J774" s="25">
        <f t="shared" si="242"/>
        <v>4000000</v>
      </c>
      <c r="K774" s="26">
        <f t="shared" si="246"/>
        <v>67500</v>
      </c>
      <c r="L774" s="26"/>
      <c r="M774" s="25"/>
      <c r="N774" s="25"/>
      <c r="O774" s="25"/>
      <c r="P774" s="25"/>
      <c r="Q774" s="25"/>
      <c r="R774" s="27">
        <f t="shared" si="244"/>
        <v>682500</v>
      </c>
      <c r="T774" s="1"/>
    </row>
    <row r="775" spans="1:22" x14ac:dyDescent="0.25">
      <c r="A775" s="20" t="s">
        <v>22</v>
      </c>
      <c r="B775" s="42"/>
      <c r="C775" s="43">
        <v>15000</v>
      </c>
      <c r="D775" s="43">
        <v>0</v>
      </c>
      <c r="E775" s="43">
        <v>100000</v>
      </c>
      <c r="F775" s="43">
        <v>0</v>
      </c>
      <c r="G775" s="15">
        <f t="shared" si="241"/>
        <v>115000</v>
      </c>
      <c r="H775" s="16">
        <v>25</v>
      </c>
      <c r="I775" s="26">
        <v>500000</v>
      </c>
      <c r="J775" s="25">
        <f t="shared" si="242"/>
        <v>3500000</v>
      </c>
      <c r="K775" s="26">
        <f t="shared" ref="K775" si="247">0.015*J774</f>
        <v>60000</v>
      </c>
      <c r="L775" s="26"/>
      <c r="M775" s="25"/>
      <c r="N775" s="25"/>
      <c r="O775" s="25"/>
      <c r="P775" s="25"/>
      <c r="Q775" s="25"/>
      <c r="R775" s="27">
        <f t="shared" si="244"/>
        <v>675000</v>
      </c>
      <c r="T775" s="1"/>
      <c r="V775" s="1"/>
    </row>
    <row r="776" spans="1:22" x14ac:dyDescent="0.25">
      <c r="A776" s="20" t="s">
        <v>23</v>
      </c>
      <c r="B776" s="42"/>
      <c r="C776" s="43">
        <v>15000</v>
      </c>
      <c r="D776" s="43">
        <v>0</v>
      </c>
      <c r="E776" s="43">
        <v>100000</v>
      </c>
      <c r="F776" s="43">
        <v>0</v>
      </c>
      <c r="G776" s="15">
        <f t="shared" si="241"/>
        <v>115000</v>
      </c>
      <c r="H776" s="16">
        <v>26</v>
      </c>
      <c r="I776" s="26">
        <v>500000</v>
      </c>
      <c r="J776" s="25">
        <f t="shared" si="242"/>
        <v>3000000</v>
      </c>
      <c r="K776" s="26">
        <f t="shared" ref="K776" si="248">0.015*J775</f>
        <v>52500</v>
      </c>
      <c r="L776" s="26"/>
      <c r="M776" s="25"/>
      <c r="N776" s="25"/>
      <c r="O776" s="25"/>
      <c r="P776" s="25"/>
      <c r="Q776" s="25"/>
      <c r="R776" s="27">
        <f t="shared" si="244"/>
        <v>667500</v>
      </c>
      <c r="T776" s="1"/>
      <c r="V776" s="1"/>
    </row>
    <row r="777" spans="1:22" x14ac:dyDescent="0.25">
      <c r="A777" s="20" t="s">
        <v>24</v>
      </c>
      <c r="B777" s="42"/>
      <c r="C777" s="43">
        <v>15000</v>
      </c>
      <c r="D777" s="43">
        <v>0</v>
      </c>
      <c r="E777" s="43">
        <v>100000</v>
      </c>
      <c r="F777" s="43">
        <v>0</v>
      </c>
      <c r="G777" s="15">
        <f t="shared" si="241"/>
        <v>115000</v>
      </c>
      <c r="H777" s="16">
        <v>27</v>
      </c>
      <c r="I777" s="26">
        <v>500000</v>
      </c>
      <c r="J777" s="25">
        <f t="shared" si="242"/>
        <v>2500000</v>
      </c>
      <c r="K777" s="26">
        <f t="shared" ref="K777" si="249">0.015*J776</f>
        <v>45000</v>
      </c>
      <c r="L777" s="26"/>
      <c r="M777" s="25"/>
      <c r="N777" s="25"/>
      <c r="O777" s="25"/>
      <c r="P777" s="25"/>
      <c r="Q777" s="25"/>
      <c r="R777" s="27">
        <f t="shared" si="244"/>
        <v>660000</v>
      </c>
      <c r="T777" s="1"/>
    </row>
    <row r="778" spans="1:22" x14ac:dyDescent="0.25">
      <c r="A778" s="20" t="s">
        <v>25</v>
      </c>
      <c r="B778" s="42"/>
      <c r="C778" s="43">
        <v>15000</v>
      </c>
      <c r="D778" s="43">
        <v>0</v>
      </c>
      <c r="E778" s="43">
        <v>100000</v>
      </c>
      <c r="F778" s="43">
        <v>0</v>
      </c>
      <c r="G778" s="15">
        <f t="shared" si="241"/>
        <v>115000</v>
      </c>
      <c r="H778" s="16">
        <v>28</v>
      </c>
      <c r="I778" s="26">
        <v>500000</v>
      </c>
      <c r="J778" s="25">
        <f t="shared" si="242"/>
        <v>2000000</v>
      </c>
      <c r="K778" s="26">
        <f t="shared" ref="K778" si="250">0.015*J777</f>
        <v>37500</v>
      </c>
      <c r="L778" s="26"/>
      <c r="M778" s="25"/>
      <c r="N778" s="25"/>
      <c r="O778" s="25"/>
      <c r="P778" s="25"/>
      <c r="Q778" s="25"/>
      <c r="R778" s="27">
        <f t="shared" si="244"/>
        <v>652500</v>
      </c>
      <c r="T778" s="1"/>
    </row>
    <row r="779" spans="1:22" x14ac:dyDescent="0.25">
      <c r="A779" s="20" t="s">
        <v>26</v>
      </c>
      <c r="B779" s="42"/>
      <c r="C779" s="43">
        <v>15000</v>
      </c>
      <c r="D779" s="43">
        <v>0</v>
      </c>
      <c r="E779" s="43">
        <v>100000</v>
      </c>
      <c r="F779" s="43">
        <v>0</v>
      </c>
      <c r="G779" s="15">
        <f t="shared" si="241"/>
        <v>115000</v>
      </c>
      <c r="H779" s="16">
        <v>29</v>
      </c>
      <c r="I779" s="26">
        <v>500000</v>
      </c>
      <c r="J779" s="25">
        <f t="shared" si="242"/>
        <v>1500000</v>
      </c>
      <c r="K779" s="26">
        <f t="shared" ref="K779" si="251">0.015*J778</f>
        <v>30000</v>
      </c>
      <c r="L779" s="26"/>
      <c r="M779" s="25"/>
      <c r="N779" s="25"/>
      <c r="O779" s="25"/>
      <c r="P779" s="25"/>
      <c r="Q779" s="25"/>
      <c r="R779" s="27">
        <f t="shared" si="244"/>
        <v>645000</v>
      </c>
    </row>
    <row r="780" spans="1:22" ht="15.75" thickBot="1" x14ac:dyDescent="0.3">
      <c r="A780" s="12" t="s">
        <v>15</v>
      </c>
      <c r="B780" s="44"/>
      <c r="C780" s="43">
        <v>15000</v>
      </c>
      <c r="D780" s="43">
        <v>0</v>
      </c>
      <c r="E780" s="43">
        <v>100000</v>
      </c>
      <c r="F780" s="43">
        <v>0</v>
      </c>
      <c r="G780" s="15">
        <f t="shared" si="241"/>
        <v>115000</v>
      </c>
      <c r="H780" s="16">
        <v>30</v>
      </c>
      <c r="I780" s="26">
        <v>500000</v>
      </c>
      <c r="J780" s="25">
        <f t="shared" si="242"/>
        <v>1000000</v>
      </c>
      <c r="K780" s="26">
        <f t="shared" ref="K780" si="252">0.015*J779</f>
        <v>22500</v>
      </c>
      <c r="L780" s="26"/>
      <c r="M780" s="25"/>
      <c r="N780" s="25"/>
      <c r="O780" s="25"/>
      <c r="P780" s="25"/>
      <c r="Q780" s="25"/>
      <c r="R780" s="27">
        <f t="shared" si="244"/>
        <v>637500</v>
      </c>
      <c r="T780" s="1"/>
    </row>
    <row r="781" spans="1:22" ht="15.75" thickBot="1" x14ac:dyDescent="0.3">
      <c r="A781" s="29" t="s">
        <v>0</v>
      </c>
      <c r="B781" s="30">
        <f t="shared" ref="B781:F781" si="253">SUM(B768:B780)</f>
        <v>25000</v>
      </c>
      <c r="C781" s="30">
        <f t="shared" si="253"/>
        <v>4492000</v>
      </c>
      <c r="D781" s="30">
        <f t="shared" si="253"/>
        <v>1540000</v>
      </c>
      <c r="E781" s="30">
        <f t="shared" si="253"/>
        <v>900000</v>
      </c>
      <c r="F781" s="30">
        <f t="shared" si="253"/>
        <v>0</v>
      </c>
      <c r="G781" s="15">
        <f t="shared" si="241"/>
        <v>6957000</v>
      </c>
      <c r="H781" s="32"/>
      <c r="I781" s="71" t="s">
        <v>27</v>
      </c>
      <c r="J781" s="72"/>
      <c r="K781" s="33">
        <f>SUM(K768:K780)</f>
        <v>765000</v>
      </c>
      <c r="L781" s="34"/>
      <c r="M781" s="71" t="s">
        <v>28</v>
      </c>
      <c r="N781" s="73"/>
      <c r="O781" s="72"/>
      <c r="P781" s="33">
        <f>SUM(P768:P780)</f>
        <v>0</v>
      </c>
      <c r="Q781" s="34"/>
      <c r="R781" s="35"/>
      <c r="T781" s="1"/>
    </row>
    <row r="782" spans="1:22" s="36" customFormat="1" ht="15.75" thickBot="1" x14ac:dyDescent="0.3">
      <c r="C782" s="37"/>
      <c r="D782" s="37"/>
      <c r="F782" s="38"/>
      <c r="G782" s="38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T782" s="40"/>
    </row>
    <row r="783" spans="1:22" ht="15.75" customHeight="1" thickBot="1" x14ac:dyDescent="0.3">
      <c r="A783" s="2">
        <f>A766+1</f>
        <v>47</v>
      </c>
      <c r="B783" s="74" t="str">
        <f>VLOOKUP(A783,NAMA,2)</f>
        <v>SAROPAH</v>
      </c>
      <c r="C783" s="75"/>
      <c r="D783" s="75"/>
      <c r="E783" s="75"/>
      <c r="F783" s="76"/>
      <c r="G783" s="3" t="s">
        <v>0</v>
      </c>
      <c r="H783" s="77" t="s">
        <v>1</v>
      </c>
      <c r="I783" s="78"/>
      <c r="J783" s="78"/>
      <c r="K783" s="78"/>
      <c r="L783" s="79"/>
      <c r="M783" s="80" t="s">
        <v>2</v>
      </c>
      <c r="N783" s="78"/>
      <c r="O783" s="78"/>
      <c r="P783" s="78"/>
      <c r="Q783" s="79"/>
      <c r="R783" s="69" t="s">
        <v>29</v>
      </c>
      <c r="T783" s="1"/>
    </row>
    <row r="784" spans="1:22" x14ac:dyDescent="0.25">
      <c r="A784" s="4" t="s">
        <v>4</v>
      </c>
      <c r="B784" s="5" t="s">
        <v>5</v>
      </c>
      <c r="C784" s="6" t="s">
        <v>6</v>
      </c>
      <c r="D784" s="6" t="s">
        <v>7</v>
      </c>
      <c r="E784" s="5" t="s">
        <v>8</v>
      </c>
      <c r="F784" s="5" t="s">
        <v>9</v>
      </c>
      <c r="G784" s="7" t="s">
        <v>10</v>
      </c>
      <c r="H784" s="8" t="s">
        <v>11</v>
      </c>
      <c r="I784" s="9" t="s">
        <v>0</v>
      </c>
      <c r="J784" s="9" t="s">
        <v>12</v>
      </c>
      <c r="K784" s="9" t="s">
        <v>13</v>
      </c>
      <c r="L784" s="10" t="s">
        <v>14</v>
      </c>
      <c r="M784" s="9" t="s">
        <v>11</v>
      </c>
      <c r="N784" s="9" t="s">
        <v>0</v>
      </c>
      <c r="O784" s="9" t="s">
        <v>12</v>
      </c>
      <c r="P784" s="9" t="s">
        <v>13</v>
      </c>
      <c r="Q784" s="10" t="s">
        <v>14</v>
      </c>
      <c r="R784" s="70"/>
      <c r="S784" s="11"/>
      <c r="T784" s="1"/>
    </row>
    <row r="785" spans="1:22" x14ac:dyDescent="0.25">
      <c r="A785" s="12" t="s">
        <v>15</v>
      </c>
      <c r="B785" s="41">
        <v>25000</v>
      </c>
      <c r="C785" s="41">
        <v>4042000</v>
      </c>
      <c r="D785" s="41">
        <v>3237311</v>
      </c>
      <c r="E785" s="41">
        <v>1600000</v>
      </c>
      <c r="F785" s="41">
        <v>1600000</v>
      </c>
      <c r="G785" s="15">
        <f t="shared" ref="G785" si="254">SUM(B785:F785)</f>
        <v>10504311</v>
      </c>
      <c r="H785" s="16"/>
      <c r="I785" s="17"/>
      <c r="J785" s="18">
        <v>2150000</v>
      </c>
      <c r="K785" s="17"/>
      <c r="L785" s="17"/>
      <c r="M785" s="17"/>
      <c r="N785" s="17"/>
      <c r="O785" s="17"/>
      <c r="P785" s="17"/>
      <c r="Q785" s="17"/>
      <c r="R785" s="19"/>
      <c r="T785" s="1"/>
    </row>
    <row r="786" spans="1:22" x14ac:dyDescent="0.25">
      <c r="A786" s="20" t="s">
        <v>16</v>
      </c>
      <c r="B786" s="42"/>
      <c r="C786" s="43">
        <v>15000</v>
      </c>
      <c r="D786" s="43">
        <v>20000</v>
      </c>
      <c r="E786" s="43">
        <v>200000</v>
      </c>
      <c r="F786" s="43">
        <v>50000</v>
      </c>
      <c r="G786" s="15">
        <f t="shared" ref="G786:G798" si="255">SUM(B786:F786)</f>
        <v>285000</v>
      </c>
      <c r="H786" s="16">
        <v>5</v>
      </c>
      <c r="I786" s="26">
        <v>300000</v>
      </c>
      <c r="J786" s="25">
        <f t="shared" ref="J786:J790" si="256">J785-I786</f>
        <v>1850000</v>
      </c>
      <c r="K786" s="26">
        <f>J785*0.015</f>
        <v>32250</v>
      </c>
      <c r="L786" s="26"/>
      <c r="M786" s="25"/>
      <c r="N786" s="25"/>
      <c r="O786" s="25"/>
      <c r="P786" s="25"/>
      <c r="Q786" s="25"/>
      <c r="R786" s="27">
        <f>K786+I786+G786</f>
        <v>617250</v>
      </c>
      <c r="T786" s="1"/>
    </row>
    <row r="787" spans="1:22" x14ac:dyDescent="0.25">
      <c r="A787" s="20" t="s">
        <v>17</v>
      </c>
      <c r="B787" s="42"/>
      <c r="C787" s="43">
        <v>15000</v>
      </c>
      <c r="D787" s="43">
        <v>20000</v>
      </c>
      <c r="E787" s="43">
        <v>200000</v>
      </c>
      <c r="F787" s="43">
        <v>50000</v>
      </c>
      <c r="G787" s="15">
        <f t="shared" si="255"/>
        <v>285000</v>
      </c>
      <c r="H787" s="16">
        <v>6</v>
      </c>
      <c r="I787" s="26">
        <v>300000</v>
      </c>
      <c r="J787" s="25">
        <f t="shared" si="256"/>
        <v>1550000</v>
      </c>
      <c r="K787" s="26">
        <f>J786*0.015</f>
        <v>27750</v>
      </c>
      <c r="L787" s="26"/>
      <c r="M787" s="25"/>
      <c r="N787" s="25"/>
      <c r="O787" s="25"/>
      <c r="P787" s="25"/>
      <c r="Q787" s="25"/>
      <c r="R787" s="27">
        <f t="shared" ref="R787:R797" si="257">K787+I787+G787</f>
        <v>612750</v>
      </c>
      <c r="T787" s="1"/>
      <c r="V787" s="1"/>
    </row>
    <row r="788" spans="1:22" x14ac:dyDescent="0.25">
      <c r="A788" s="20" t="s">
        <v>18</v>
      </c>
      <c r="B788" s="42"/>
      <c r="C788" s="43">
        <v>15000</v>
      </c>
      <c r="D788" s="43">
        <v>20000</v>
      </c>
      <c r="E788" s="43">
        <v>200000</v>
      </c>
      <c r="F788" s="43">
        <v>50000</v>
      </c>
      <c r="G788" s="15">
        <f t="shared" si="255"/>
        <v>285000</v>
      </c>
      <c r="H788" s="16">
        <v>7</v>
      </c>
      <c r="I788" s="26">
        <v>300000</v>
      </c>
      <c r="J788" s="25">
        <f t="shared" si="256"/>
        <v>1250000</v>
      </c>
      <c r="K788" s="26">
        <f t="shared" ref="K788:K789" si="258">J787*0.015</f>
        <v>23250</v>
      </c>
      <c r="L788" s="26"/>
      <c r="M788" s="25"/>
      <c r="N788" s="25"/>
      <c r="O788" s="25"/>
      <c r="P788" s="25"/>
      <c r="Q788" s="25"/>
      <c r="R788" s="27">
        <f t="shared" si="257"/>
        <v>608250</v>
      </c>
      <c r="T788" s="1"/>
    </row>
    <row r="789" spans="1:22" x14ac:dyDescent="0.25">
      <c r="A789" s="20" t="s">
        <v>19</v>
      </c>
      <c r="B789" s="42"/>
      <c r="C789" s="43">
        <v>15000</v>
      </c>
      <c r="D789" s="43">
        <v>20000</v>
      </c>
      <c r="E789" s="43">
        <v>-2200000</v>
      </c>
      <c r="F789" s="43">
        <v>50000</v>
      </c>
      <c r="G789" s="15">
        <f t="shared" si="255"/>
        <v>-2115000</v>
      </c>
      <c r="H789" s="16">
        <v>8</v>
      </c>
      <c r="I789" s="26">
        <v>300000</v>
      </c>
      <c r="J789" s="25">
        <f t="shared" si="256"/>
        <v>950000</v>
      </c>
      <c r="K789" s="26">
        <f t="shared" si="258"/>
        <v>18750</v>
      </c>
      <c r="L789" s="26"/>
      <c r="M789" s="25"/>
      <c r="N789" s="25"/>
      <c r="O789" s="25"/>
      <c r="P789" s="25"/>
      <c r="Q789" s="25"/>
      <c r="R789" s="27">
        <f t="shared" si="257"/>
        <v>-1796250</v>
      </c>
      <c r="T789" s="1"/>
    </row>
    <row r="790" spans="1:22" x14ac:dyDescent="0.25">
      <c r="A790" s="20" t="s">
        <v>20</v>
      </c>
      <c r="B790" s="42"/>
      <c r="C790" s="43">
        <v>15000</v>
      </c>
      <c r="D790" s="43">
        <v>20000</v>
      </c>
      <c r="E790" s="43">
        <v>200000</v>
      </c>
      <c r="F790" s="43">
        <v>50000</v>
      </c>
      <c r="G790" s="15">
        <f t="shared" si="255"/>
        <v>285000</v>
      </c>
      <c r="H790" s="16">
        <v>9</v>
      </c>
      <c r="I790" s="26">
        <v>300000</v>
      </c>
      <c r="J790" s="25">
        <f t="shared" si="256"/>
        <v>650000</v>
      </c>
      <c r="K790" s="26">
        <f t="shared" ref="K790:K791" si="259">J789*0.015</f>
        <v>14250</v>
      </c>
      <c r="L790" s="26"/>
      <c r="M790" s="25"/>
      <c r="N790" s="25"/>
      <c r="O790" s="25"/>
      <c r="P790" s="25"/>
      <c r="Q790" s="25"/>
      <c r="R790" s="27">
        <f t="shared" si="257"/>
        <v>599250</v>
      </c>
      <c r="T790" s="1"/>
    </row>
    <row r="791" spans="1:22" x14ac:dyDescent="0.25">
      <c r="A791" s="20" t="s">
        <v>21</v>
      </c>
      <c r="B791" s="42"/>
      <c r="C791" s="43">
        <v>15000</v>
      </c>
      <c r="D791" s="43">
        <v>20000</v>
      </c>
      <c r="E791" s="43">
        <v>200000</v>
      </c>
      <c r="F791" s="43">
        <v>-950000</v>
      </c>
      <c r="G791" s="15">
        <f t="shared" si="255"/>
        <v>-715000</v>
      </c>
      <c r="H791" s="16">
        <v>10</v>
      </c>
      <c r="I791" s="26">
        <v>300000</v>
      </c>
      <c r="J791" s="25">
        <f>J790-I791+2000000+3000000</f>
        <v>5350000</v>
      </c>
      <c r="K791" s="26">
        <f t="shared" si="259"/>
        <v>9750</v>
      </c>
      <c r="L791" s="26"/>
      <c r="M791" s="25"/>
      <c r="N791" s="25"/>
      <c r="O791" s="25"/>
      <c r="P791" s="25"/>
      <c r="Q791" s="25"/>
      <c r="R791" s="27">
        <f t="shared" si="257"/>
        <v>-405250</v>
      </c>
      <c r="T791" s="1"/>
    </row>
    <row r="792" spans="1:22" x14ac:dyDescent="0.25">
      <c r="A792" s="20" t="s">
        <v>22</v>
      </c>
      <c r="B792" s="42"/>
      <c r="C792" s="43">
        <v>15000</v>
      </c>
      <c r="D792" s="43">
        <v>20000</v>
      </c>
      <c r="E792" s="43">
        <v>200000</v>
      </c>
      <c r="F792" s="43">
        <v>50000</v>
      </c>
      <c r="G792" s="15">
        <f t="shared" si="255"/>
        <v>285000</v>
      </c>
      <c r="H792" s="16">
        <v>11</v>
      </c>
      <c r="I792" s="26">
        <v>300000</v>
      </c>
      <c r="J792" s="25">
        <f t="shared" ref="J792:J797" si="260">J791-I792</f>
        <v>5050000</v>
      </c>
      <c r="K792" s="26">
        <f t="shared" ref="K792" si="261">J791*0.015</f>
        <v>80250</v>
      </c>
      <c r="L792" s="26"/>
      <c r="M792" s="25"/>
      <c r="N792" s="25"/>
      <c r="O792" s="25"/>
      <c r="P792" s="25"/>
      <c r="Q792" s="25"/>
      <c r="R792" s="27">
        <f t="shared" si="257"/>
        <v>665250</v>
      </c>
      <c r="T792" s="1"/>
      <c r="V792" s="1"/>
    </row>
    <row r="793" spans="1:22" x14ac:dyDescent="0.25">
      <c r="A793" s="20" t="s">
        <v>23</v>
      </c>
      <c r="B793" s="42"/>
      <c r="C793" s="43">
        <v>15000</v>
      </c>
      <c r="D793" s="43">
        <v>20000</v>
      </c>
      <c r="E793" s="43">
        <v>200000</v>
      </c>
      <c r="F793" s="43">
        <v>50000</v>
      </c>
      <c r="G793" s="15">
        <f t="shared" si="255"/>
        <v>285000</v>
      </c>
      <c r="H793" s="16">
        <v>12</v>
      </c>
      <c r="I793" s="26">
        <v>300000</v>
      </c>
      <c r="J793" s="25">
        <f t="shared" si="260"/>
        <v>4750000</v>
      </c>
      <c r="K793" s="26">
        <f t="shared" ref="K793" si="262">J792*0.015</f>
        <v>75750</v>
      </c>
      <c r="L793" s="26"/>
      <c r="M793" s="25"/>
      <c r="N793" s="25"/>
      <c r="O793" s="25"/>
      <c r="P793" s="25"/>
      <c r="Q793" s="25"/>
      <c r="R793" s="27">
        <f t="shared" si="257"/>
        <v>660750</v>
      </c>
      <c r="T793" s="1"/>
      <c r="V793" s="1"/>
    </row>
    <row r="794" spans="1:22" x14ac:dyDescent="0.25">
      <c r="A794" s="20" t="s">
        <v>24</v>
      </c>
      <c r="B794" s="42"/>
      <c r="C794" s="43">
        <v>15000</v>
      </c>
      <c r="D794" s="43">
        <v>20000</v>
      </c>
      <c r="E794" s="43">
        <v>200000</v>
      </c>
      <c r="F794" s="43">
        <v>50000</v>
      </c>
      <c r="G794" s="15">
        <f t="shared" si="255"/>
        <v>285000</v>
      </c>
      <c r="H794" s="16">
        <v>13</v>
      </c>
      <c r="I794" s="26">
        <v>300000</v>
      </c>
      <c r="J794" s="25">
        <f t="shared" si="260"/>
        <v>4450000</v>
      </c>
      <c r="K794" s="26">
        <f t="shared" ref="K794" si="263">J793*0.015</f>
        <v>71250</v>
      </c>
      <c r="L794" s="26"/>
      <c r="M794" s="25"/>
      <c r="N794" s="25"/>
      <c r="O794" s="25"/>
      <c r="P794" s="25"/>
      <c r="Q794" s="25"/>
      <c r="R794" s="27">
        <f t="shared" si="257"/>
        <v>656250</v>
      </c>
      <c r="T794" s="1"/>
    </row>
    <row r="795" spans="1:22" x14ac:dyDescent="0.25">
      <c r="A795" s="20" t="s">
        <v>25</v>
      </c>
      <c r="B795" s="42"/>
      <c r="C795" s="43">
        <v>15000</v>
      </c>
      <c r="D795" s="43">
        <v>20000</v>
      </c>
      <c r="E795" s="43">
        <v>200000</v>
      </c>
      <c r="F795" s="43">
        <v>50000</v>
      </c>
      <c r="G795" s="15">
        <f t="shared" si="255"/>
        <v>285000</v>
      </c>
      <c r="H795" s="16">
        <v>14</v>
      </c>
      <c r="I795" s="26">
        <v>300000</v>
      </c>
      <c r="J795" s="25">
        <f t="shared" si="260"/>
        <v>4150000</v>
      </c>
      <c r="K795" s="26">
        <f t="shared" ref="K795" si="264">J794*0.015</f>
        <v>66750</v>
      </c>
      <c r="L795" s="26"/>
      <c r="M795" s="25"/>
      <c r="N795" s="25"/>
      <c r="O795" s="25"/>
      <c r="P795" s="25"/>
      <c r="Q795" s="25"/>
      <c r="R795" s="27">
        <f t="shared" si="257"/>
        <v>651750</v>
      </c>
      <c r="T795" s="1"/>
    </row>
    <row r="796" spans="1:22" x14ac:dyDescent="0.25">
      <c r="A796" s="20" t="s">
        <v>26</v>
      </c>
      <c r="B796" s="42"/>
      <c r="C796" s="43">
        <v>15000</v>
      </c>
      <c r="D796" s="43">
        <v>20000</v>
      </c>
      <c r="E796" s="43">
        <v>200000</v>
      </c>
      <c r="F796" s="43">
        <v>50000</v>
      </c>
      <c r="G796" s="15">
        <f t="shared" si="255"/>
        <v>285000</v>
      </c>
      <c r="H796" s="16">
        <v>15</v>
      </c>
      <c r="I796" s="26">
        <v>300000</v>
      </c>
      <c r="J796" s="25">
        <f t="shared" si="260"/>
        <v>3850000</v>
      </c>
      <c r="K796" s="26">
        <f t="shared" ref="K796" si="265">J795*0.015</f>
        <v>62250</v>
      </c>
      <c r="L796" s="26"/>
      <c r="M796" s="25"/>
      <c r="N796" s="25"/>
      <c r="O796" s="25"/>
      <c r="P796" s="25"/>
      <c r="Q796" s="25"/>
      <c r="R796" s="27">
        <f t="shared" si="257"/>
        <v>647250</v>
      </c>
    </row>
    <row r="797" spans="1:22" ht="15.75" thickBot="1" x14ac:dyDescent="0.3">
      <c r="A797" s="12" t="s">
        <v>15</v>
      </c>
      <c r="B797" s="44"/>
      <c r="C797" s="43">
        <v>15000</v>
      </c>
      <c r="D797" s="43">
        <v>20000</v>
      </c>
      <c r="E797" s="43">
        <v>200000</v>
      </c>
      <c r="F797" s="43">
        <v>50000</v>
      </c>
      <c r="G797" s="15">
        <f t="shared" si="255"/>
        <v>285000</v>
      </c>
      <c r="H797" s="16">
        <v>16</v>
      </c>
      <c r="I797" s="26">
        <v>300000</v>
      </c>
      <c r="J797" s="25">
        <f t="shared" si="260"/>
        <v>3550000</v>
      </c>
      <c r="K797" s="26">
        <f t="shared" ref="K797" si="266">J796*0.015</f>
        <v>57750</v>
      </c>
      <c r="L797" s="26"/>
      <c r="M797" s="25"/>
      <c r="N797" s="25"/>
      <c r="O797" s="25"/>
      <c r="P797" s="25"/>
      <c r="Q797" s="25"/>
      <c r="R797" s="27">
        <f t="shared" si="257"/>
        <v>642750</v>
      </c>
      <c r="T797" s="1"/>
    </row>
    <row r="798" spans="1:22" ht="15.75" thickBot="1" x14ac:dyDescent="0.3">
      <c r="A798" s="29" t="s">
        <v>0</v>
      </c>
      <c r="B798" s="30">
        <f t="shared" ref="B798:F798" si="267">SUM(B785:B797)</f>
        <v>25000</v>
      </c>
      <c r="C798" s="30">
        <f t="shared" si="267"/>
        <v>4222000</v>
      </c>
      <c r="D798" s="30">
        <f t="shared" si="267"/>
        <v>3477311</v>
      </c>
      <c r="E798" s="30">
        <f t="shared" si="267"/>
        <v>1600000</v>
      </c>
      <c r="F798" s="30">
        <f t="shared" si="267"/>
        <v>1200000</v>
      </c>
      <c r="G798" s="15">
        <f t="shared" si="255"/>
        <v>10524311</v>
      </c>
      <c r="H798" s="32"/>
      <c r="I798" s="71" t="s">
        <v>27</v>
      </c>
      <c r="J798" s="72"/>
      <c r="K798" s="33">
        <f>SUM(K785:K797)</f>
        <v>540000</v>
      </c>
      <c r="L798" s="34"/>
      <c r="M798" s="71" t="s">
        <v>28</v>
      </c>
      <c r="N798" s="73"/>
      <c r="O798" s="72"/>
      <c r="P798" s="33">
        <f>SUM(P785:P797)</f>
        <v>0</v>
      </c>
      <c r="Q798" s="34"/>
      <c r="R798" s="35"/>
      <c r="T798" s="1"/>
    </row>
    <row r="799" spans="1:22" s="36" customFormat="1" ht="15.75" thickBot="1" x14ac:dyDescent="0.3">
      <c r="C799" s="37"/>
      <c r="D799" s="37"/>
      <c r="F799" s="38"/>
      <c r="G799" s="38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T799" s="40"/>
    </row>
    <row r="800" spans="1:22" ht="15.75" customHeight="1" thickBot="1" x14ac:dyDescent="0.3">
      <c r="A800" s="2">
        <f>A783+1</f>
        <v>48</v>
      </c>
      <c r="B800" s="74" t="str">
        <f>VLOOKUP(A800,NAMA,2)</f>
        <v>MASHURI</v>
      </c>
      <c r="C800" s="75"/>
      <c r="D800" s="75"/>
      <c r="E800" s="75"/>
      <c r="F800" s="76"/>
      <c r="G800" s="3" t="s">
        <v>0</v>
      </c>
      <c r="H800" s="77" t="s">
        <v>1</v>
      </c>
      <c r="I800" s="78"/>
      <c r="J800" s="78"/>
      <c r="K800" s="78"/>
      <c r="L800" s="79"/>
      <c r="M800" s="80" t="s">
        <v>2</v>
      </c>
      <c r="N800" s="78"/>
      <c r="O800" s="78"/>
      <c r="P800" s="78"/>
      <c r="Q800" s="79"/>
      <c r="R800" s="69" t="s">
        <v>29</v>
      </c>
      <c r="T800" s="1"/>
    </row>
    <row r="801" spans="1:22" x14ac:dyDescent="0.25">
      <c r="A801" s="4" t="s">
        <v>4</v>
      </c>
      <c r="B801" s="5" t="s">
        <v>5</v>
      </c>
      <c r="C801" s="6" t="s">
        <v>6</v>
      </c>
      <c r="D801" s="6" t="s">
        <v>7</v>
      </c>
      <c r="E801" s="5" t="s">
        <v>8</v>
      </c>
      <c r="F801" s="5" t="s">
        <v>9</v>
      </c>
      <c r="G801" s="7" t="s">
        <v>10</v>
      </c>
      <c r="H801" s="8" t="s">
        <v>11</v>
      </c>
      <c r="I801" s="9" t="s">
        <v>0</v>
      </c>
      <c r="J801" s="9" t="s">
        <v>12</v>
      </c>
      <c r="K801" s="9" t="s">
        <v>13</v>
      </c>
      <c r="L801" s="10" t="s">
        <v>14</v>
      </c>
      <c r="M801" s="9" t="s">
        <v>11</v>
      </c>
      <c r="N801" s="9" t="s">
        <v>0</v>
      </c>
      <c r="O801" s="9" t="s">
        <v>12</v>
      </c>
      <c r="P801" s="9" t="s">
        <v>13</v>
      </c>
      <c r="Q801" s="10" t="s">
        <v>14</v>
      </c>
      <c r="R801" s="70"/>
      <c r="S801" s="11"/>
      <c r="T801" s="1"/>
    </row>
    <row r="802" spans="1:22" x14ac:dyDescent="0.25">
      <c r="A802" s="12" t="s">
        <v>15</v>
      </c>
      <c r="B802" s="41">
        <v>25000</v>
      </c>
      <c r="C802" s="41">
        <v>2555000</v>
      </c>
      <c r="D802" s="41">
        <v>1078444</v>
      </c>
      <c r="E802" s="41">
        <v>400000</v>
      </c>
      <c r="F802" s="41">
        <v>395000</v>
      </c>
      <c r="G802" s="15">
        <f t="shared" ref="G802" si="268">SUM(B802:F802)</f>
        <v>4453444</v>
      </c>
      <c r="H802" s="16"/>
      <c r="I802" s="17"/>
      <c r="J802" s="18"/>
      <c r="K802" s="17"/>
      <c r="L802" s="17"/>
      <c r="M802" s="17"/>
      <c r="N802" s="17"/>
      <c r="O802" s="17"/>
      <c r="P802" s="17"/>
      <c r="Q802" s="17"/>
      <c r="R802" s="19"/>
      <c r="T802" s="1"/>
    </row>
    <row r="803" spans="1:22" x14ac:dyDescent="0.25">
      <c r="A803" s="20" t="s">
        <v>16</v>
      </c>
      <c r="B803" s="42"/>
      <c r="C803" s="43">
        <v>-2555000</v>
      </c>
      <c r="D803" s="43">
        <v>5000</v>
      </c>
      <c r="E803" s="43">
        <v>-360000</v>
      </c>
      <c r="F803" s="43">
        <v>10000</v>
      </c>
      <c r="G803" s="15">
        <f t="shared" ref="G803:G815" si="269">SUM(B803:F803)</f>
        <v>-2900000</v>
      </c>
      <c r="H803" s="16"/>
      <c r="I803" s="26"/>
      <c r="J803" s="25"/>
      <c r="K803" s="26"/>
      <c r="L803" s="26"/>
      <c r="M803" s="25"/>
      <c r="N803" s="25"/>
      <c r="O803" s="25"/>
      <c r="P803" s="25"/>
      <c r="Q803" s="25"/>
      <c r="R803" s="27">
        <f>K803+I803+G803</f>
        <v>-2900000</v>
      </c>
      <c r="T803" s="1"/>
    </row>
    <row r="804" spans="1:22" x14ac:dyDescent="0.25">
      <c r="A804" s="20" t="s">
        <v>17</v>
      </c>
      <c r="B804" s="42"/>
      <c r="C804" s="43">
        <v>15000</v>
      </c>
      <c r="D804" s="43">
        <v>5000</v>
      </c>
      <c r="E804" s="43">
        <v>50000</v>
      </c>
      <c r="F804" s="43">
        <v>10000</v>
      </c>
      <c r="G804" s="15">
        <f t="shared" si="269"/>
        <v>80000</v>
      </c>
      <c r="H804" s="16"/>
      <c r="I804" s="26"/>
      <c r="J804" s="25"/>
      <c r="K804" s="26"/>
      <c r="L804" s="26"/>
      <c r="M804" s="25"/>
      <c r="N804" s="25"/>
      <c r="O804" s="25"/>
      <c r="P804" s="25"/>
      <c r="Q804" s="25"/>
      <c r="R804" s="27">
        <f t="shared" ref="R804:R814" si="270">K804+I804+G804</f>
        <v>80000</v>
      </c>
      <c r="T804" s="1"/>
      <c r="V804" s="1"/>
    </row>
    <row r="805" spans="1:22" x14ac:dyDescent="0.25">
      <c r="A805" s="20" t="s">
        <v>18</v>
      </c>
      <c r="B805" s="42"/>
      <c r="C805" s="43">
        <v>15000</v>
      </c>
      <c r="D805" s="43">
        <v>5000</v>
      </c>
      <c r="E805" s="43">
        <v>50000</v>
      </c>
      <c r="F805" s="43">
        <v>10000</v>
      </c>
      <c r="G805" s="15">
        <f t="shared" si="269"/>
        <v>80000</v>
      </c>
      <c r="H805" s="16"/>
      <c r="I805" s="26"/>
      <c r="J805" s="25"/>
      <c r="K805" s="26"/>
      <c r="L805" s="26"/>
      <c r="M805" s="25"/>
      <c r="N805" s="25"/>
      <c r="O805" s="25"/>
      <c r="P805" s="25"/>
      <c r="Q805" s="25"/>
      <c r="R805" s="27">
        <f t="shared" si="270"/>
        <v>80000</v>
      </c>
      <c r="T805" s="1"/>
    </row>
    <row r="806" spans="1:22" x14ac:dyDescent="0.25">
      <c r="A806" s="20" t="s">
        <v>19</v>
      </c>
      <c r="B806" s="42"/>
      <c r="C806" s="43">
        <v>15000</v>
      </c>
      <c r="D806" s="43">
        <v>5000</v>
      </c>
      <c r="E806" s="43">
        <v>50000</v>
      </c>
      <c r="F806" s="43">
        <v>10000</v>
      </c>
      <c r="G806" s="15">
        <f t="shared" si="269"/>
        <v>80000</v>
      </c>
      <c r="H806" s="16"/>
      <c r="I806" s="26">
        <v>3000000</v>
      </c>
      <c r="J806" s="25">
        <v>3000000</v>
      </c>
      <c r="K806" s="26"/>
      <c r="L806" s="26"/>
      <c r="M806" s="25"/>
      <c r="N806" s="25"/>
      <c r="O806" s="25"/>
      <c r="P806" s="25"/>
      <c r="Q806" s="25"/>
      <c r="R806" s="27">
        <f t="shared" si="270"/>
        <v>3080000</v>
      </c>
      <c r="T806" s="1"/>
    </row>
    <row r="807" spans="1:22" x14ac:dyDescent="0.25">
      <c r="A807" s="20" t="s">
        <v>20</v>
      </c>
      <c r="B807" s="42"/>
      <c r="C807" s="43">
        <v>15000</v>
      </c>
      <c r="D807" s="43">
        <v>5000</v>
      </c>
      <c r="E807" s="43">
        <v>50000</v>
      </c>
      <c r="F807" s="43">
        <v>10000</v>
      </c>
      <c r="G807" s="15">
        <f t="shared" si="269"/>
        <v>80000</v>
      </c>
      <c r="H807" s="16">
        <v>1</v>
      </c>
      <c r="I807" s="26">
        <v>300000</v>
      </c>
      <c r="J807" s="25">
        <f t="shared" ref="J807:J814" si="271">J806-I807</f>
        <v>2700000</v>
      </c>
      <c r="K807" s="26">
        <f t="shared" ref="K807:K814" si="272">0.015*J806</f>
        <v>45000</v>
      </c>
      <c r="L807" s="26"/>
      <c r="M807" s="25"/>
      <c r="N807" s="25"/>
      <c r="O807" s="25"/>
      <c r="P807" s="25"/>
      <c r="Q807" s="25"/>
      <c r="R807" s="27">
        <f t="shared" si="270"/>
        <v>425000</v>
      </c>
      <c r="T807" s="1"/>
    </row>
    <row r="808" spans="1:22" x14ac:dyDescent="0.25">
      <c r="A808" s="20" t="s">
        <v>21</v>
      </c>
      <c r="B808" s="42"/>
      <c r="C808" s="43">
        <v>15000</v>
      </c>
      <c r="D808" s="43">
        <v>5000</v>
      </c>
      <c r="E808" s="43">
        <v>50000</v>
      </c>
      <c r="F808" s="43">
        <v>10000</v>
      </c>
      <c r="G808" s="15">
        <f t="shared" si="269"/>
        <v>80000</v>
      </c>
      <c r="H808" s="16">
        <v>2</v>
      </c>
      <c r="I808" s="26">
        <v>300000</v>
      </c>
      <c r="J808" s="25">
        <f t="shared" si="271"/>
        <v>2400000</v>
      </c>
      <c r="K808" s="26">
        <f t="shared" si="272"/>
        <v>40500</v>
      </c>
      <c r="L808" s="26"/>
      <c r="M808" s="25"/>
      <c r="N808" s="25"/>
      <c r="O808" s="25"/>
      <c r="P808" s="25"/>
      <c r="Q808" s="25"/>
      <c r="R808" s="27">
        <f t="shared" si="270"/>
        <v>420500</v>
      </c>
      <c r="T808" s="1"/>
    </row>
    <row r="809" spans="1:22" x14ac:dyDescent="0.25">
      <c r="A809" s="20" t="s">
        <v>22</v>
      </c>
      <c r="B809" s="42"/>
      <c r="C809" s="43">
        <v>15000</v>
      </c>
      <c r="D809" s="43">
        <v>5000</v>
      </c>
      <c r="E809" s="43">
        <v>50000</v>
      </c>
      <c r="F809" s="43">
        <v>10000</v>
      </c>
      <c r="G809" s="15">
        <f t="shared" si="269"/>
        <v>80000</v>
      </c>
      <c r="H809" s="16">
        <v>3</v>
      </c>
      <c r="I809" s="26">
        <v>300000</v>
      </c>
      <c r="J809" s="25">
        <f t="shared" si="271"/>
        <v>2100000</v>
      </c>
      <c r="K809" s="26">
        <f t="shared" si="272"/>
        <v>36000</v>
      </c>
      <c r="L809" s="26"/>
      <c r="M809" s="25"/>
      <c r="N809" s="25"/>
      <c r="O809" s="25"/>
      <c r="P809" s="25"/>
      <c r="Q809" s="25"/>
      <c r="R809" s="27">
        <f t="shared" si="270"/>
        <v>416000</v>
      </c>
      <c r="T809" s="1"/>
      <c r="V809" s="1"/>
    </row>
    <row r="810" spans="1:22" x14ac:dyDescent="0.25">
      <c r="A810" s="20" t="s">
        <v>23</v>
      </c>
      <c r="B810" s="42"/>
      <c r="C810" s="43">
        <v>15000</v>
      </c>
      <c r="D810" s="43">
        <v>5000</v>
      </c>
      <c r="E810" s="43">
        <v>50000</v>
      </c>
      <c r="F810" s="43">
        <v>10000</v>
      </c>
      <c r="G810" s="15">
        <f t="shared" si="269"/>
        <v>80000</v>
      </c>
      <c r="H810" s="16">
        <v>4</v>
      </c>
      <c r="I810" s="26">
        <v>300000</v>
      </c>
      <c r="J810" s="25">
        <f t="shared" si="271"/>
        <v>1800000</v>
      </c>
      <c r="K810" s="26">
        <f t="shared" si="272"/>
        <v>31500</v>
      </c>
      <c r="L810" s="26"/>
      <c r="M810" s="25"/>
      <c r="N810" s="25"/>
      <c r="O810" s="25"/>
      <c r="P810" s="25"/>
      <c r="Q810" s="25"/>
      <c r="R810" s="27">
        <f t="shared" si="270"/>
        <v>411500</v>
      </c>
      <c r="T810" s="1"/>
      <c r="V810" s="1"/>
    </row>
    <row r="811" spans="1:22" x14ac:dyDescent="0.25">
      <c r="A811" s="20" t="s">
        <v>24</v>
      </c>
      <c r="B811" s="42"/>
      <c r="C811" s="43">
        <v>15000</v>
      </c>
      <c r="D811" s="43">
        <v>5000</v>
      </c>
      <c r="E811" s="43">
        <v>50000</v>
      </c>
      <c r="F811" s="43">
        <v>10000</v>
      </c>
      <c r="G811" s="15">
        <f t="shared" si="269"/>
        <v>80000</v>
      </c>
      <c r="H811" s="16">
        <v>5</v>
      </c>
      <c r="I811" s="26">
        <v>300000</v>
      </c>
      <c r="J811" s="25">
        <f t="shared" si="271"/>
        <v>1500000</v>
      </c>
      <c r="K811" s="26">
        <f t="shared" si="272"/>
        <v>27000</v>
      </c>
      <c r="L811" s="26"/>
      <c r="M811" s="25"/>
      <c r="N811" s="25"/>
      <c r="O811" s="25"/>
      <c r="P811" s="25"/>
      <c r="Q811" s="25"/>
      <c r="R811" s="27">
        <f t="shared" si="270"/>
        <v>407000</v>
      </c>
      <c r="T811" s="1"/>
    </row>
    <row r="812" spans="1:22" x14ac:dyDescent="0.25">
      <c r="A812" s="20" t="s">
        <v>25</v>
      </c>
      <c r="B812" s="42"/>
      <c r="C812" s="43">
        <v>15000</v>
      </c>
      <c r="D812" s="43">
        <v>5000</v>
      </c>
      <c r="E812" s="43">
        <v>50000</v>
      </c>
      <c r="F812" s="43">
        <v>10000</v>
      </c>
      <c r="G812" s="15">
        <f t="shared" si="269"/>
        <v>80000</v>
      </c>
      <c r="H812" s="16">
        <v>6</v>
      </c>
      <c r="I812" s="26">
        <v>300000</v>
      </c>
      <c r="J812" s="25">
        <f t="shared" si="271"/>
        <v>1200000</v>
      </c>
      <c r="K812" s="26">
        <f t="shared" si="272"/>
        <v>22500</v>
      </c>
      <c r="L812" s="26"/>
      <c r="M812" s="25"/>
      <c r="N812" s="25"/>
      <c r="O812" s="25"/>
      <c r="P812" s="25"/>
      <c r="Q812" s="25"/>
      <c r="R812" s="27">
        <f t="shared" si="270"/>
        <v>402500</v>
      </c>
      <c r="T812" s="1"/>
    </row>
    <row r="813" spans="1:22" x14ac:dyDescent="0.25">
      <c r="A813" s="20" t="s">
        <v>26</v>
      </c>
      <c r="B813" s="42"/>
      <c r="C813" s="43">
        <v>15000</v>
      </c>
      <c r="D813" s="43">
        <v>5000</v>
      </c>
      <c r="E813" s="43">
        <v>50000</v>
      </c>
      <c r="F813" s="43">
        <v>10000</v>
      </c>
      <c r="G813" s="15">
        <f t="shared" si="269"/>
        <v>80000</v>
      </c>
      <c r="H813" s="16">
        <v>7</v>
      </c>
      <c r="I813" s="26">
        <v>300000</v>
      </c>
      <c r="J813" s="25">
        <f t="shared" si="271"/>
        <v>900000</v>
      </c>
      <c r="K813" s="26">
        <f t="shared" si="272"/>
        <v>18000</v>
      </c>
      <c r="L813" s="26"/>
      <c r="M813" s="25"/>
      <c r="N813" s="25"/>
      <c r="O813" s="25"/>
      <c r="P813" s="25"/>
      <c r="Q813" s="25"/>
      <c r="R813" s="27">
        <f t="shared" si="270"/>
        <v>398000</v>
      </c>
    </row>
    <row r="814" spans="1:22" ht="15.75" thickBot="1" x14ac:dyDescent="0.3">
      <c r="A814" s="12" t="s">
        <v>15</v>
      </c>
      <c r="B814" s="44"/>
      <c r="C814" s="43">
        <v>15000</v>
      </c>
      <c r="D814" s="43">
        <v>5000</v>
      </c>
      <c r="E814" s="43">
        <v>50000</v>
      </c>
      <c r="F814" s="43">
        <v>10000</v>
      </c>
      <c r="G814" s="15">
        <f t="shared" si="269"/>
        <v>80000</v>
      </c>
      <c r="H814" s="16">
        <v>8</v>
      </c>
      <c r="I814" s="26">
        <v>300000</v>
      </c>
      <c r="J814" s="25">
        <f t="shared" si="271"/>
        <v>600000</v>
      </c>
      <c r="K814" s="26">
        <f t="shared" si="272"/>
        <v>13500</v>
      </c>
      <c r="L814" s="26"/>
      <c r="M814" s="25"/>
      <c r="N814" s="25"/>
      <c r="O814" s="25"/>
      <c r="P814" s="25"/>
      <c r="Q814" s="25"/>
      <c r="R814" s="27">
        <f t="shared" si="270"/>
        <v>393500</v>
      </c>
      <c r="T814" s="1"/>
    </row>
    <row r="815" spans="1:22" ht="15.75" thickBot="1" x14ac:dyDescent="0.3">
      <c r="A815" s="29" t="s">
        <v>0</v>
      </c>
      <c r="B815" s="30">
        <f t="shared" ref="B815:F815" si="273">SUM(B802:B814)</f>
        <v>25000</v>
      </c>
      <c r="C815" s="30">
        <f t="shared" si="273"/>
        <v>165000</v>
      </c>
      <c r="D815" s="30">
        <f t="shared" si="273"/>
        <v>1138444</v>
      </c>
      <c r="E815" s="30">
        <f t="shared" si="273"/>
        <v>590000</v>
      </c>
      <c r="F815" s="30">
        <f t="shared" si="273"/>
        <v>515000</v>
      </c>
      <c r="G815" s="15">
        <f t="shared" si="269"/>
        <v>2433444</v>
      </c>
      <c r="H815" s="32"/>
      <c r="I815" s="71" t="s">
        <v>27</v>
      </c>
      <c r="J815" s="72"/>
      <c r="K815" s="33">
        <f>SUM(K802:K814)</f>
        <v>234000</v>
      </c>
      <c r="L815" s="34"/>
      <c r="M815" s="71" t="s">
        <v>28</v>
      </c>
      <c r="N815" s="73"/>
      <c r="O815" s="72"/>
      <c r="P815" s="33">
        <f>SUM(P802:P814)</f>
        <v>0</v>
      </c>
      <c r="Q815" s="34"/>
      <c r="R815" s="35"/>
      <c r="T815" s="1"/>
    </row>
    <row r="816" spans="1:22" s="36" customFormat="1" ht="15.75" thickBot="1" x14ac:dyDescent="0.3">
      <c r="C816" s="37"/>
      <c r="D816" s="37"/>
      <c r="F816" s="38"/>
      <c r="G816" s="38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T816" s="40"/>
    </row>
    <row r="817" spans="1:22" ht="15.75" customHeight="1" thickBot="1" x14ac:dyDescent="0.3">
      <c r="A817" s="2">
        <f>A800+1</f>
        <v>49</v>
      </c>
      <c r="B817" s="74" t="str">
        <f>VLOOKUP(A817,NAMA,2)</f>
        <v>JUNAIDAH</v>
      </c>
      <c r="C817" s="75"/>
      <c r="D817" s="75"/>
      <c r="E817" s="75"/>
      <c r="F817" s="76"/>
      <c r="G817" s="3" t="s">
        <v>0</v>
      </c>
      <c r="H817" s="77" t="s">
        <v>1</v>
      </c>
      <c r="I817" s="78"/>
      <c r="J817" s="78"/>
      <c r="K817" s="78"/>
      <c r="L817" s="79"/>
      <c r="M817" s="80" t="s">
        <v>2</v>
      </c>
      <c r="N817" s="78"/>
      <c r="O817" s="78"/>
      <c r="P817" s="78"/>
      <c r="Q817" s="79"/>
      <c r="R817" s="69" t="s">
        <v>29</v>
      </c>
      <c r="T817" s="1"/>
    </row>
    <row r="818" spans="1:22" x14ac:dyDescent="0.25">
      <c r="A818" s="4" t="s">
        <v>4</v>
      </c>
      <c r="B818" s="5" t="s">
        <v>5</v>
      </c>
      <c r="C818" s="6" t="s">
        <v>6</v>
      </c>
      <c r="D818" s="6" t="s">
        <v>7</v>
      </c>
      <c r="E818" s="5" t="s">
        <v>8</v>
      </c>
      <c r="F818" s="5" t="s">
        <v>9</v>
      </c>
      <c r="G818" s="7" t="s">
        <v>10</v>
      </c>
      <c r="H818" s="8" t="s">
        <v>11</v>
      </c>
      <c r="I818" s="9" t="s">
        <v>0</v>
      </c>
      <c r="J818" s="9" t="s">
        <v>12</v>
      </c>
      <c r="K818" s="9" t="s">
        <v>13</v>
      </c>
      <c r="L818" s="10" t="s">
        <v>14</v>
      </c>
      <c r="M818" s="9" t="s">
        <v>11</v>
      </c>
      <c r="N818" s="9" t="s">
        <v>0</v>
      </c>
      <c r="O818" s="9" t="s">
        <v>12</v>
      </c>
      <c r="P818" s="9" t="s">
        <v>13</v>
      </c>
      <c r="Q818" s="10" t="s">
        <v>14</v>
      </c>
      <c r="R818" s="70"/>
      <c r="S818" s="11"/>
      <c r="T818" s="1"/>
    </row>
    <row r="819" spans="1:22" x14ac:dyDescent="0.25">
      <c r="A819" s="12" t="s">
        <v>15</v>
      </c>
      <c r="B819" s="41">
        <v>25000</v>
      </c>
      <c r="C819" s="41">
        <v>2935000</v>
      </c>
      <c r="D819" s="41">
        <v>1098839</v>
      </c>
      <c r="E819" s="41">
        <v>1840000</v>
      </c>
      <c r="F819" s="41">
        <v>4800000</v>
      </c>
      <c r="G819" s="15">
        <f t="shared" ref="G819" si="274">SUM(B819:F819)</f>
        <v>10698839</v>
      </c>
      <c r="H819" s="16"/>
      <c r="I819" s="17"/>
      <c r="J819" s="18">
        <v>800000</v>
      </c>
      <c r="K819" s="17"/>
      <c r="L819" s="17"/>
      <c r="M819" s="17"/>
      <c r="N819" s="17"/>
      <c r="O819" s="17"/>
      <c r="P819" s="17"/>
      <c r="Q819" s="17"/>
      <c r="R819" s="19"/>
      <c r="T819" s="1"/>
    </row>
    <row r="820" spans="1:22" x14ac:dyDescent="0.25">
      <c r="A820" s="20" t="s">
        <v>16</v>
      </c>
      <c r="B820" s="42"/>
      <c r="C820" s="43">
        <v>15000</v>
      </c>
      <c r="D820" s="43">
        <v>5000</v>
      </c>
      <c r="E820" s="43">
        <v>230000</v>
      </c>
      <c r="F820" s="43">
        <v>200000</v>
      </c>
      <c r="G820" s="15">
        <f t="shared" ref="G820:G832" si="275">SUM(B820:F820)</f>
        <v>450000</v>
      </c>
      <c r="H820" s="16">
        <v>5</v>
      </c>
      <c r="I820" s="26">
        <v>50000</v>
      </c>
      <c r="J820" s="25">
        <f t="shared" ref="J820:J824" si="276">J819-I820</f>
        <v>750000</v>
      </c>
      <c r="K820" s="26">
        <f t="shared" ref="K820:K821" si="277">0.015*J819</f>
        <v>12000</v>
      </c>
      <c r="L820" s="26"/>
      <c r="M820" s="25"/>
      <c r="N820" s="25"/>
      <c r="O820" s="25"/>
      <c r="P820" s="25"/>
      <c r="Q820" s="25"/>
      <c r="R820" s="27">
        <f>K820+I820+G820</f>
        <v>512000</v>
      </c>
      <c r="T820" s="1"/>
    </row>
    <row r="821" spans="1:22" x14ac:dyDescent="0.25">
      <c r="A821" s="20" t="s">
        <v>17</v>
      </c>
      <c r="B821" s="42"/>
      <c r="C821" s="43">
        <v>15000</v>
      </c>
      <c r="D821" s="43">
        <v>5000</v>
      </c>
      <c r="E821" s="43">
        <v>230000</v>
      </c>
      <c r="F821" s="43">
        <v>200000</v>
      </c>
      <c r="G821" s="15">
        <f t="shared" si="275"/>
        <v>450000</v>
      </c>
      <c r="H821" s="16">
        <v>6</v>
      </c>
      <c r="I821" s="26">
        <v>50000</v>
      </c>
      <c r="J821" s="25">
        <f t="shared" si="276"/>
        <v>700000</v>
      </c>
      <c r="K821" s="26">
        <f t="shared" si="277"/>
        <v>11250</v>
      </c>
      <c r="L821" s="26"/>
      <c r="M821" s="25"/>
      <c r="N821" s="25"/>
      <c r="O821" s="25"/>
      <c r="P821" s="25"/>
      <c r="Q821" s="25"/>
      <c r="R821" s="27">
        <f t="shared" ref="R821:R831" si="278">K821+I821+G821</f>
        <v>511250</v>
      </c>
      <c r="T821" s="1"/>
      <c r="V821" s="1"/>
    </row>
    <row r="822" spans="1:22" x14ac:dyDescent="0.25">
      <c r="A822" s="20" t="s">
        <v>18</v>
      </c>
      <c r="B822" s="42"/>
      <c r="C822" s="43">
        <v>15000</v>
      </c>
      <c r="D822" s="43">
        <v>5000</v>
      </c>
      <c r="E822" s="43">
        <v>230000</v>
      </c>
      <c r="F822" s="43">
        <v>200000</v>
      </c>
      <c r="G822" s="15">
        <f t="shared" si="275"/>
        <v>450000</v>
      </c>
      <c r="H822" s="16">
        <v>7</v>
      </c>
      <c r="I822" s="26">
        <v>50000</v>
      </c>
      <c r="J822" s="25">
        <f t="shared" si="276"/>
        <v>650000</v>
      </c>
      <c r="K822" s="26">
        <f t="shared" ref="K822:K823" si="279">0.015*J821</f>
        <v>10500</v>
      </c>
      <c r="L822" s="26"/>
      <c r="M822" s="25"/>
      <c r="N822" s="25"/>
      <c r="O822" s="25"/>
      <c r="P822" s="25"/>
      <c r="Q822" s="25"/>
      <c r="R822" s="27">
        <f t="shared" si="278"/>
        <v>510500</v>
      </c>
      <c r="T822" s="1"/>
    </row>
    <row r="823" spans="1:22" x14ac:dyDescent="0.25">
      <c r="A823" s="20" t="s">
        <v>19</v>
      </c>
      <c r="B823" s="42"/>
      <c r="C823" s="43">
        <v>15000</v>
      </c>
      <c r="D823" s="43">
        <v>5000</v>
      </c>
      <c r="E823" s="43">
        <v>-2530000</v>
      </c>
      <c r="F823" s="43">
        <v>200000</v>
      </c>
      <c r="G823" s="15">
        <f t="shared" si="275"/>
        <v>-2310000</v>
      </c>
      <c r="H823" s="16">
        <v>8</v>
      </c>
      <c r="I823" s="26">
        <v>50000</v>
      </c>
      <c r="J823" s="25">
        <f t="shared" si="276"/>
        <v>600000</v>
      </c>
      <c r="K823" s="26">
        <f t="shared" si="279"/>
        <v>9750</v>
      </c>
      <c r="L823" s="26"/>
      <c r="M823" s="25"/>
      <c r="N823" s="25"/>
      <c r="O823" s="25"/>
      <c r="P823" s="25"/>
      <c r="Q823" s="25"/>
      <c r="R823" s="27">
        <f t="shared" si="278"/>
        <v>-2250250</v>
      </c>
      <c r="T823" s="1"/>
    </row>
    <row r="824" spans="1:22" x14ac:dyDescent="0.25">
      <c r="A824" s="20" t="s">
        <v>20</v>
      </c>
      <c r="B824" s="42"/>
      <c r="C824" s="43">
        <v>15000</v>
      </c>
      <c r="D824" s="43">
        <v>5000</v>
      </c>
      <c r="E824" s="43">
        <v>230000</v>
      </c>
      <c r="F824" s="43">
        <v>-4800000</v>
      </c>
      <c r="G824" s="15">
        <f t="shared" si="275"/>
        <v>-4550000</v>
      </c>
      <c r="H824" s="16">
        <v>9</v>
      </c>
      <c r="I824" s="26">
        <v>50000</v>
      </c>
      <c r="J824" s="25">
        <f t="shared" si="276"/>
        <v>550000</v>
      </c>
      <c r="K824" s="26">
        <f t="shared" ref="K824:K825" si="280">0.015*J823</f>
        <v>9000</v>
      </c>
      <c r="L824" s="26"/>
      <c r="M824" s="25"/>
      <c r="N824" s="25"/>
      <c r="O824" s="25"/>
      <c r="P824" s="25"/>
      <c r="Q824" s="25"/>
      <c r="R824" s="27">
        <f t="shared" si="278"/>
        <v>-4491000</v>
      </c>
      <c r="T824" s="1"/>
    </row>
    <row r="825" spans="1:22" x14ac:dyDescent="0.25">
      <c r="A825" s="20" t="s">
        <v>21</v>
      </c>
      <c r="B825" s="42"/>
      <c r="C825" s="43">
        <v>15000</v>
      </c>
      <c r="D825" s="43">
        <v>5000</v>
      </c>
      <c r="E825" s="43">
        <v>230000</v>
      </c>
      <c r="F825" s="43">
        <v>200000</v>
      </c>
      <c r="G825" s="15">
        <f t="shared" si="275"/>
        <v>450000</v>
      </c>
      <c r="H825" s="16">
        <v>10</v>
      </c>
      <c r="I825" s="26">
        <v>50000</v>
      </c>
      <c r="J825" s="25">
        <f>J824-I825+500000</f>
        <v>1000000</v>
      </c>
      <c r="K825" s="26">
        <f t="shared" si="280"/>
        <v>8250</v>
      </c>
      <c r="L825" s="26"/>
      <c r="M825" s="25"/>
      <c r="N825" s="25"/>
      <c r="O825" s="25"/>
      <c r="P825" s="25"/>
      <c r="Q825" s="25"/>
      <c r="R825" s="27">
        <f t="shared" si="278"/>
        <v>508250</v>
      </c>
      <c r="T825" s="1"/>
    </row>
    <row r="826" spans="1:22" x14ac:dyDescent="0.25">
      <c r="A826" s="20" t="s">
        <v>22</v>
      </c>
      <c r="B826" s="42"/>
      <c r="C826" s="43">
        <v>15000</v>
      </c>
      <c r="D826" s="43">
        <v>5000</v>
      </c>
      <c r="E826" s="43">
        <v>230000</v>
      </c>
      <c r="F826" s="43">
        <v>200000</v>
      </c>
      <c r="G826" s="15">
        <f t="shared" si="275"/>
        <v>450000</v>
      </c>
      <c r="H826" s="16">
        <v>11</v>
      </c>
      <c r="I826" s="26">
        <v>50000</v>
      </c>
      <c r="J826" s="25">
        <f t="shared" ref="J826:J831" si="281">J825-I826</f>
        <v>950000</v>
      </c>
      <c r="K826" s="26">
        <f t="shared" ref="K826" si="282">0.015*J825</f>
        <v>15000</v>
      </c>
      <c r="L826" s="26"/>
      <c r="M826" s="25"/>
      <c r="N826" s="25"/>
      <c r="O826" s="25"/>
      <c r="P826" s="25"/>
      <c r="Q826" s="25"/>
      <c r="R826" s="27">
        <f t="shared" si="278"/>
        <v>515000</v>
      </c>
      <c r="T826" s="1"/>
      <c r="V826" s="1"/>
    </row>
    <row r="827" spans="1:22" x14ac:dyDescent="0.25">
      <c r="A827" s="20" t="s">
        <v>23</v>
      </c>
      <c r="B827" s="42"/>
      <c r="C827" s="43">
        <v>15000</v>
      </c>
      <c r="D827" s="43">
        <v>5000</v>
      </c>
      <c r="E827" s="43">
        <v>230000</v>
      </c>
      <c r="F827" s="43">
        <v>200000</v>
      </c>
      <c r="G827" s="15">
        <f t="shared" si="275"/>
        <v>450000</v>
      </c>
      <c r="H827" s="16">
        <v>12</v>
      </c>
      <c r="I827" s="26">
        <v>50000</v>
      </c>
      <c r="J827" s="25">
        <f t="shared" si="281"/>
        <v>900000</v>
      </c>
      <c r="K827" s="26">
        <f t="shared" ref="K827" si="283">0.015*J826</f>
        <v>14250</v>
      </c>
      <c r="L827" s="26"/>
      <c r="M827" s="25"/>
      <c r="N827" s="25"/>
      <c r="O827" s="25"/>
      <c r="P827" s="25"/>
      <c r="Q827" s="25"/>
      <c r="R827" s="27">
        <f t="shared" si="278"/>
        <v>514250</v>
      </c>
      <c r="T827" s="1"/>
      <c r="V827" s="1"/>
    </row>
    <row r="828" spans="1:22" x14ac:dyDescent="0.25">
      <c r="A828" s="20" t="s">
        <v>24</v>
      </c>
      <c r="B828" s="42"/>
      <c r="C828" s="43">
        <v>15000</v>
      </c>
      <c r="D828" s="43">
        <v>5000</v>
      </c>
      <c r="E828" s="43">
        <v>230000</v>
      </c>
      <c r="F828" s="43">
        <v>200000</v>
      </c>
      <c r="G828" s="15">
        <f t="shared" si="275"/>
        <v>450000</v>
      </c>
      <c r="H828" s="16">
        <v>13</v>
      </c>
      <c r="I828" s="26">
        <v>50000</v>
      </c>
      <c r="J828" s="25">
        <f t="shared" si="281"/>
        <v>850000</v>
      </c>
      <c r="K828" s="26">
        <f t="shared" ref="K828" si="284">0.015*J827</f>
        <v>13500</v>
      </c>
      <c r="L828" s="26"/>
      <c r="M828" s="25"/>
      <c r="N828" s="25"/>
      <c r="O828" s="25"/>
      <c r="P828" s="25"/>
      <c r="Q828" s="25"/>
      <c r="R828" s="27">
        <f t="shared" si="278"/>
        <v>513500</v>
      </c>
      <c r="T828" s="1"/>
    </row>
    <row r="829" spans="1:22" x14ac:dyDescent="0.25">
      <c r="A829" s="20" t="s">
        <v>25</v>
      </c>
      <c r="B829" s="42"/>
      <c r="C829" s="43">
        <v>15000</v>
      </c>
      <c r="D829" s="43">
        <v>5000</v>
      </c>
      <c r="E829" s="43">
        <v>230000</v>
      </c>
      <c r="F829" s="43">
        <v>200000</v>
      </c>
      <c r="G829" s="15">
        <f t="shared" si="275"/>
        <v>450000</v>
      </c>
      <c r="H829" s="16">
        <v>14</v>
      </c>
      <c r="I829" s="26">
        <v>50000</v>
      </c>
      <c r="J829" s="25">
        <f t="shared" si="281"/>
        <v>800000</v>
      </c>
      <c r="K829" s="26">
        <f t="shared" ref="K829" si="285">0.015*J828</f>
        <v>12750</v>
      </c>
      <c r="L829" s="26"/>
      <c r="M829" s="25"/>
      <c r="N829" s="25"/>
      <c r="O829" s="25"/>
      <c r="P829" s="25"/>
      <c r="Q829" s="25"/>
      <c r="R829" s="27">
        <f t="shared" si="278"/>
        <v>512750</v>
      </c>
      <c r="T829" s="1"/>
    </row>
    <row r="830" spans="1:22" x14ac:dyDescent="0.25">
      <c r="A830" s="20" t="s">
        <v>26</v>
      </c>
      <c r="B830" s="42"/>
      <c r="C830" s="43">
        <v>15000</v>
      </c>
      <c r="D830" s="43">
        <v>5000</v>
      </c>
      <c r="E830" s="43">
        <v>230000</v>
      </c>
      <c r="F830" s="43">
        <v>200000</v>
      </c>
      <c r="G830" s="15">
        <f t="shared" si="275"/>
        <v>450000</v>
      </c>
      <c r="H830" s="16">
        <v>15</v>
      </c>
      <c r="I830" s="26">
        <v>50000</v>
      </c>
      <c r="J830" s="25">
        <f t="shared" si="281"/>
        <v>750000</v>
      </c>
      <c r="K830" s="26">
        <f t="shared" ref="K830" si="286">0.015*J829</f>
        <v>12000</v>
      </c>
      <c r="L830" s="26"/>
      <c r="M830" s="25"/>
      <c r="N830" s="25"/>
      <c r="O830" s="25"/>
      <c r="P830" s="25"/>
      <c r="Q830" s="25"/>
      <c r="R830" s="27">
        <f t="shared" si="278"/>
        <v>512000</v>
      </c>
    </row>
    <row r="831" spans="1:22" ht="15.75" thickBot="1" x14ac:dyDescent="0.3">
      <c r="A831" s="12" t="s">
        <v>15</v>
      </c>
      <c r="B831" s="44"/>
      <c r="C831" s="43">
        <v>15000</v>
      </c>
      <c r="D831" s="43">
        <v>5000</v>
      </c>
      <c r="E831" s="43">
        <v>230000</v>
      </c>
      <c r="F831" s="43">
        <v>200000</v>
      </c>
      <c r="G831" s="15">
        <f t="shared" si="275"/>
        <v>450000</v>
      </c>
      <c r="H831" s="16">
        <v>16</v>
      </c>
      <c r="I831" s="26">
        <v>50000</v>
      </c>
      <c r="J831" s="25">
        <f t="shared" si="281"/>
        <v>700000</v>
      </c>
      <c r="K831" s="26">
        <f t="shared" ref="K831" si="287">0.015*J830</f>
        <v>11250</v>
      </c>
      <c r="L831" s="26"/>
      <c r="M831" s="25" t="s">
        <v>35</v>
      </c>
      <c r="N831" s="25"/>
      <c r="O831" s="25"/>
      <c r="P831" s="25"/>
      <c r="Q831" s="25"/>
      <c r="R831" s="27">
        <f t="shared" si="278"/>
        <v>511250</v>
      </c>
      <c r="T831" s="1"/>
    </row>
    <row r="832" spans="1:22" ht="15.75" thickBot="1" x14ac:dyDescent="0.3">
      <c r="A832" s="29" t="s">
        <v>0</v>
      </c>
      <c r="B832" s="30">
        <f t="shared" ref="B832:F832" si="288">SUM(B819:B831)</f>
        <v>25000</v>
      </c>
      <c r="C832" s="30">
        <f t="shared" si="288"/>
        <v>3115000</v>
      </c>
      <c r="D832" s="30">
        <f t="shared" si="288"/>
        <v>1158839</v>
      </c>
      <c r="E832" s="30">
        <f t="shared" si="288"/>
        <v>1840000</v>
      </c>
      <c r="F832" s="30">
        <f t="shared" si="288"/>
        <v>2200000</v>
      </c>
      <c r="G832" s="15">
        <f t="shared" si="275"/>
        <v>8338839</v>
      </c>
      <c r="H832" s="32"/>
      <c r="I832" s="71" t="s">
        <v>27</v>
      </c>
      <c r="J832" s="72"/>
      <c r="K832" s="33">
        <f>SUM(K819:K831)</f>
        <v>139500</v>
      </c>
      <c r="L832" s="34"/>
      <c r="M832" s="71" t="s">
        <v>28</v>
      </c>
      <c r="N832" s="73"/>
      <c r="O832" s="72"/>
      <c r="P832" s="33">
        <f>SUM(P819:P831)</f>
        <v>0</v>
      </c>
      <c r="Q832" s="34"/>
      <c r="R832" s="35"/>
      <c r="T832" s="1"/>
    </row>
    <row r="833" spans="1:22" s="36" customFormat="1" ht="15.75" thickBot="1" x14ac:dyDescent="0.3">
      <c r="C833" s="37"/>
      <c r="D833" s="37"/>
      <c r="F833" s="38"/>
      <c r="G833" s="38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T833" s="40"/>
    </row>
    <row r="834" spans="1:22" ht="15.75" customHeight="1" thickBot="1" x14ac:dyDescent="0.3">
      <c r="A834" s="2">
        <f>A817+1</f>
        <v>50</v>
      </c>
      <c r="B834" s="74"/>
      <c r="C834" s="75"/>
      <c r="D834" s="75"/>
      <c r="E834" s="75"/>
      <c r="F834" s="76"/>
      <c r="G834" s="3" t="s">
        <v>0</v>
      </c>
      <c r="H834" s="77" t="s">
        <v>1</v>
      </c>
      <c r="I834" s="78"/>
      <c r="J834" s="78"/>
      <c r="K834" s="78"/>
      <c r="L834" s="79"/>
      <c r="M834" s="80" t="s">
        <v>2</v>
      </c>
      <c r="N834" s="78"/>
      <c r="O834" s="78"/>
      <c r="P834" s="78"/>
      <c r="Q834" s="79"/>
      <c r="R834" s="69" t="s">
        <v>29</v>
      </c>
      <c r="T834" s="1"/>
    </row>
    <row r="835" spans="1:22" x14ac:dyDescent="0.25">
      <c r="A835" s="4" t="s">
        <v>4</v>
      </c>
      <c r="B835" s="5" t="s">
        <v>5</v>
      </c>
      <c r="C835" s="6" t="s">
        <v>6</v>
      </c>
      <c r="D835" s="6" t="s">
        <v>7</v>
      </c>
      <c r="E835" s="5" t="s">
        <v>8</v>
      </c>
      <c r="F835" s="5" t="s">
        <v>9</v>
      </c>
      <c r="G835" s="7" t="s">
        <v>10</v>
      </c>
      <c r="H835" s="8" t="s">
        <v>11</v>
      </c>
      <c r="I835" s="9" t="s">
        <v>0</v>
      </c>
      <c r="J835" s="9" t="s">
        <v>12</v>
      </c>
      <c r="K835" s="9" t="s">
        <v>13</v>
      </c>
      <c r="L835" s="10" t="s">
        <v>14</v>
      </c>
      <c r="M835" s="9" t="s">
        <v>11</v>
      </c>
      <c r="N835" s="9" t="s">
        <v>0</v>
      </c>
      <c r="O835" s="9" t="s">
        <v>12</v>
      </c>
      <c r="P835" s="9" t="s">
        <v>13</v>
      </c>
      <c r="Q835" s="10" t="s">
        <v>14</v>
      </c>
      <c r="R835" s="70"/>
      <c r="S835" s="11"/>
      <c r="T835" s="1"/>
    </row>
    <row r="836" spans="1:22" x14ac:dyDescent="0.25">
      <c r="A836" s="12" t="s">
        <v>15</v>
      </c>
      <c r="B836" s="41"/>
      <c r="C836" s="41"/>
      <c r="D836" s="41"/>
      <c r="E836" s="41"/>
      <c r="F836" s="41"/>
      <c r="G836" s="15">
        <f t="shared" ref="G836" si="289">SUM(B836:F836)</f>
        <v>0</v>
      </c>
      <c r="H836" s="16"/>
      <c r="I836" s="17"/>
      <c r="J836" s="18"/>
      <c r="K836" s="17"/>
      <c r="L836" s="17"/>
      <c r="M836" s="17"/>
      <c r="N836" s="17"/>
      <c r="O836" s="17"/>
      <c r="P836" s="17"/>
      <c r="Q836" s="17"/>
      <c r="R836" s="19"/>
      <c r="T836" s="1"/>
    </row>
    <row r="837" spans="1:22" x14ac:dyDescent="0.25">
      <c r="A837" s="20" t="s">
        <v>16</v>
      </c>
      <c r="B837" s="42"/>
      <c r="C837" s="43"/>
      <c r="D837" s="43"/>
      <c r="E837" s="43"/>
      <c r="F837" s="43"/>
      <c r="G837" s="15">
        <f t="shared" ref="G837:G849" si="290">SUM(B837:F837)</f>
        <v>0</v>
      </c>
      <c r="H837" s="16"/>
      <c r="I837" s="26"/>
      <c r="J837" s="25"/>
      <c r="K837" s="26">
        <f t="shared" ref="K837:K838" si="291">0.015*J836</f>
        <v>0</v>
      </c>
      <c r="L837" s="26"/>
      <c r="M837" s="25"/>
      <c r="N837" s="25"/>
      <c r="O837" s="25"/>
      <c r="P837" s="25"/>
      <c r="Q837" s="25"/>
      <c r="R837" s="27">
        <f>K837+I837+G837</f>
        <v>0</v>
      </c>
      <c r="T837" s="1"/>
    </row>
    <row r="838" spans="1:22" x14ac:dyDescent="0.25">
      <c r="A838" s="20" t="s">
        <v>17</v>
      </c>
      <c r="B838" s="42"/>
      <c r="C838" s="43"/>
      <c r="D838" s="43"/>
      <c r="E838" s="43"/>
      <c r="F838" s="43"/>
      <c r="G838" s="15">
        <f t="shared" si="290"/>
        <v>0</v>
      </c>
      <c r="H838" s="16"/>
      <c r="I838" s="26"/>
      <c r="J838" s="25"/>
      <c r="K838" s="26">
        <f t="shared" si="291"/>
        <v>0</v>
      </c>
      <c r="L838" s="26"/>
      <c r="M838" s="25"/>
      <c r="N838" s="25"/>
      <c r="O838" s="25"/>
      <c r="P838" s="25"/>
      <c r="Q838" s="25"/>
      <c r="R838" s="27">
        <f t="shared" ref="R838:R843" si="292">K838+I838+G838</f>
        <v>0</v>
      </c>
      <c r="T838" s="1"/>
      <c r="V838" s="1"/>
    </row>
    <row r="839" spans="1:22" x14ac:dyDescent="0.25">
      <c r="A839" s="20" t="s">
        <v>18</v>
      </c>
      <c r="B839" s="42"/>
      <c r="C839" s="43"/>
      <c r="D839" s="43"/>
      <c r="E839" s="43"/>
      <c r="F839" s="43"/>
      <c r="G839" s="15">
        <f t="shared" si="290"/>
        <v>0</v>
      </c>
      <c r="H839" s="16"/>
      <c r="I839" s="26"/>
      <c r="J839" s="25"/>
      <c r="K839" s="26">
        <f t="shared" ref="K839:K840" si="293">0.015*J838</f>
        <v>0</v>
      </c>
      <c r="L839" s="26"/>
      <c r="M839" s="25"/>
      <c r="N839" s="25"/>
      <c r="O839" s="25"/>
      <c r="P839" s="25"/>
      <c r="Q839" s="25"/>
      <c r="R839" s="27">
        <f t="shared" si="292"/>
        <v>0</v>
      </c>
      <c r="T839" s="1"/>
    </row>
    <row r="840" spans="1:22" x14ac:dyDescent="0.25">
      <c r="A840" s="20" t="s">
        <v>19</v>
      </c>
      <c r="B840" s="42"/>
      <c r="C840" s="43"/>
      <c r="D840" s="43"/>
      <c r="E840" s="43"/>
      <c r="F840" s="43"/>
      <c r="G840" s="15">
        <f t="shared" si="290"/>
        <v>0</v>
      </c>
      <c r="H840" s="16"/>
      <c r="I840" s="26"/>
      <c r="J840" s="25"/>
      <c r="K840" s="26">
        <f t="shared" si="293"/>
        <v>0</v>
      </c>
      <c r="L840" s="26"/>
      <c r="M840" s="25"/>
      <c r="N840" s="25"/>
      <c r="O840" s="25"/>
      <c r="P840" s="25"/>
      <c r="Q840" s="25"/>
      <c r="R840" s="27">
        <f t="shared" si="292"/>
        <v>0</v>
      </c>
      <c r="T840" s="1"/>
    </row>
    <row r="841" spans="1:22" x14ac:dyDescent="0.25">
      <c r="A841" s="20" t="s">
        <v>20</v>
      </c>
      <c r="B841" s="42"/>
      <c r="C841" s="43"/>
      <c r="D841" s="43"/>
      <c r="E841" s="43"/>
      <c r="F841" s="43"/>
      <c r="G841" s="15">
        <f t="shared" si="290"/>
        <v>0</v>
      </c>
      <c r="H841" s="16"/>
      <c r="I841" s="26"/>
      <c r="J841" s="25"/>
      <c r="K841" s="26">
        <f t="shared" ref="K841:K842" si="294">0.015*J840</f>
        <v>0</v>
      </c>
      <c r="L841" s="26"/>
      <c r="M841" s="25"/>
      <c r="N841" s="25"/>
      <c r="O841" s="25"/>
      <c r="P841" s="25"/>
      <c r="Q841" s="25"/>
      <c r="R841" s="27">
        <f t="shared" si="292"/>
        <v>0</v>
      </c>
      <c r="T841" s="1"/>
    </row>
    <row r="842" spans="1:22" x14ac:dyDescent="0.25">
      <c r="A842" s="20" t="s">
        <v>21</v>
      </c>
      <c r="B842" s="42"/>
      <c r="C842" s="43"/>
      <c r="D842" s="43"/>
      <c r="E842" s="43"/>
      <c r="F842" s="43"/>
      <c r="G842" s="15">
        <f t="shared" si="290"/>
        <v>0</v>
      </c>
      <c r="H842" s="16"/>
      <c r="I842" s="26"/>
      <c r="J842" s="25"/>
      <c r="K842" s="26">
        <f t="shared" si="294"/>
        <v>0</v>
      </c>
      <c r="L842" s="26"/>
      <c r="M842" s="25"/>
      <c r="N842" s="25"/>
      <c r="O842" s="25"/>
      <c r="P842" s="25"/>
      <c r="Q842" s="25"/>
      <c r="R842" s="27">
        <f t="shared" si="292"/>
        <v>0</v>
      </c>
      <c r="T842" s="1"/>
    </row>
    <row r="843" spans="1:22" x14ac:dyDescent="0.25">
      <c r="A843" s="20" t="s">
        <v>22</v>
      </c>
      <c r="B843" s="42"/>
      <c r="C843" s="43"/>
      <c r="D843" s="43"/>
      <c r="E843" s="43"/>
      <c r="F843" s="43"/>
      <c r="G843" s="15">
        <f t="shared" si="290"/>
        <v>0</v>
      </c>
      <c r="H843" s="16"/>
      <c r="I843" s="26"/>
      <c r="J843" s="25"/>
      <c r="K843" s="26">
        <f t="shared" ref="K843" si="295">0.015*J842</f>
        <v>0</v>
      </c>
      <c r="L843" s="26"/>
      <c r="M843" s="25"/>
      <c r="N843" s="25"/>
      <c r="O843" s="25"/>
      <c r="P843" s="25"/>
      <c r="Q843" s="25"/>
      <c r="R843" s="27">
        <f t="shared" si="292"/>
        <v>0</v>
      </c>
      <c r="T843" s="1"/>
      <c r="V843" s="1"/>
    </row>
    <row r="844" spans="1:22" x14ac:dyDescent="0.25">
      <c r="A844" s="20" t="s">
        <v>23</v>
      </c>
      <c r="B844" s="42"/>
      <c r="C844" s="43"/>
      <c r="D844" s="43"/>
      <c r="E844" s="43"/>
      <c r="F844" s="43"/>
      <c r="G844" s="15">
        <f t="shared" si="290"/>
        <v>0</v>
      </c>
      <c r="H844" s="16"/>
      <c r="I844" s="26"/>
      <c r="J844" s="25"/>
      <c r="K844" s="26">
        <f>0.015*J843</f>
        <v>0</v>
      </c>
      <c r="L844" s="26"/>
      <c r="M844" s="25"/>
      <c r="N844" s="25"/>
      <c r="O844" s="26"/>
      <c r="P844" s="26"/>
      <c r="Q844" s="25"/>
      <c r="R844" s="27">
        <f>K844+I844+G844+P844+N844</f>
        <v>0</v>
      </c>
      <c r="T844" s="1"/>
      <c r="V844" s="1"/>
    </row>
    <row r="845" spans="1:22" x14ac:dyDescent="0.25">
      <c r="A845" s="20" t="s">
        <v>24</v>
      </c>
      <c r="B845" s="42"/>
      <c r="C845" s="43"/>
      <c r="D845" s="43"/>
      <c r="E845" s="43"/>
      <c r="F845" s="43"/>
      <c r="G845" s="15">
        <f t="shared" si="290"/>
        <v>0</v>
      </c>
      <c r="H845" s="16"/>
      <c r="I845" s="26"/>
      <c r="J845" s="25"/>
      <c r="K845" s="26">
        <f t="shared" ref="K845:K846" si="296">0.015*J844</f>
        <v>0</v>
      </c>
      <c r="L845" s="26"/>
      <c r="M845" s="25"/>
      <c r="N845" s="25"/>
      <c r="O845" s="26"/>
      <c r="P845" s="26"/>
      <c r="Q845" s="25"/>
      <c r="R845" s="27">
        <f>K845+I845+G845+P845+N845</f>
        <v>0</v>
      </c>
      <c r="T845" s="1"/>
    </row>
    <row r="846" spans="1:22" x14ac:dyDescent="0.25">
      <c r="A846" s="20" t="s">
        <v>25</v>
      </c>
      <c r="B846" s="42"/>
      <c r="C846" s="43"/>
      <c r="D846" s="43"/>
      <c r="E846" s="43"/>
      <c r="F846" s="43"/>
      <c r="G846" s="15">
        <f t="shared" si="290"/>
        <v>0</v>
      </c>
      <c r="H846" s="16"/>
      <c r="I846" s="26"/>
      <c r="J846" s="25"/>
      <c r="K846" s="26">
        <f t="shared" si="296"/>
        <v>0</v>
      </c>
      <c r="L846" s="26"/>
      <c r="M846" s="25"/>
      <c r="N846" s="25"/>
      <c r="O846" s="26"/>
      <c r="P846" s="26"/>
      <c r="Q846" s="25"/>
      <c r="R846" s="27">
        <f t="shared" ref="R846:R848" si="297">K846+I846+G846+P846+N846</f>
        <v>0</v>
      </c>
      <c r="T846" s="1"/>
    </row>
    <row r="847" spans="1:22" x14ac:dyDescent="0.25">
      <c r="A847" s="20" t="s">
        <v>26</v>
      </c>
      <c r="B847" s="42"/>
      <c r="C847" s="43"/>
      <c r="D847" s="43"/>
      <c r="E847" s="43"/>
      <c r="F847" s="43"/>
      <c r="G847" s="15">
        <f t="shared" si="290"/>
        <v>0</v>
      </c>
      <c r="H847" s="16"/>
      <c r="I847" s="26"/>
      <c r="J847" s="25"/>
      <c r="K847" s="26">
        <f t="shared" ref="K847" si="298">0.015*J846</f>
        <v>0</v>
      </c>
      <c r="L847" s="26"/>
      <c r="M847" s="25"/>
      <c r="N847" s="25"/>
      <c r="O847" s="26"/>
      <c r="P847" s="26"/>
      <c r="Q847" s="25"/>
      <c r="R847" s="27">
        <f t="shared" si="297"/>
        <v>0</v>
      </c>
    </row>
    <row r="848" spans="1:22" ht="15.75" thickBot="1" x14ac:dyDescent="0.3">
      <c r="A848" s="12" t="s">
        <v>15</v>
      </c>
      <c r="B848" s="44"/>
      <c r="C848" s="43"/>
      <c r="D848" s="43"/>
      <c r="E848" s="43"/>
      <c r="F848" s="43"/>
      <c r="G848" s="15">
        <f t="shared" si="290"/>
        <v>0</v>
      </c>
      <c r="H848" s="16"/>
      <c r="I848" s="26"/>
      <c r="J848" s="25"/>
      <c r="K848" s="26">
        <f t="shared" ref="K848" si="299">0.015*J847</f>
        <v>0</v>
      </c>
      <c r="L848" s="26"/>
      <c r="M848" s="25"/>
      <c r="N848" s="25"/>
      <c r="O848" s="25"/>
      <c r="P848" s="25"/>
      <c r="Q848" s="25"/>
      <c r="R848" s="27">
        <f t="shared" si="297"/>
        <v>0</v>
      </c>
      <c r="T848" s="1"/>
    </row>
    <row r="849" spans="1:22" ht="15.75" thickBot="1" x14ac:dyDescent="0.3">
      <c r="A849" s="29" t="s">
        <v>0</v>
      </c>
      <c r="B849" s="30">
        <f t="shared" ref="B849:F849" si="300">SUM(B836:B848)</f>
        <v>0</v>
      </c>
      <c r="C849" s="30">
        <f t="shared" si="300"/>
        <v>0</v>
      </c>
      <c r="D849" s="30">
        <f t="shared" si="300"/>
        <v>0</v>
      </c>
      <c r="E849" s="30">
        <f t="shared" si="300"/>
        <v>0</v>
      </c>
      <c r="F849" s="30">
        <f t="shared" si="300"/>
        <v>0</v>
      </c>
      <c r="G849" s="15">
        <f t="shared" si="290"/>
        <v>0</v>
      </c>
      <c r="H849" s="32"/>
      <c r="I849" s="71" t="s">
        <v>27</v>
      </c>
      <c r="J849" s="72"/>
      <c r="K849" s="33">
        <f>SUM(K836:K848)</f>
        <v>0</v>
      </c>
      <c r="L849" s="34"/>
      <c r="M849" s="71" t="s">
        <v>28</v>
      </c>
      <c r="N849" s="73"/>
      <c r="O849" s="72"/>
      <c r="P849" s="33">
        <f>SUM(P836:P848)</f>
        <v>0</v>
      </c>
      <c r="Q849" s="34"/>
      <c r="R849" s="35"/>
      <c r="T849" s="1"/>
    </row>
    <row r="850" spans="1:22" s="36" customFormat="1" ht="15.75" thickBot="1" x14ac:dyDescent="0.3">
      <c r="C850" s="37"/>
      <c r="D850" s="37"/>
      <c r="F850" s="38"/>
      <c r="G850" s="38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T850" s="40"/>
    </row>
    <row r="851" spans="1:22" ht="15.75" customHeight="1" thickBot="1" x14ac:dyDescent="0.3">
      <c r="A851" s="2">
        <f>A834+1</f>
        <v>51</v>
      </c>
      <c r="B851" s="74" t="str">
        <f>VLOOKUP(A851,NAMA,2)</f>
        <v>LATIEF Gz</v>
      </c>
      <c r="C851" s="75"/>
      <c r="D851" s="75"/>
      <c r="E851" s="75"/>
      <c r="F851" s="76"/>
      <c r="G851" s="3" t="s">
        <v>0</v>
      </c>
      <c r="H851" s="77" t="s">
        <v>1</v>
      </c>
      <c r="I851" s="78"/>
      <c r="J851" s="78"/>
      <c r="K851" s="78"/>
      <c r="L851" s="79"/>
      <c r="M851" s="80" t="s">
        <v>2</v>
      </c>
      <c r="N851" s="78"/>
      <c r="O851" s="78"/>
      <c r="P851" s="78"/>
      <c r="Q851" s="79"/>
      <c r="R851" s="69" t="s">
        <v>29</v>
      </c>
      <c r="T851" s="1"/>
    </row>
    <row r="852" spans="1:22" x14ac:dyDescent="0.25">
      <c r="A852" s="4" t="s">
        <v>4</v>
      </c>
      <c r="B852" s="5" t="s">
        <v>5</v>
      </c>
      <c r="C852" s="6" t="s">
        <v>6</v>
      </c>
      <c r="D852" s="6" t="s">
        <v>7</v>
      </c>
      <c r="E852" s="5" t="s">
        <v>8</v>
      </c>
      <c r="F852" s="5" t="s">
        <v>9</v>
      </c>
      <c r="G852" s="7" t="s">
        <v>10</v>
      </c>
      <c r="H852" s="8" t="s">
        <v>11</v>
      </c>
      <c r="I852" s="9" t="s">
        <v>0</v>
      </c>
      <c r="J852" s="9" t="s">
        <v>12</v>
      </c>
      <c r="K852" s="9" t="s">
        <v>13</v>
      </c>
      <c r="L852" s="10" t="s">
        <v>14</v>
      </c>
      <c r="M852" s="9" t="s">
        <v>11</v>
      </c>
      <c r="N852" s="9" t="s">
        <v>0</v>
      </c>
      <c r="O852" s="9" t="s">
        <v>12</v>
      </c>
      <c r="P852" s="9" t="s">
        <v>13</v>
      </c>
      <c r="Q852" s="10" t="s">
        <v>14</v>
      </c>
      <c r="R852" s="70"/>
      <c r="S852" s="11"/>
      <c r="T852" s="1"/>
    </row>
    <row r="853" spans="1:22" x14ac:dyDescent="0.25">
      <c r="A853" s="12" t="s">
        <v>15</v>
      </c>
      <c r="B853" s="42">
        <v>25000</v>
      </c>
      <c r="C853" s="41">
        <v>3112000</v>
      </c>
      <c r="D853" s="41">
        <v>1146972</v>
      </c>
      <c r="E853" s="41">
        <v>0</v>
      </c>
      <c r="F853" s="41">
        <v>0</v>
      </c>
      <c r="G853" s="15">
        <f t="shared" ref="G853" si="301">SUM(B853:F853)</f>
        <v>4283972</v>
      </c>
      <c r="H853" s="16"/>
      <c r="I853" s="17"/>
      <c r="J853" s="18">
        <v>2400000</v>
      </c>
      <c r="K853" s="17"/>
      <c r="L853" s="17"/>
      <c r="M853" s="17"/>
      <c r="N853" s="17"/>
      <c r="O853" s="17"/>
      <c r="P853" s="17"/>
      <c r="Q853" s="17"/>
      <c r="R853" s="19"/>
      <c r="T853" s="1"/>
    </row>
    <row r="854" spans="1:22" x14ac:dyDescent="0.25">
      <c r="A854" s="20" t="s">
        <v>16</v>
      </c>
      <c r="B854" s="42">
        <v>-25000</v>
      </c>
      <c r="C854" s="43">
        <v>-3112000</v>
      </c>
      <c r="D854" s="43">
        <v>-1146972</v>
      </c>
      <c r="E854" s="43">
        <v>0</v>
      </c>
      <c r="F854" s="43">
        <v>0</v>
      </c>
      <c r="G854" s="15">
        <f t="shared" ref="G854:G866" si="302">SUM(B854:F854)</f>
        <v>-4283972</v>
      </c>
      <c r="H854" s="16">
        <v>19</v>
      </c>
      <c r="I854" s="26">
        <v>400000</v>
      </c>
      <c r="J854" s="25">
        <f t="shared" ref="J854:J855" si="303">J853-I854</f>
        <v>2000000</v>
      </c>
      <c r="K854" s="26">
        <f>0.015*J853</f>
        <v>36000</v>
      </c>
      <c r="L854" s="26"/>
      <c r="M854" s="25"/>
      <c r="N854" s="25"/>
      <c r="O854" s="25"/>
      <c r="P854" s="25"/>
      <c r="Q854" s="25"/>
      <c r="R854" s="27">
        <f>K854+I854+G854</f>
        <v>-3847972</v>
      </c>
      <c r="T854" s="1"/>
    </row>
    <row r="855" spans="1:22" x14ac:dyDescent="0.25">
      <c r="A855" s="20" t="s">
        <v>17</v>
      </c>
      <c r="B855" s="42">
        <v>25000</v>
      </c>
      <c r="C855" s="43">
        <v>15000</v>
      </c>
      <c r="D855" s="43">
        <v>5000</v>
      </c>
      <c r="E855" s="43">
        <v>0</v>
      </c>
      <c r="F855" s="43">
        <v>0</v>
      </c>
      <c r="G855" s="15">
        <f t="shared" si="302"/>
        <v>45000</v>
      </c>
      <c r="H855" s="16">
        <v>20</v>
      </c>
      <c r="I855" s="26">
        <v>400000</v>
      </c>
      <c r="J855" s="25">
        <f t="shared" si="303"/>
        <v>1600000</v>
      </c>
      <c r="K855" s="26">
        <f>0.015*J854</f>
        <v>30000</v>
      </c>
      <c r="L855" s="26"/>
      <c r="M855" s="25"/>
      <c r="N855" s="25"/>
      <c r="O855" s="25"/>
      <c r="P855" s="25"/>
      <c r="Q855" s="25"/>
      <c r="R855" s="27">
        <f t="shared" ref="R855:R865" si="304">K855+I855+G855</f>
        <v>475000</v>
      </c>
      <c r="T855" s="1"/>
      <c r="V855" s="1"/>
    </row>
    <row r="856" spans="1:22" x14ac:dyDescent="0.25">
      <c r="A856" s="20" t="s">
        <v>18</v>
      </c>
      <c r="B856" s="42"/>
      <c r="C856" s="43">
        <v>15000</v>
      </c>
      <c r="D856" s="43">
        <v>5000</v>
      </c>
      <c r="E856" s="43">
        <v>0</v>
      </c>
      <c r="F856" s="43">
        <v>0</v>
      </c>
      <c r="G856" s="15">
        <f t="shared" si="302"/>
        <v>20000</v>
      </c>
      <c r="H856" s="16">
        <v>21</v>
      </c>
      <c r="I856" s="26">
        <v>400000</v>
      </c>
      <c r="J856" s="25">
        <f>J855-I856+5000000</f>
        <v>6200000</v>
      </c>
      <c r="K856" s="26">
        <f t="shared" ref="K856:K859" si="305">0.015*J855</f>
        <v>24000</v>
      </c>
      <c r="L856" s="26"/>
      <c r="M856" s="25"/>
      <c r="N856" s="25"/>
      <c r="O856" s="25"/>
      <c r="P856" s="25"/>
      <c r="Q856" s="25"/>
      <c r="R856" s="27">
        <f t="shared" si="304"/>
        <v>444000</v>
      </c>
      <c r="T856" s="1"/>
    </row>
    <row r="857" spans="1:22" x14ac:dyDescent="0.25">
      <c r="A857" s="20" t="s">
        <v>19</v>
      </c>
      <c r="B857" s="42"/>
      <c r="C857" s="43">
        <v>15000</v>
      </c>
      <c r="D857" s="43">
        <v>5000</v>
      </c>
      <c r="E857" s="43">
        <v>0</v>
      </c>
      <c r="F857" s="43">
        <v>0</v>
      </c>
      <c r="G857" s="15">
        <f t="shared" si="302"/>
        <v>20000</v>
      </c>
      <c r="H857" s="16">
        <v>21</v>
      </c>
      <c r="I857" s="26">
        <v>400000</v>
      </c>
      <c r="J857" s="25">
        <f t="shared" ref="J857:J865" si="306">J856-I857</f>
        <v>5800000</v>
      </c>
      <c r="K857" s="26">
        <f t="shared" si="305"/>
        <v>93000</v>
      </c>
      <c r="L857" s="26"/>
      <c r="M857" s="25"/>
      <c r="N857" s="25"/>
      <c r="O857" s="25"/>
      <c r="P857" s="25"/>
      <c r="Q857" s="25"/>
      <c r="R857" s="27">
        <f t="shared" si="304"/>
        <v>513000</v>
      </c>
      <c r="T857" s="1"/>
    </row>
    <row r="858" spans="1:22" x14ac:dyDescent="0.25">
      <c r="A858" s="20" t="s">
        <v>20</v>
      </c>
      <c r="B858" s="42"/>
      <c r="C858" s="43">
        <v>15000</v>
      </c>
      <c r="D858" s="43">
        <v>5000</v>
      </c>
      <c r="E858" s="43">
        <v>0</v>
      </c>
      <c r="F858" s="43">
        <v>0</v>
      </c>
      <c r="G858" s="15">
        <f t="shared" si="302"/>
        <v>20000</v>
      </c>
      <c r="H858" s="16">
        <v>22</v>
      </c>
      <c r="I858" s="26">
        <v>400000</v>
      </c>
      <c r="J858" s="25">
        <f t="shared" si="306"/>
        <v>5400000</v>
      </c>
      <c r="K858" s="26">
        <f t="shared" si="305"/>
        <v>87000</v>
      </c>
      <c r="L858" s="26"/>
      <c r="M858" s="25"/>
      <c r="N858" s="25"/>
      <c r="O858" s="25"/>
      <c r="P858" s="25"/>
      <c r="Q858" s="25"/>
      <c r="R858" s="27">
        <f t="shared" si="304"/>
        <v>507000</v>
      </c>
      <c r="T858" s="1"/>
    </row>
    <row r="859" spans="1:22" x14ac:dyDescent="0.25">
      <c r="A859" s="20" t="s">
        <v>21</v>
      </c>
      <c r="B859" s="42"/>
      <c r="C859" s="43">
        <v>15000</v>
      </c>
      <c r="D859" s="43">
        <v>5000</v>
      </c>
      <c r="E859" s="43">
        <v>0</v>
      </c>
      <c r="F859" s="43">
        <v>0</v>
      </c>
      <c r="G859" s="15">
        <f t="shared" si="302"/>
        <v>20000</v>
      </c>
      <c r="H859" s="16">
        <v>23</v>
      </c>
      <c r="I859" s="26">
        <v>400000</v>
      </c>
      <c r="J859" s="25">
        <f t="shared" si="306"/>
        <v>5000000</v>
      </c>
      <c r="K859" s="26">
        <f t="shared" si="305"/>
        <v>81000</v>
      </c>
      <c r="L859" s="26"/>
      <c r="M859" s="25"/>
      <c r="N859" s="25"/>
      <c r="O859" s="25"/>
      <c r="P859" s="25"/>
      <c r="Q859" s="25"/>
      <c r="R859" s="27">
        <f t="shared" si="304"/>
        <v>501000</v>
      </c>
      <c r="T859" s="1"/>
    </row>
    <row r="860" spans="1:22" x14ac:dyDescent="0.25">
      <c r="A860" s="20" t="s">
        <v>22</v>
      </c>
      <c r="B860" s="42"/>
      <c r="C860" s="43">
        <v>15000</v>
      </c>
      <c r="D860" s="43">
        <v>5000</v>
      </c>
      <c r="E860" s="43">
        <v>0</v>
      </c>
      <c r="F860" s="43">
        <v>0</v>
      </c>
      <c r="G860" s="15">
        <f t="shared" si="302"/>
        <v>20000</v>
      </c>
      <c r="H860" s="16">
        <v>24</v>
      </c>
      <c r="I860" s="26">
        <v>400000</v>
      </c>
      <c r="J860" s="25">
        <f t="shared" si="306"/>
        <v>4600000</v>
      </c>
      <c r="K860" s="26">
        <f t="shared" ref="K860" si="307">0.015*J859</f>
        <v>75000</v>
      </c>
      <c r="L860" s="26"/>
      <c r="M860" s="25"/>
      <c r="N860" s="25"/>
      <c r="O860" s="25"/>
      <c r="P860" s="25"/>
      <c r="Q860" s="25"/>
      <c r="R860" s="27">
        <f t="shared" si="304"/>
        <v>495000</v>
      </c>
      <c r="T860" s="1"/>
      <c r="V860" s="1"/>
    </row>
    <row r="861" spans="1:22" x14ac:dyDescent="0.25">
      <c r="A861" s="20" t="s">
        <v>23</v>
      </c>
      <c r="B861" s="42"/>
      <c r="C861" s="43">
        <v>15000</v>
      </c>
      <c r="D861" s="43">
        <v>5000</v>
      </c>
      <c r="E861" s="43">
        <v>0</v>
      </c>
      <c r="F861" s="43">
        <v>0</v>
      </c>
      <c r="G861" s="15">
        <f t="shared" si="302"/>
        <v>20000</v>
      </c>
      <c r="H861" s="16">
        <v>25</v>
      </c>
      <c r="I861" s="26">
        <v>400000</v>
      </c>
      <c r="J861" s="25">
        <f t="shared" si="306"/>
        <v>4200000</v>
      </c>
      <c r="K861" s="26">
        <f t="shared" ref="K861" si="308">0.015*J860</f>
        <v>69000</v>
      </c>
      <c r="L861" s="26"/>
      <c r="M861" s="25"/>
      <c r="N861" s="25"/>
      <c r="O861" s="25"/>
      <c r="P861" s="25"/>
      <c r="Q861" s="25"/>
      <c r="R861" s="27">
        <f t="shared" si="304"/>
        <v>489000</v>
      </c>
      <c r="T861" s="1"/>
      <c r="V861" s="1"/>
    </row>
    <row r="862" spans="1:22" x14ac:dyDescent="0.25">
      <c r="A862" s="20" t="s">
        <v>24</v>
      </c>
      <c r="B862" s="42"/>
      <c r="C862" s="43">
        <v>15000</v>
      </c>
      <c r="D862" s="43">
        <v>5000</v>
      </c>
      <c r="E862" s="43">
        <v>0</v>
      </c>
      <c r="F862" s="43">
        <v>0</v>
      </c>
      <c r="G862" s="15">
        <f t="shared" si="302"/>
        <v>20000</v>
      </c>
      <c r="H862" s="16">
        <v>26</v>
      </c>
      <c r="I862" s="26">
        <v>400000</v>
      </c>
      <c r="J862" s="25">
        <f t="shared" si="306"/>
        <v>3800000</v>
      </c>
      <c r="K862" s="26">
        <f t="shared" ref="K862" si="309">0.015*J861</f>
        <v>63000</v>
      </c>
      <c r="L862" s="26"/>
      <c r="M862" s="25"/>
      <c r="N862" s="25"/>
      <c r="O862" s="25"/>
      <c r="P862" s="25"/>
      <c r="Q862" s="25"/>
      <c r="R862" s="27">
        <f t="shared" si="304"/>
        <v>483000</v>
      </c>
      <c r="T862" s="1"/>
    </row>
    <row r="863" spans="1:22" x14ac:dyDescent="0.25">
      <c r="A863" s="20" t="s">
        <v>25</v>
      </c>
      <c r="B863" s="42"/>
      <c r="C863" s="43">
        <v>15000</v>
      </c>
      <c r="D863" s="43">
        <v>5000</v>
      </c>
      <c r="E863" s="43">
        <v>0</v>
      </c>
      <c r="F863" s="43">
        <v>0</v>
      </c>
      <c r="G863" s="15">
        <f t="shared" si="302"/>
        <v>20000</v>
      </c>
      <c r="H863" s="16">
        <v>27</v>
      </c>
      <c r="I863" s="26">
        <v>400000</v>
      </c>
      <c r="J863" s="25">
        <f t="shared" si="306"/>
        <v>3400000</v>
      </c>
      <c r="K863" s="26">
        <f t="shared" ref="K863" si="310">0.015*J862</f>
        <v>57000</v>
      </c>
      <c r="L863" s="26"/>
      <c r="M863" s="25"/>
      <c r="N863" s="25"/>
      <c r="O863" s="25"/>
      <c r="P863" s="25"/>
      <c r="Q863" s="25"/>
      <c r="R863" s="27">
        <f t="shared" si="304"/>
        <v>477000</v>
      </c>
      <c r="T863" s="1"/>
    </row>
    <row r="864" spans="1:22" x14ac:dyDescent="0.25">
      <c r="A864" s="20" t="s">
        <v>26</v>
      </c>
      <c r="B864" s="42"/>
      <c r="C864" s="43">
        <v>15000</v>
      </c>
      <c r="D864" s="43">
        <v>5000</v>
      </c>
      <c r="E864" s="43">
        <v>0</v>
      </c>
      <c r="F864" s="43">
        <v>0</v>
      </c>
      <c r="G864" s="15">
        <f t="shared" si="302"/>
        <v>20000</v>
      </c>
      <c r="H864" s="16">
        <v>28</v>
      </c>
      <c r="I864" s="26">
        <v>400000</v>
      </c>
      <c r="J864" s="25">
        <f t="shared" si="306"/>
        <v>3000000</v>
      </c>
      <c r="K864" s="26">
        <f t="shared" ref="K864" si="311">0.015*J863</f>
        <v>51000</v>
      </c>
      <c r="L864" s="26"/>
      <c r="M864" s="25"/>
      <c r="N864" s="25"/>
      <c r="O864" s="25"/>
      <c r="P864" s="25"/>
      <c r="Q864" s="25"/>
      <c r="R864" s="27">
        <f t="shared" si="304"/>
        <v>471000</v>
      </c>
    </row>
    <row r="865" spans="1:22" ht="15.75" thickBot="1" x14ac:dyDescent="0.3">
      <c r="A865" s="12" t="s">
        <v>15</v>
      </c>
      <c r="B865" s="44"/>
      <c r="C865" s="43">
        <v>15000</v>
      </c>
      <c r="D865" s="43">
        <v>5000</v>
      </c>
      <c r="E865" s="43">
        <v>0</v>
      </c>
      <c r="F865" s="43">
        <v>0</v>
      </c>
      <c r="G865" s="15">
        <f t="shared" si="302"/>
        <v>20000</v>
      </c>
      <c r="H865" s="16">
        <v>29</v>
      </c>
      <c r="I865" s="26">
        <v>400000</v>
      </c>
      <c r="J865" s="25">
        <f t="shared" si="306"/>
        <v>2600000</v>
      </c>
      <c r="K865" s="26">
        <f t="shared" ref="K865" si="312">0.015*J864</f>
        <v>45000</v>
      </c>
      <c r="L865" s="26"/>
      <c r="M865" s="25"/>
      <c r="N865" s="25"/>
      <c r="O865" s="25"/>
      <c r="P865" s="25"/>
      <c r="Q865" s="25"/>
      <c r="R865" s="27">
        <f t="shared" si="304"/>
        <v>465000</v>
      </c>
      <c r="T865" s="1"/>
    </row>
    <row r="866" spans="1:22" ht="15.75" thickBot="1" x14ac:dyDescent="0.3">
      <c r="A866" s="29" t="s">
        <v>0</v>
      </c>
      <c r="B866" s="30">
        <f t="shared" ref="B866:F866" si="313">SUM(B853:B865)</f>
        <v>25000</v>
      </c>
      <c r="C866" s="30">
        <f t="shared" si="313"/>
        <v>165000</v>
      </c>
      <c r="D866" s="30">
        <f t="shared" si="313"/>
        <v>55000</v>
      </c>
      <c r="E866" s="30">
        <f t="shared" si="313"/>
        <v>0</v>
      </c>
      <c r="F866" s="30">
        <f t="shared" si="313"/>
        <v>0</v>
      </c>
      <c r="G866" s="15">
        <f t="shared" si="302"/>
        <v>245000</v>
      </c>
      <c r="H866" s="32"/>
      <c r="I866" s="71" t="s">
        <v>27</v>
      </c>
      <c r="J866" s="72"/>
      <c r="K866" s="33">
        <f>SUM(K853:K865)</f>
        <v>711000</v>
      </c>
      <c r="L866" s="34"/>
      <c r="M866" s="71" t="s">
        <v>28</v>
      </c>
      <c r="N866" s="73"/>
      <c r="O866" s="72"/>
      <c r="P866" s="33">
        <f>SUM(P853:P865)</f>
        <v>0</v>
      </c>
      <c r="Q866" s="34"/>
      <c r="R866" s="35"/>
      <c r="T866" s="1"/>
    </row>
    <row r="867" spans="1:22" s="36" customFormat="1" ht="15.75" thickBot="1" x14ac:dyDescent="0.3">
      <c r="C867" s="37"/>
      <c r="D867" s="37"/>
      <c r="F867" s="38"/>
      <c r="G867" s="38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T867" s="40"/>
    </row>
    <row r="868" spans="1:22" ht="15.75" customHeight="1" thickBot="1" x14ac:dyDescent="0.3">
      <c r="A868" s="2">
        <f>A851+1</f>
        <v>52</v>
      </c>
      <c r="B868" s="74"/>
      <c r="C868" s="75"/>
      <c r="D868" s="75"/>
      <c r="E868" s="75"/>
      <c r="F868" s="76"/>
      <c r="G868" s="3" t="s">
        <v>0</v>
      </c>
      <c r="H868" s="77" t="s">
        <v>1</v>
      </c>
      <c r="I868" s="78"/>
      <c r="J868" s="78"/>
      <c r="K868" s="78"/>
      <c r="L868" s="79"/>
      <c r="M868" s="80" t="s">
        <v>2</v>
      </c>
      <c r="N868" s="78"/>
      <c r="O868" s="78"/>
      <c r="P868" s="78"/>
      <c r="Q868" s="79"/>
      <c r="R868" s="69" t="s">
        <v>29</v>
      </c>
      <c r="T868" s="1"/>
    </row>
    <row r="869" spans="1:22" x14ac:dyDescent="0.25">
      <c r="A869" s="4" t="s">
        <v>4</v>
      </c>
      <c r="B869" s="5" t="s">
        <v>5</v>
      </c>
      <c r="C869" s="6" t="s">
        <v>6</v>
      </c>
      <c r="D869" s="6" t="s">
        <v>7</v>
      </c>
      <c r="E869" s="5" t="s">
        <v>8</v>
      </c>
      <c r="F869" s="5" t="s">
        <v>9</v>
      </c>
      <c r="G869" s="7" t="s">
        <v>10</v>
      </c>
      <c r="H869" s="8" t="s">
        <v>11</v>
      </c>
      <c r="I869" s="9" t="s">
        <v>0</v>
      </c>
      <c r="J869" s="9" t="s">
        <v>12</v>
      </c>
      <c r="K869" s="9" t="s">
        <v>13</v>
      </c>
      <c r="L869" s="10" t="s">
        <v>14</v>
      </c>
      <c r="M869" s="9" t="s">
        <v>11</v>
      </c>
      <c r="N869" s="9" t="s">
        <v>0</v>
      </c>
      <c r="O869" s="9" t="s">
        <v>12</v>
      </c>
      <c r="P869" s="9" t="s">
        <v>13</v>
      </c>
      <c r="Q869" s="10" t="s">
        <v>14</v>
      </c>
      <c r="R869" s="70"/>
      <c r="S869" s="11"/>
      <c r="T869" s="1"/>
    </row>
    <row r="870" spans="1:22" x14ac:dyDescent="0.25">
      <c r="A870" s="12" t="s">
        <v>15</v>
      </c>
      <c r="B870" s="41"/>
      <c r="C870" s="41"/>
      <c r="D870" s="41"/>
      <c r="E870" s="41"/>
      <c r="F870" s="41"/>
      <c r="G870" s="15"/>
      <c r="H870" s="16"/>
      <c r="I870" s="17"/>
      <c r="J870" s="18"/>
      <c r="K870" s="17"/>
      <c r="L870" s="17"/>
      <c r="M870" s="17"/>
      <c r="N870" s="17"/>
      <c r="O870" s="17"/>
      <c r="P870" s="17"/>
      <c r="Q870" s="17"/>
      <c r="R870" s="19"/>
      <c r="T870" s="1"/>
    </row>
    <row r="871" spans="1:22" x14ac:dyDescent="0.25">
      <c r="A871" s="20" t="s">
        <v>16</v>
      </c>
      <c r="B871" s="42"/>
      <c r="C871" s="43"/>
      <c r="D871" s="43"/>
      <c r="E871" s="43"/>
      <c r="F871" s="43"/>
      <c r="G871" s="15"/>
      <c r="H871" s="16"/>
      <c r="I871" s="26"/>
      <c r="J871" s="25"/>
      <c r="K871" s="26"/>
      <c r="L871" s="26"/>
      <c r="M871" s="25"/>
      <c r="N871" s="25"/>
      <c r="O871" s="25"/>
      <c r="P871" s="25"/>
      <c r="Q871" s="25"/>
      <c r="R871" s="27">
        <f>K871+I871+G871</f>
        <v>0</v>
      </c>
      <c r="T871" s="1"/>
    </row>
    <row r="872" spans="1:22" x14ac:dyDescent="0.25">
      <c r="A872" s="20" t="s">
        <v>17</v>
      </c>
      <c r="B872" s="42"/>
      <c r="C872" s="43"/>
      <c r="D872" s="43"/>
      <c r="E872" s="43"/>
      <c r="F872" s="43"/>
      <c r="G872" s="15"/>
      <c r="H872" s="16"/>
      <c r="I872" s="26"/>
      <c r="J872" s="25"/>
      <c r="K872" s="26"/>
      <c r="L872" s="26"/>
      <c r="M872" s="25"/>
      <c r="N872" s="25"/>
      <c r="O872" s="25"/>
      <c r="P872" s="25"/>
      <c r="Q872" s="25"/>
      <c r="R872" s="27">
        <f t="shared" ref="R872:R882" si="314">K872+I872+G872</f>
        <v>0</v>
      </c>
      <c r="T872" s="1"/>
      <c r="V872" s="1"/>
    </row>
    <row r="873" spans="1:22" x14ac:dyDescent="0.25">
      <c r="A873" s="20" t="s">
        <v>18</v>
      </c>
      <c r="B873" s="42"/>
      <c r="C873" s="43"/>
      <c r="D873" s="43"/>
      <c r="E873" s="43"/>
      <c r="F873" s="43"/>
      <c r="G873" s="15"/>
      <c r="H873" s="16"/>
      <c r="I873" s="26"/>
      <c r="J873" s="25"/>
      <c r="K873" s="26"/>
      <c r="L873" s="26"/>
      <c r="M873" s="25"/>
      <c r="N873" s="25"/>
      <c r="O873" s="25"/>
      <c r="P873" s="25"/>
      <c r="Q873" s="25"/>
      <c r="R873" s="27">
        <f t="shared" si="314"/>
        <v>0</v>
      </c>
      <c r="T873" s="1"/>
    </row>
    <row r="874" spans="1:22" x14ac:dyDescent="0.25">
      <c r="A874" s="20" t="s">
        <v>19</v>
      </c>
      <c r="B874" s="42"/>
      <c r="C874" s="43"/>
      <c r="D874" s="43"/>
      <c r="E874" s="43"/>
      <c r="F874" s="43"/>
      <c r="G874" s="15"/>
      <c r="H874" s="16"/>
      <c r="I874" s="26"/>
      <c r="J874" s="25"/>
      <c r="K874" s="26"/>
      <c r="L874" s="26"/>
      <c r="M874" s="25"/>
      <c r="N874" s="25"/>
      <c r="O874" s="25"/>
      <c r="P874" s="25"/>
      <c r="Q874" s="25"/>
      <c r="R874" s="27">
        <f t="shared" si="314"/>
        <v>0</v>
      </c>
      <c r="T874" s="1"/>
    </row>
    <row r="875" spans="1:22" x14ac:dyDescent="0.25">
      <c r="A875" s="20" t="s">
        <v>20</v>
      </c>
      <c r="B875" s="42"/>
      <c r="C875" s="43"/>
      <c r="D875" s="43"/>
      <c r="E875" s="43"/>
      <c r="F875" s="43"/>
      <c r="G875" s="15"/>
      <c r="H875" s="16"/>
      <c r="I875" s="26"/>
      <c r="J875" s="25"/>
      <c r="K875" s="26"/>
      <c r="L875" s="26"/>
      <c r="M875" s="25"/>
      <c r="N875" s="25"/>
      <c r="O875" s="25"/>
      <c r="P875" s="25"/>
      <c r="Q875" s="25"/>
      <c r="R875" s="27">
        <f t="shared" si="314"/>
        <v>0</v>
      </c>
      <c r="T875" s="1"/>
    </row>
    <row r="876" spans="1:22" x14ac:dyDescent="0.25">
      <c r="A876" s="20" t="s">
        <v>21</v>
      </c>
      <c r="B876" s="42"/>
      <c r="C876" s="43"/>
      <c r="D876" s="43"/>
      <c r="E876" s="43"/>
      <c r="F876" s="43"/>
      <c r="G876" s="15"/>
      <c r="H876" s="16"/>
      <c r="I876" s="26"/>
      <c r="J876" s="25"/>
      <c r="K876" s="26"/>
      <c r="L876" s="26"/>
      <c r="M876" s="25"/>
      <c r="N876" s="25"/>
      <c r="O876" s="25"/>
      <c r="P876" s="25"/>
      <c r="Q876" s="25"/>
      <c r="R876" s="27">
        <f t="shared" si="314"/>
        <v>0</v>
      </c>
      <c r="T876" s="1"/>
    </row>
    <row r="877" spans="1:22" x14ac:dyDescent="0.25">
      <c r="A877" s="20" t="s">
        <v>22</v>
      </c>
      <c r="B877" s="42"/>
      <c r="C877" s="43"/>
      <c r="D877" s="43"/>
      <c r="E877" s="43"/>
      <c r="F877" s="43"/>
      <c r="G877" s="15"/>
      <c r="H877" s="16"/>
      <c r="I877" s="26"/>
      <c r="J877" s="25"/>
      <c r="K877" s="26"/>
      <c r="L877" s="26"/>
      <c r="M877" s="25"/>
      <c r="N877" s="25"/>
      <c r="O877" s="25"/>
      <c r="P877" s="25"/>
      <c r="Q877" s="25"/>
      <c r="R877" s="27">
        <f t="shared" si="314"/>
        <v>0</v>
      </c>
      <c r="T877" s="1"/>
      <c r="V877" s="1"/>
    </row>
    <row r="878" spans="1:22" x14ac:dyDescent="0.25">
      <c r="A878" s="20" t="s">
        <v>23</v>
      </c>
      <c r="B878" s="42"/>
      <c r="C878" s="43"/>
      <c r="D878" s="43"/>
      <c r="E878" s="43"/>
      <c r="F878" s="43"/>
      <c r="G878" s="15"/>
      <c r="H878" s="16"/>
      <c r="I878" s="26"/>
      <c r="J878" s="25"/>
      <c r="K878" s="26"/>
      <c r="L878" s="26"/>
      <c r="M878" s="25"/>
      <c r="N878" s="25"/>
      <c r="O878" s="25"/>
      <c r="P878" s="25"/>
      <c r="Q878" s="25"/>
      <c r="R878" s="27">
        <f t="shared" si="314"/>
        <v>0</v>
      </c>
      <c r="T878" s="1"/>
      <c r="V878" s="1"/>
    </row>
    <row r="879" spans="1:22" x14ac:dyDescent="0.25">
      <c r="A879" s="20" t="s">
        <v>24</v>
      </c>
      <c r="B879" s="42"/>
      <c r="C879" s="43"/>
      <c r="D879" s="43"/>
      <c r="E879" s="43"/>
      <c r="F879" s="43"/>
      <c r="G879" s="15"/>
      <c r="H879" s="16"/>
      <c r="I879" s="26"/>
      <c r="J879" s="25"/>
      <c r="K879" s="26"/>
      <c r="L879" s="26"/>
      <c r="M879" s="25"/>
      <c r="N879" s="25"/>
      <c r="O879" s="25"/>
      <c r="P879" s="25"/>
      <c r="Q879" s="25"/>
      <c r="R879" s="27">
        <f t="shared" si="314"/>
        <v>0</v>
      </c>
      <c r="T879" s="1"/>
    </row>
    <row r="880" spans="1:22" x14ac:dyDescent="0.25">
      <c r="A880" s="20" t="s">
        <v>25</v>
      </c>
      <c r="B880" s="42"/>
      <c r="C880" s="43"/>
      <c r="D880" s="43"/>
      <c r="E880" s="43"/>
      <c r="F880" s="43"/>
      <c r="G880" s="15"/>
      <c r="H880" s="16"/>
      <c r="I880" s="26"/>
      <c r="J880" s="25"/>
      <c r="K880" s="26"/>
      <c r="L880" s="26"/>
      <c r="M880" s="25"/>
      <c r="N880" s="25"/>
      <c r="O880" s="25"/>
      <c r="P880" s="25"/>
      <c r="Q880" s="25"/>
      <c r="R880" s="27">
        <f t="shared" si="314"/>
        <v>0</v>
      </c>
      <c r="T880" s="1"/>
    </row>
    <row r="881" spans="1:22" x14ac:dyDescent="0.25">
      <c r="A881" s="20" t="s">
        <v>26</v>
      </c>
      <c r="B881" s="42"/>
      <c r="C881" s="43"/>
      <c r="D881" s="43"/>
      <c r="E881" s="43"/>
      <c r="F881" s="43"/>
      <c r="G881" s="15"/>
      <c r="H881" s="16"/>
      <c r="I881" s="26"/>
      <c r="J881" s="25"/>
      <c r="K881" s="26"/>
      <c r="L881" s="26"/>
      <c r="M881" s="25"/>
      <c r="N881" s="25"/>
      <c r="O881" s="25"/>
      <c r="P881" s="25"/>
      <c r="Q881" s="25"/>
      <c r="R881" s="27">
        <f t="shared" si="314"/>
        <v>0</v>
      </c>
    </row>
    <row r="882" spans="1:22" ht="15.75" thickBot="1" x14ac:dyDescent="0.3">
      <c r="A882" s="12" t="s">
        <v>15</v>
      </c>
      <c r="B882" s="44"/>
      <c r="C882" s="43"/>
      <c r="D882" s="43"/>
      <c r="E882" s="43"/>
      <c r="F882" s="43"/>
      <c r="G882" s="15"/>
      <c r="H882" s="16"/>
      <c r="I882" s="26"/>
      <c r="J882" s="25"/>
      <c r="K882" s="26"/>
      <c r="L882" s="26"/>
      <c r="M882" s="25"/>
      <c r="N882" s="25"/>
      <c r="O882" s="25"/>
      <c r="P882" s="25"/>
      <c r="Q882" s="25"/>
      <c r="R882" s="27">
        <f t="shared" si="314"/>
        <v>0</v>
      </c>
      <c r="T882" s="1"/>
    </row>
    <row r="883" spans="1:22" ht="15.75" thickBot="1" x14ac:dyDescent="0.3">
      <c r="A883" s="29" t="s">
        <v>0</v>
      </c>
      <c r="B883" s="30">
        <f t="shared" ref="B883:F883" si="315">SUM(B870:B882)</f>
        <v>0</v>
      </c>
      <c r="C883" s="30">
        <f t="shared" si="315"/>
        <v>0</v>
      </c>
      <c r="D883" s="30">
        <f t="shared" si="315"/>
        <v>0</v>
      </c>
      <c r="E883" s="30">
        <f t="shared" si="315"/>
        <v>0</v>
      </c>
      <c r="F883" s="30">
        <f t="shared" si="315"/>
        <v>0</v>
      </c>
      <c r="G883" s="15">
        <f>SUM(B883:F883)-2396505</f>
        <v>-2396505</v>
      </c>
      <c r="H883" s="32"/>
      <c r="I883" s="71" t="s">
        <v>27</v>
      </c>
      <c r="J883" s="72"/>
      <c r="K883" s="33">
        <f>SUM(K870:K882)</f>
        <v>0</v>
      </c>
      <c r="L883" s="34"/>
      <c r="M883" s="71" t="s">
        <v>28</v>
      </c>
      <c r="N883" s="73"/>
      <c r="O883" s="72"/>
      <c r="P883" s="33">
        <f>SUM(P870:P882)</f>
        <v>0</v>
      </c>
      <c r="Q883" s="34"/>
      <c r="R883" s="35"/>
      <c r="T883" s="1"/>
    </row>
    <row r="884" spans="1:22" s="36" customFormat="1" ht="15.75" thickBot="1" x14ac:dyDescent="0.3">
      <c r="C884" s="37"/>
      <c r="D884" s="37"/>
      <c r="F884" s="38"/>
      <c r="G884" s="38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T884" s="40"/>
    </row>
    <row r="885" spans="1:22" ht="15.75" customHeight="1" thickBot="1" x14ac:dyDescent="0.3">
      <c r="A885" s="2">
        <f>A868+1</f>
        <v>53</v>
      </c>
      <c r="B885" s="74" t="str">
        <f>VLOOKUP(A885,NAMA,2)</f>
        <v>DIAN RIFQI E, SPdI</v>
      </c>
      <c r="C885" s="75"/>
      <c r="D885" s="75"/>
      <c r="E885" s="75"/>
      <c r="F885" s="76"/>
      <c r="G885" s="3" t="s">
        <v>0</v>
      </c>
      <c r="H885" s="77" t="s">
        <v>1</v>
      </c>
      <c r="I885" s="78"/>
      <c r="J885" s="78"/>
      <c r="K885" s="78"/>
      <c r="L885" s="79"/>
      <c r="M885" s="80" t="s">
        <v>2</v>
      </c>
      <c r="N885" s="78"/>
      <c r="O885" s="78"/>
      <c r="P885" s="78"/>
      <c r="Q885" s="79"/>
      <c r="R885" s="69" t="s">
        <v>29</v>
      </c>
      <c r="T885" s="1"/>
    </row>
    <row r="886" spans="1:22" x14ac:dyDescent="0.25">
      <c r="A886" s="4" t="s">
        <v>4</v>
      </c>
      <c r="B886" s="5" t="s">
        <v>5</v>
      </c>
      <c r="C886" s="6" t="s">
        <v>6</v>
      </c>
      <c r="D886" s="6" t="s">
        <v>7</v>
      </c>
      <c r="E886" s="5" t="s">
        <v>8</v>
      </c>
      <c r="F886" s="5" t="s">
        <v>9</v>
      </c>
      <c r="G886" s="7" t="s">
        <v>10</v>
      </c>
      <c r="H886" s="8" t="s">
        <v>11</v>
      </c>
      <c r="I886" s="9" t="s">
        <v>0</v>
      </c>
      <c r="J886" s="9" t="s">
        <v>12</v>
      </c>
      <c r="K886" s="9" t="s">
        <v>13</v>
      </c>
      <c r="L886" s="10" t="s">
        <v>14</v>
      </c>
      <c r="M886" s="9" t="s">
        <v>11</v>
      </c>
      <c r="N886" s="9" t="s">
        <v>0</v>
      </c>
      <c r="O886" s="9" t="s">
        <v>12</v>
      </c>
      <c r="P886" s="9" t="s">
        <v>13</v>
      </c>
      <c r="Q886" s="10" t="s">
        <v>14</v>
      </c>
      <c r="R886" s="70"/>
      <c r="S886" s="11"/>
      <c r="T886" s="1"/>
    </row>
    <row r="887" spans="1:22" x14ac:dyDescent="0.25">
      <c r="A887" s="12" t="s">
        <v>15</v>
      </c>
      <c r="B887" s="41">
        <v>100000</v>
      </c>
      <c r="C887" s="41">
        <v>3300000</v>
      </c>
      <c r="D887" s="41">
        <v>577045</v>
      </c>
      <c r="E887" s="41">
        <v>800000</v>
      </c>
      <c r="F887" s="41">
        <v>0</v>
      </c>
      <c r="G887" s="15">
        <f t="shared" ref="G887" si="316">SUM(B887:F887)</f>
        <v>4777045</v>
      </c>
      <c r="H887" s="16"/>
      <c r="I887" s="17"/>
      <c r="J887" s="18"/>
      <c r="K887" s="17"/>
      <c r="L887" s="17"/>
      <c r="M887" s="17"/>
      <c r="N887" s="17"/>
      <c r="O887" s="17">
        <v>10000000</v>
      </c>
      <c r="P887" s="17"/>
      <c r="Q887" s="17"/>
      <c r="R887" s="19"/>
      <c r="T887" s="1"/>
    </row>
    <row r="888" spans="1:22" x14ac:dyDescent="0.25">
      <c r="A888" s="20" t="s">
        <v>16</v>
      </c>
      <c r="B888" s="42"/>
      <c r="C888" s="43">
        <v>100000</v>
      </c>
      <c r="D888" s="43">
        <v>10000</v>
      </c>
      <c r="E888" s="43">
        <v>100000</v>
      </c>
      <c r="F888" s="43">
        <v>0</v>
      </c>
      <c r="G888" s="15">
        <f t="shared" ref="G888:G900" si="317">SUM(B888:F888)</f>
        <v>210000</v>
      </c>
      <c r="H888" s="16"/>
      <c r="I888" s="26"/>
      <c r="J888" s="26">
        <v>20000000</v>
      </c>
      <c r="K888" s="26"/>
      <c r="L888" s="26"/>
      <c r="M888" s="25"/>
      <c r="N888" s="25"/>
      <c r="O888" s="17">
        <v>0</v>
      </c>
      <c r="P888" s="26">
        <f t="shared" ref="P888:P893" si="318">0.02*O887</f>
        <v>200000</v>
      </c>
      <c r="Q888" s="25"/>
      <c r="R888" s="27">
        <f>K888+I888+G888+P888</f>
        <v>410000</v>
      </c>
      <c r="T888" s="1"/>
    </row>
    <row r="889" spans="1:22" x14ac:dyDescent="0.25">
      <c r="A889" s="20" t="s">
        <v>17</v>
      </c>
      <c r="B889" s="42"/>
      <c r="C889" s="43">
        <v>100000</v>
      </c>
      <c r="D889" s="43">
        <v>10000</v>
      </c>
      <c r="E889" s="43">
        <v>100000</v>
      </c>
      <c r="F889" s="43">
        <v>0</v>
      </c>
      <c r="G889" s="15">
        <f t="shared" si="317"/>
        <v>210000</v>
      </c>
      <c r="H889" s="16">
        <v>1</v>
      </c>
      <c r="I889" s="26">
        <v>500000</v>
      </c>
      <c r="J889" s="25">
        <f t="shared" ref="J889:J893" si="319">J888-I889</f>
        <v>19500000</v>
      </c>
      <c r="K889" s="26">
        <f t="shared" ref="K889:K899" si="320">0.015*J888</f>
        <v>300000</v>
      </c>
      <c r="L889" s="26"/>
      <c r="M889" s="25"/>
      <c r="N889" s="25"/>
      <c r="O889" s="17">
        <v>0</v>
      </c>
      <c r="P889" s="26">
        <f t="shared" si="318"/>
        <v>0</v>
      </c>
      <c r="Q889" s="25"/>
      <c r="R889" s="27">
        <f t="shared" ref="R889:R899" si="321">K889+I889+G889+P889</f>
        <v>1010000</v>
      </c>
      <c r="T889" s="1"/>
      <c r="V889" s="1"/>
    </row>
    <row r="890" spans="1:22" x14ac:dyDescent="0.25">
      <c r="A890" s="20" t="s">
        <v>18</v>
      </c>
      <c r="B890" s="42"/>
      <c r="C890" s="43">
        <v>100000</v>
      </c>
      <c r="D890" s="43">
        <v>10000</v>
      </c>
      <c r="E890" s="43">
        <v>100000</v>
      </c>
      <c r="F890" s="43">
        <v>0</v>
      </c>
      <c r="G890" s="15">
        <f t="shared" si="317"/>
        <v>210000</v>
      </c>
      <c r="H890" s="16">
        <v>2</v>
      </c>
      <c r="I890" s="26">
        <v>500000</v>
      </c>
      <c r="J890" s="25">
        <f t="shared" si="319"/>
        <v>19000000</v>
      </c>
      <c r="K890" s="26">
        <f t="shared" si="320"/>
        <v>292500</v>
      </c>
      <c r="L890" s="26"/>
      <c r="M890" s="25"/>
      <c r="N890" s="25"/>
      <c r="O890" s="25"/>
      <c r="P890" s="26">
        <f t="shared" si="318"/>
        <v>0</v>
      </c>
      <c r="Q890" s="25"/>
      <c r="R890" s="27">
        <f t="shared" si="321"/>
        <v>1002500</v>
      </c>
      <c r="T890" s="1"/>
    </row>
    <row r="891" spans="1:22" x14ac:dyDescent="0.25">
      <c r="A891" s="20" t="s">
        <v>19</v>
      </c>
      <c r="B891" s="42"/>
      <c r="C891" s="43">
        <v>100000</v>
      </c>
      <c r="D891" s="43">
        <v>10000</v>
      </c>
      <c r="E891" s="43">
        <v>-1100000</v>
      </c>
      <c r="F891" s="43">
        <v>0</v>
      </c>
      <c r="G891" s="15">
        <f t="shared" si="317"/>
        <v>-990000</v>
      </c>
      <c r="H891" s="16">
        <v>3</v>
      </c>
      <c r="I891" s="26">
        <v>500000</v>
      </c>
      <c r="J891" s="25">
        <f t="shared" si="319"/>
        <v>18500000</v>
      </c>
      <c r="K891" s="26">
        <f t="shared" si="320"/>
        <v>285000</v>
      </c>
      <c r="L891" s="26"/>
      <c r="M891" s="25"/>
      <c r="N891" s="25"/>
      <c r="O891" s="25"/>
      <c r="P891" s="26">
        <f t="shared" si="318"/>
        <v>0</v>
      </c>
      <c r="Q891" s="25"/>
      <c r="R891" s="27">
        <f t="shared" si="321"/>
        <v>-205000</v>
      </c>
      <c r="T891" s="1"/>
    </row>
    <row r="892" spans="1:22" x14ac:dyDescent="0.25">
      <c r="A892" s="20" t="s">
        <v>20</v>
      </c>
      <c r="B892" s="42"/>
      <c r="C892" s="43">
        <v>100000</v>
      </c>
      <c r="D892" s="43">
        <v>10000</v>
      </c>
      <c r="E892" s="43">
        <v>100000</v>
      </c>
      <c r="F892" s="43">
        <v>0</v>
      </c>
      <c r="G892" s="15">
        <f t="shared" si="317"/>
        <v>210000</v>
      </c>
      <c r="H892" s="16">
        <v>4</v>
      </c>
      <c r="I892" s="26">
        <v>500000</v>
      </c>
      <c r="J892" s="25">
        <f t="shared" si="319"/>
        <v>18000000</v>
      </c>
      <c r="K892" s="26">
        <f t="shared" si="320"/>
        <v>277500</v>
      </c>
      <c r="L892" s="26"/>
      <c r="M892" s="25"/>
      <c r="N892" s="25"/>
      <c r="O892" s="25"/>
      <c r="P892" s="26">
        <f t="shared" si="318"/>
        <v>0</v>
      </c>
      <c r="Q892" s="25"/>
      <c r="R892" s="27">
        <f t="shared" si="321"/>
        <v>987500</v>
      </c>
      <c r="T892" s="1"/>
    </row>
    <row r="893" spans="1:22" x14ac:dyDescent="0.25">
      <c r="A893" s="20" t="s">
        <v>21</v>
      </c>
      <c r="B893" s="42"/>
      <c r="C893" s="43">
        <v>100000</v>
      </c>
      <c r="D893" s="43">
        <v>10000</v>
      </c>
      <c r="E893" s="43">
        <v>100000</v>
      </c>
      <c r="F893" s="43">
        <v>0</v>
      </c>
      <c r="G893" s="15">
        <f t="shared" si="317"/>
        <v>210000</v>
      </c>
      <c r="H893" s="16">
        <v>5</v>
      </c>
      <c r="I893" s="26">
        <v>18000000</v>
      </c>
      <c r="J893" s="25">
        <f t="shared" si="319"/>
        <v>0</v>
      </c>
      <c r="K893" s="26">
        <f t="shared" si="320"/>
        <v>270000</v>
      </c>
      <c r="L893" s="26"/>
      <c r="M893" s="25"/>
      <c r="N893" s="25"/>
      <c r="O893" s="25"/>
      <c r="P893" s="26">
        <f t="shared" si="318"/>
        <v>0</v>
      </c>
      <c r="Q893" s="25"/>
      <c r="R893" s="27">
        <f t="shared" si="321"/>
        <v>18480000</v>
      </c>
      <c r="T893" s="1"/>
    </row>
    <row r="894" spans="1:22" x14ac:dyDescent="0.25">
      <c r="A894" s="20" t="s">
        <v>22</v>
      </c>
      <c r="B894" s="42"/>
      <c r="C894" s="43">
        <v>100000</v>
      </c>
      <c r="D894" s="43">
        <v>10000</v>
      </c>
      <c r="E894" s="43">
        <v>100000</v>
      </c>
      <c r="F894" s="43">
        <v>0</v>
      </c>
      <c r="G894" s="15">
        <f t="shared" si="317"/>
        <v>210000</v>
      </c>
      <c r="H894" s="16"/>
      <c r="I894" s="26"/>
      <c r="J894" s="25"/>
      <c r="K894" s="26">
        <f t="shared" si="320"/>
        <v>0</v>
      </c>
      <c r="L894" s="26"/>
      <c r="M894" s="25"/>
      <c r="N894" s="25"/>
      <c r="O894" s="25"/>
      <c r="P894" s="26"/>
      <c r="Q894" s="25"/>
      <c r="R894" s="27">
        <f t="shared" si="321"/>
        <v>210000</v>
      </c>
      <c r="T894" s="1"/>
      <c r="V894" s="1"/>
    </row>
    <row r="895" spans="1:22" x14ac:dyDescent="0.25">
      <c r="A895" s="20" t="s">
        <v>23</v>
      </c>
      <c r="B895" s="42"/>
      <c r="C895" s="43">
        <v>100000</v>
      </c>
      <c r="D895" s="43">
        <v>10000</v>
      </c>
      <c r="E895" s="43">
        <v>100000</v>
      </c>
      <c r="F895" s="43">
        <v>0</v>
      </c>
      <c r="G895" s="15">
        <f t="shared" si="317"/>
        <v>210000</v>
      </c>
      <c r="H895" s="16"/>
      <c r="I895" s="26"/>
      <c r="J895" s="25"/>
      <c r="K895" s="26">
        <f t="shared" si="320"/>
        <v>0</v>
      </c>
      <c r="L895" s="26"/>
      <c r="M895" s="25"/>
      <c r="N895" s="25"/>
      <c r="O895" s="25"/>
      <c r="P895" s="26"/>
      <c r="Q895" s="25"/>
      <c r="R895" s="27">
        <f t="shared" si="321"/>
        <v>210000</v>
      </c>
      <c r="T895" s="1"/>
      <c r="V895" s="1"/>
    </row>
    <row r="896" spans="1:22" x14ac:dyDescent="0.25">
      <c r="A896" s="20" t="s">
        <v>24</v>
      </c>
      <c r="B896" s="42"/>
      <c r="C896" s="43">
        <v>100000</v>
      </c>
      <c r="D896" s="43">
        <v>10000</v>
      </c>
      <c r="E896" s="43">
        <v>100000</v>
      </c>
      <c r="F896" s="43">
        <v>0</v>
      </c>
      <c r="G896" s="15">
        <f t="shared" si="317"/>
        <v>210000</v>
      </c>
      <c r="H896" s="16"/>
      <c r="I896" s="26"/>
      <c r="J896" s="25"/>
      <c r="K896" s="26"/>
      <c r="L896" s="26"/>
      <c r="M896" s="25"/>
      <c r="N896" s="25"/>
      <c r="O896" s="25">
        <v>5000000</v>
      </c>
      <c r="P896" s="25"/>
      <c r="Q896" s="25"/>
      <c r="R896" s="27">
        <f t="shared" si="321"/>
        <v>210000</v>
      </c>
      <c r="T896" s="1"/>
    </row>
    <row r="897" spans="1:22" x14ac:dyDescent="0.25">
      <c r="A897" s="20" t="s">
        <v>25</v>
      </c>
      <c r="B897" s="42"/>
      <c r="C897" s="43">
        <v>100000</v>
      </c>
      <c r="D897" s="43">
        <v>10000</v>
      </c>
      <c r="E897" s="43">
        <v>100000</v>
      </c>
      <c r="F897" s="43">
        <v>0</v>
      </c>
      <c r="G897" s="15">
        <f t="shared" si="317"/>
        <v>210000</v>
      </c>
      <c r="H897" s="16"/>
      <c r="I897" s="26"/>
      <c r="J897" s="25"/>
      <c r="K897" s="26"/>
      <c r="L897" s="26"/>
      <c r="M897" s="25"/>
      <c r="N897" s="25"/>
      <c r="O897" s="25">
        <v>5000000</v>
      </c>
      <c r="P897" s="26">
        <f t="shared" ref="P897:P899" si="322">0.02*O896</f>
        <v>100000</v>
      </c>
      <c r="Q897" s="25"/>
      <c r="R897" s="27">
        <f t="shared" si="321"/>
        <v>310000</v>
      </c>
      <c r="T897" s="1"/>
    </row>
    <row r="898" spans="1:22" x14ac:dyDescent="0.25">
      <c r="A898" s="20" t="s">
        <v>26</v>
      </c>
      <c r="B898" s="42"/>
      <c r="C898" s="43">
        <v>100000</v>
      </c>
      <c r="D898" s="43">
        <v>10000</v>
      </c>
      <c r="E898" s="43">
        <v>100000</v>
      </c>
      <c r="F898" s="43">
        <v>0</v>
      </c>
      <c r="G898" s="15">
        <f t="shared" si="317"/>
        <v>210000</v>
      </c>
      <c r="H898" s="16"/>
      <c r="I898" s="26"/>
      <c r="J898" s="25"/>
      <c r="K898" s="26"/>
      <c r="L898" s="26"/>
      <c r="M898" s="25"/>
      <c r="N898" s="25">
        <v>2000000</v>
      </c>
      <c r="O898" s="25">
        <f>O897-N898</f>
        <v>3000000</v>
      </c>
      <c r="P898" s="26">
        <f t="shared" si="322"/>
        <v>100000</v>
      </c>
      <c r="Q898" s="25"/>
      <c r="R898" s="27">
        <f t="shared" si="321"/>
        <v>310000</v>
      </c>
    </row>
    <row r="899" spans="1:22" ht="15.75" thickBot="1" x14ac:dyDescent="0.3">
      <c r="A899" s="12" t="s">
        <v>15</v>
      </c>
      <c r="B899" s="44"/>
      <c r="C899" s="43">
        <v>100000</v>
      </c>
      <c r="D899" s="43">
        <v>10000</v>
      </c>
      <c r="E899" s="43">
        <v>100000</v>
      </c>
      <c r="F899" s="43">
        <v>0</v>
      </c>
      <c r="G899" s="15">
        <f t="shared" si="317"/>
        <v>210000</v>
      </c>
      <c r="H899" s="16"/>
      <c r="I899" s="26"/>
      <c r="J899" s="25"/>
      <c r="K899" s="26">
        <f t="shared" si="320"/>
        <v>0</v>
      </c>
      <c r="L899" s="26"/>
      <c r="M899" s="25" t="s">
        <v>35</v>
      </c>
      <c r="N899" s="25"/>
      <c r="O899" s="25">
        <f>O898-N899</f>
        <v>3000000</v>
      </c>
      <c r="P899" s="26">
        <f t="shared" si="322"/>
        <v>60000</v>
      </c>
      <c r="Q899" s="25"/>
      <c r="R899" s="27">
        <f t="shared" si="321"/>
        <v>270000</v>
      </c>
      <c r="T899" s="1"/>
    </row>
    <row r="900" spans="1:22" ht="15.75" thickBot="1" x14ac:dyDescent="0.3">
      <c r="A900" s="29" t="s">
        <v>0</v>
      </c>
      <c r="B900" s="30">
        <f t="shared" ref="B900:F900" si="323">SUM(B887:B899)</f>
        <v>100000</v>
      </c>
      <c r="C900" s="30">
        <f t="shared" si="323"/>
        <v>4500000</v>
      </c>
      <c r="D900" s="30">
        <f t="shared" si="323"/>
        <v>697045</v>
      </c>
      <c r="E900" s="30">
        <f t="shared" si="323"/>
        <v>800000</v>
      </c>
      <c r="F900" s="30">
        <f t="shared" si="323"/>
        <v>0</v>
      </c>
      <c r="G900" s="15">
        <f t="shared" si="317"/>
        <v>6097045</v>
      </c>
      <c r="H900" s="32"/>
      <c r="I900" s="71" t="s">
        <v>27</v>
      </c>
      <c r="J900" s="72"/>
      <c r="K900" s="33">
        <f>SUM(K887:K899)</f>
        <v>1425000</v>
      </c>
      <c r="L900" s="34"/>
      <c r="M900" s="62" t="s">
        <v>28</v>
      </c>
      <c r="N900" s="63"/>
      <c r="O900" s="33"/>
      <c r="P900" s="33">
        <f>SUM(P887:P899)</f>
        <v>460000</v>
      </c>
      <c r="Q900" s="34"/>
      <c r="R900" s="35"/>
      <c r="T900" s="1"/>
    </row>
    <row r="901" spans="1:22" s="36" customFormat="1" ht="15.75" thickBot="1" x14ac:dyDescent="0.3">
      <c r="C901" s="37"/>
      <c r="D901" s="37"/>
      <c r="F901" s="38"/>
      <c r="G901" s="38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T901" s="40"/>
    </row>
    <row r="902" spans="1:22" ht="15.75" customHeight="1" thickBot="1" x14ac:dyDescent="0.3">
      <c r="A902" s="2">
        <f>A885+1</f>
        <v>54</v>
      </c>
      <c r="B902" s="74" t="str">
        <f>VLOOKUP(A902,NAMA,2)</f>
        <v>ROHMADIANI R</v>
      </c>
      <c r="C902" s="75"/>
      <c r="D902" s="75"/>
      <c r="E902" s="75"/>
      <c r="F902" s="76"/>
      <c r="G902" s="3" t="s">
        <v>0</v>
      </c>
      <c r="H902" s="77" t="s">
        <v>1</v>
      </c>
      <c r="I902" s="78"/>
      <c r="J902" s="78"/>
      <c r="K902" s="78"/>
      <c r="L902" s="79"/>
      <c r="M902" s="80" t="s">
        <v>2</v>
      </c>
      <c r="N902" s="78"/>
      <c r="O902" s="78"/>
      <c r="P902" s="78"/>
      <c r="Q902" s="79"/>
      <c r="R902" s="69" t="s">
        <v>29</v>
      </c>
      <c r="T902" s="1"/>
    </row>
    <row r="903" spans="1:22" x14ac:dyDescent="0.25">
      <c r="A903" s="4" t="s">
        <v>4</v>
      </c>
      <c r="B903" s="5" t="s">
        <v>5</v>
      </c>
      <c r="C903" s="6" t="s">
        <v>6</v>
      </c>
      <c r="D903" s="6" t="s">
        <v>7</v>
      </c>
      <c r="E903" s="5" t="s">
        <v>8</v>
      </c>
      <c r="F903" s="5" t="s">
        <v>9</v>
      </c>
      <c r="G903" s="7" t="s">
        <v>10</v>
      </c>
      <c r="H903" s="8" t="s">
        <v>11</v>
      </c>
      <c r="I903" s="9" t="s">
        <v>0</v>
      </c>
      <c r="J903" s="9" t="s">
        <v>12</v>
      </c>
      <c r="K903" s="9" t="s">
        <v>13</v>
      </c>
      <c r="L903" s="10" t="s">
        <v>14</v>
      </c>
      <c r="M903" s="27"/>
      <c r="N903" s="9" t="s">
        <v>0</v>
      </c>
      <c r="O903" s="9" t="s">
        <v>12</v>
      </c>
      <c r="P903" s="9" t="s">
        <v>13</v>
      </c>
      <c r="Q903" s="10" t="s">
        <v>14</v>
      </c>
      <c r="R903" s="70"/>
      <c r="S903" s="11"/>
      <c r="T903" s="1"/>
    </row>
    <row r="904" spans="1:22" x14ac:dyDescent="0.25">
      <c r="A904" s="12" t="s">
        <v>15</v>
      </c>
      <c r="B904" s="41">
        <v>100000</v>
      </c>
      <c r="C904" s="41">
        <v>4260000</v>
      </c>
      <c r="D904" s="41">
        <v>1963355</v>
      </c>
      <c r="E904" s="41">
        <v>800000</v>
      </c>
      <c r="F904" s="41">
        <v>2130000</v>
      </c>
      <c r="G904" s="15">
        <f t="shared" ref="G904" si="324">SUM(B904:F904)</f>
        <v>9253355</v>
      </c>
      <c r="H904" s="16"/>
      <c r="I904" s="17"/>
      <c r="J904" s="18">
        <v>10800000</v>
      </c>
      <c r="K904" s="17"/>
      <c r="L904" s="17"/>
      <c r="M904" s="17"/>
      <c r="N904" s="17"/>
      <c r="O904" s="17"/>
      <c r="P904" s="17"/>
      <c r="Q904" s="17"/>
      <c r="R904" s="19"/>
      <c r="T904" s="1"/>
    </row>
    <row r="905" spans="1:22" x14ac:dyDescent="0.25">
      <c r="A905" s="20" t="s">
        <v>16</v>
      </c>
      <c r="B905" s="42"/>
      <c r="C905" s="43">
        <v>100000</v>
      </c>
      <c r="D905" s="43">
        <v>10000</v>
      </c>
      <c r="E905" s="43">
        <v>100000</v>
      </c>
      <c r="F905" s="43">
        <v>100000</v>
      </c>
      <c r="G905" s="15">
        <f t="shared" ref="G905:G917" si="325">SUM(B905:F905)</f>
        <v>310000</v>
      </c>
      <c r="H905" s="16">
        <v>8</v>
      </c>
      <c r="I905" s="26">
        <v>600000</v>
      </c>
      <c r="J905" s="25">
        <f>J904-I905+10000000</f>
        <v>20200000</v>
      </c>
      <c r="K905" s="26">
        <f t="shared" ref="K905:K906" si="326">0.015*J904</f>
        <v>162000</v>
      </c>
      <c r="L905" s="26"/>
      <c r="M905" s="25"/>
      <c r="N905" s="25"/>
      <c r="O905" s="25"/>
      <c r="P905" s="25"/>
      <c r="Q905" s="25"/>
      <c r="R905" s="27">
        <f>K905+I905+G905</f>
        <v>1072000</v>
      </c>
      <c r="T905" s="1"/>
    </row>
    <row r="906" spans="1:22" x14ac:dyDescent="0.25">
      <c r="A906" s="20" t="s">
        <v>17</v>
      </c>
      <c r="B906" s="42"/>
      <c r="C906" s="43">
        <v>100000</v>
      </c>
      <c r="D906" s="43">
        <v>10000</v>
      </c>
      <c r="E906" s="43">
        <v>100000</v>
      </c>
      <c r="F906" s="43">
        <v>100000</v>
      </c>
      <c r="G906" s="15">
        <f t="shared" si="325"/>
        <v>310000</v>
      </c>
      <c r="H906" s="16">
        <v>9</v>
      </c>
      <c r="I906" s="26">
        <v>600000</v>
      </c>
      <c r="J906" s="25">
        <f t="shared" ref="J906:J916" si="327">J905-I906</f>
        <v>19600000</v>
      </c>
      <c r="K906" s="26">
        <f t="shared" si="326"/>
        <v>303000</v>
      </c>
      <c r="L906" s="26"/>
      <c r="M906" s="25"/>
      <c r="N906" s="25"/>
      <c r="O906" s="25"/>
      <c r="P906" s="25"/>
      <c r="Q906" s="25"/>
      <c r="R906" s="27">
        <f t="shared" ref="R906:R916" si="328">K906+I906+G906</f>
        <v>1213000</v>
      </c>
      <c r="T906" s="1"/>
      <c r="V906" s="1"/>
    </row>
    <row r="907" spans="1:22" x14ac:dyDescent="0.25">
      <c r="A907" s="20" t="s">
        <v>18</v>
      </c>
      <c r="B907" s="42"/>
      <c r="C907" s="43">
        <v>100000</v>
      </c>
      <c r="D907" s="43">
        <v>10000</v>
      </c>
      <c r="E907" s="43">
        <v>100000</v>
      </c>
      <c r="F907" s="43">
        <v>100000</v>
      </c>
      <c r="G907" s="15">
        <f t="shared" si="325"/>
        <v>310000</v>
      </c>
      <c r="H907" s="16">
        <v>10</v>
      </c>
      <c r="I907" s="26">
        <v>600000</v>
      </c>
      <c r="J907" s="25">
        <f t="shared" si="327"/>
        <v>19000000</v>
      </c>
      <c r="K907" s="26">
        <f t="shared" ref="K907:K916" si="329">0.015*J906</f>
        <v>294000</v>
      </c>
      <c r="L907" s="26"/>
      <c r="M907" s="25"/>
      <c r="N907" s="25"/>
      <c r="O907" s="25"/>
      <c r="P907" s="25"/>
      <c r="Q907" s="25"/>
      <c r="R907" s="27">
        <f t="shared" si="328"/>
        <v>1204000</v>
      </c>
      <c r="T907" s="1"/>
    </row>
    <row r="908" spans="1:22" x14ac:dyDescent="0.25">
      <c r="A908" s="20" t="s">
        <v>19</v>
      </c>
      <c r="B908" s="42"/>
      <c r="C908" s="43">
        <v>100000</v>
      </c>
      <c r="D908" s="43">
        <v>10000</v>
      </c>
      <c r="E908" s="43">
        <v>-1100000</v>
      </c>
      <c r="F908" s="43">
        <v>100000</v>
      </c>
      <c r="G908" s="15">
        <f t="shared" si="325"/>
        <v>-890000</v>
      </c>
      <c r="H908" s="16">
        <v>11</v>
      </c>
      <c r="I908" s="26">
        <v>600000</v>
      </c>
      <c r="J908" s="25">
        <f t="shared" si="327"/>
        <v>18400000</v>
      </c>
      <c r="K908" s="26">
        <f t="shared" si="329"/>
        <v>285000</v>
      </c>
      <c r="L908" s="26"/>
      <c r="M908" s="25"/>
      <c r="N908" s="25"/>
      <c r="O908" s="25"/>
      <c r="P908" s="25"/>
      <c r="Q908" s="25"/>
      <c r="R908" s="27">
        <f t="shared" si="328"/>
        <v>-5000</v>
      </c>
      <c r="T908" s="1"/>
    </row>
    <row r="909" spans="1:22" x14ac:dyDescent="0.25">
      <c r="A909" s="20" t="s">
        <v>20</v>
      </c>
      <c r="B909" s="42"/>
      <c r="C909" s="43">
        <v>100000</v>
      </c>
      <c r="D909" s="43">
        <v>10000</v>
      </c>
      <c r="E909" s="43">
        <v>100000</v>
      </c>
      <c r="F909" s="43">
        <v>100000</v>
      </c>
      <c r="G909" s="15">
        <f t="shared" si="325"/>
        <v>310000</v>
      </c>
      <c r="H909" s="16">
        <v>12</v>
      </c>
      <c r="I909" s="26">
        <v>600000</v>
      </c>
      <c r="J909" s="25">
        <f t="shared" si="327"/>
        <v>17800000</v>
      </c>
      <c r="K909" s="26">
        <f t="shared" si="329"/>
        <v>276000</v>
      </c>
      <c r="L909" s="26"/>
      <c r="M909" s="25"/>
      <c r="N909" s="25"/>
      <c r="O909" s="25"/>
      <c r="P909" s="25"/>
      <c r="Q909" s="25"/>
      <c r="R909" s="27">
        <f t="shared" si="328"/>
        <v>1186000</v>
      </c>
      <c r="T909" s="1"/>
    </row>
    <row r="910" spans="1:22" x14ac:dyDescent="0.25">
      <c r="A910" s="20" t="s">
        <v>21</v>
      </c>
      <c r="B910" s="42"/>
      <c r="C910" s="43">
        <v>100000</v>
      </c>
      <c r="D910" s="43">
        <v>10000</v>
      </c>
      <c r="E910" s="43">
        <v>100000</v>
      </c>
      <c r="F910" s="43">
        <v>100000</v>
      </c>
      <c r="G910" s="15">
        <f t="shared" si="325"/>
        <v>310000</v>
      </c>
      <c r="H910" s="16">
        <v>13</v>
      </c>
      <c r="I910" s="26">
        <v>600000</v>
      </c>
      <c r="J910" s="25">
        <f t="shared" si="327"/>
        <v>17200000</v>
      </c>
      <c r="K910" s="26">
        <f t="shared" si="329"/>
        <v>267000</v>
      </c>
      <c r="L910" s="26"/>
      <c r="M910" s="25"/>
      <c r="N910" s="25"/>
      <c r="O910" s="25"/>
      <c r="P910" s="25"/>
      <c r="Q910" s="25"/>
      <c r="R910" s="27">
        <f t="shared" si="328"/>
        <v>1177000</v>
      </c>
      <c r="T910" s="1"/>
    </row>
    <row r="911" spans="1:22" x14ac:dyDescent="0.25">
      <c r="A911" s="20" t="s">
        <v>22</v>
      </c>
      <c r="B911" s="42"/>
      <c r="C911" s="43">
        <v>100000</v>
      </c>
      <c r="D911" s="43">
        <v>10000</v>
      </c>
      <c r="E911" s="43">
        <v>100000</v>
      </c>
      <c r="F911" s="43">
        <v>5100000</v>
      </c>
      <c r="G911" s="15">
        <f t="shared" si="325"/>
        <v>5310000</v>
      </c>
      <c r="H911" s="16">
        <v>14</v>
      </c>
      <c r="I911" s="26">
        <v>600000</v>
      </c>
      <c r="J911" s="25">
        <f t="shared" si="327"/>
        <v>16600000</v>
      </c>
      <c r="K911" s="26">
        <f t="shared" si="329"/>
        <v>258000</v>
      </c>
      <c r="L911" s="26"/>
      <c r="M911" s="25"/>
      <c r="N911" s="25"/>
      <c r="O911" s="25"/>
      <c r="P911" s="25"/>
      <c r="Q911" s="25"/>
      <c r="R911" s="27">
        <f t="shared" si="328"/>
        <v>6168000</v>
      </c>
      <c r="T911" s="1"/>
      <c r="V911" s="1"/>
    </row>
    <row r="912" spans="1:22" x14ac:dyDescent="0.25">
      <c r="A912" s="20" t="s">
        <v>23</v>
      </c>
      <c r="B912" s="42"/>
      <c r="C912" s="43">
        <v>100000</v>
      </c>
      <c r="D912" s="43">
        <v>10000</v>
      </c>
      <c r="E912" s="43">
        <v>100000</v>
      </c>
      <c r="F912" s="43">
        <v>-6900000</v>
      </c>
      <c r="G912" s="15">
        <f t="shared" si="325"/>
        <v>-6690000</v>
      </c>
      <c r="H912" s="16">
        <v>15</v>
      </c>
      <c r="I912" s="26">
        <v>600000</v>
      </c>
      <c r="J912" s="25">
        <f t="shared" si="327"/>
        <v>16000000</v>
      </c>
      <c r="K912" s="26">
        <f t="shared" si="329"/>
        <v>249000</v>
      </c>
      <c r="L912" s="26"/>
      <c r="M912" s="25"/>
      <c r="N912" s="25"/>
      <c r="O912" s="25"/>
      <c r="P912" s="25"/>
      <c r="Q912" s="25"/>
      <c r="R912" s="27">
        <f t="shared" si="328"/>
        <v>-5841000</v>
      </c>
      <c r="T912" s="1"/>
      <c r="V912" s="1"/>
    </row>
    <row r="913" spans="1:22" x14ac:dyDescent="0.25">
      <c r="A913" s="20" t="s">
        <v>24</v>
      </c>
      <c r="B913" s="42"/>
      <c r="C913" s="43">
        <v>100000</v>
      </c>
      <c r="D913" s="43">
        <v>10000</v>
      </c>
      <c r="E913" s="43">
        <v>100000</v>
      </c>
      <c r="F913" s="43">
        <v>100000</v>
      </c>
      <c r="G913" s="15">
        <f t="shared" si="325"/>
        <v>310000</v>
      </c>
      <c r="H913" s="16">
        <v>16</v>
      </c>
      <c r="I913" s="26">
        <v>600000</v>
      </c>
      <c r="J913" s="25">
        <f t="shared" si="327"/>
        <v>15400000</v>
      </c>
      <c r="K913" s="26">
        <f t="shared" si="329"/>
        <v>240000</v>
      </c>
      <c r="L913" s="26"/>
      <c r="M913" s="25"/>
      <c r="N913" s="25"/>
      <c r="O913" s="25"/>
      <c r="P913" s="25"/>
      <c r="Q913" s="25"/>
      <c r="R913" s="27">
        <f t="shared" si="328"/>
        <v>1150000</v>
      </c>
      <c r="T913" s="1"/>
    </row>
    <row r="914" spans="1:22" x14ac:dyDescent="0.25">
      <c r="A914" s="20" t="s">
        <v>25</v>
      </c>
      <c r="B914" s="42"/>
      <c r="C914" s="43">
        <v>100000</v>
      </c>
      <c r="D914" s="43">
        <v>10000</v>
      </c>
      <c r="E914" s="43">
        <v>100000</v>
      </c>
      <c r="F914" s="43">
        <v>100000</v>
      </c>
      <c r="G914" s="15">
        <f t="shared" si="325"/>
        <v>310000</v>
      </c>
      <c r="H914" s="16">
        <v>17</v>
      </c>
      <c r="I914" s="26">
        <v>600000</v>
      </c>
      <c r="J914" s="25">
        <f t="shared" si="327"/>
        <v>14800000</v>
      </c>
      <c r="K914" s="26">
        <f t="shared" si="329"/>
        <v>231000</v>
      </c>
      <c r="L914" s="26"/>
      <c r="M914" s="25"/>
      <c r="N914" s="25"/>
      <c r="O914" s="25"/>
      <c r="P914" s="25"/>
      <c r="Q914" s="25"/>
      <c r="R914" s="27">
        <f t="shared" si="328"/>
        <v>1141000</v>
      </c>
      <c r="T914" s="1"/>
    </row>
    <row r="915" spans="1:22" x14ac:dyDescent="0.25">
      <c r="A915" s="20" t="s">
        <v>26</v>
      </c>
      <c r="B915" s="42"/>
      <c r="C915" s="43">
        <v>100000</v>
      </c>
      <c r="D915" s="43">
        <v>10000</v>
      </c>
      <c r="E915" s="43">
        <v>100000</v>
      </c>
      <c r="F915" s="43">
        <v>100000</v>
      </c>
      <c r="G915" s="15">
        <f t="shared" si="325"/>
        <v>310000</v>
      </c>
      <c r="H915" s="16">
        <v>18</v>
      </c>
      <c r="I915" s="26">
        <v>600000</v>
      </c>
      <c r="J915" s="25">
        <f t="shared" si="327"/>
        <v>14200000</v>
      </c>
      <c r="K915" s="26">
        <f t="shared" si="329"/>
        <v>222000</v>
      </c>
      <c r="L915" s="26"/>
      <c r="M915" s="25"/>
      <c r="N915" s="25"/>
      <c r="O915" s="25"/>
      <c r="P915" s="25"/>
      <c r="Q915" s="25"/>
      <c r="R915" s="27">
        <f t="shared" si="328"/>
        <v>1132000</v>
      </c>
    </row>
    <row r="916" spans="1:22" ht="15.75" thickBot="1" x14ac:dyDescent="0.3">
      <c r="A916" s="12" t="s">
        <v>15</v>
      </c>
      <c r="B916" s="44"/>
      <c r="C916" s="43">
        <v>100000</v>
      </c>
      <c r="D916" s="43">
        <v>10000</v>
      </c>
      <c r="E916" s="43">
        <v>100000</v>
      </c>
      <c r="F916" s="43">
        <v>100000</v>
      </c>
      <c r="G916" s="15">
        <f t="shared" si="325"/>
        <v>310000</v>
      </c>
      <c r="H916" s="16">
        <v>19</v>
      </c>
      <c r="I916" s="26">
        <v>600000</v>
      </c>
      <c r="J916" s="25">
        <f t="shared" si="327"/>
        <v>13600000</v>
      </c>
      <c r="K916" s="26">
        <f t="shared" si="329"/>
        <v>213000</v>
      </c>
      <c r="L916" s="26"/>
      <c r="M916" s="25"/>
      <c r="N916" s="25"/>
      <c r="O916" s="25"/>
      <c r="P916" s="25"/>
      <c r="Q916" s="25"/>
      <c r="R916" s="27">
        <f t="shared" si="328"/>
        <v>1123000</v>
      </c>
      <c r="T916" s="1"/>
    </row>
    <row r="917" spans="1:22" ht="15.75" thickBot="1" x14ac:dyDescent="0.3">
      <c r="A917" s="29" t="s">
        <v>0</v>
      </c>
      <c r="B917" s="30">
        <f t="shared" ref="B917:F917" si="330">SUM(B904:B916)</f>
        <v>100000</v>
      </c>
      <c r="C917" s="30">
        <f t="shared" si="330"/>
        <v>5460000</v>
      </c>
      <c r="D917" s="30">
        <f t="shared" si="330"/>
        <v>2083355</v>
      </c>
      <c r="E917" s="30">
        <f t="shared" si="330"/>
        <v>800000</v>
      </c>
      <c r="F917" s="30">
        <f t="shared" si="330"/>
        <v>1330000</v>
      </c>
      <c r="G917" s="15">
        <f t="shared" si="325"/>
        <v>9773355</v>
      </c>
      <c r="H917" s="32"/>
      <c r="I917" s="71" t="s">
        <v>27</v>
      </c>
      <c r="J917" s="72"/>
      <c r="K917" s="33">
        <f>SUM(K904:K916)</f>
        <v>3000000</v>
      </c>
      <c r="L917" s="34"/>
      <c r="M917" s="71" t="s">
        <v>28</v>
      </c>
      <c r="N917" s="73"/>
      <c r="O917" s="72"/>
      <c r="P917" s="33">
        <f>SUM(P904:P916)</f>
        <v>0</v>
      </c>
      <c r="Q917" s="34"/>
      <c r="R917" s="35"/>
      <c r="T917" s="1"/>
    </row>
    <row r="918" spans="1:22" s="36" customFormat="1" ht="15.75" thickBot="1" x14ac:dyDescent="0.3">
      <c r="C918" s="37"/>
      <c r="D918" s="37"/>
      <c r="F918" s="38"/>
      <c r="G918" s="38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T918" s="40"/>
    </row>
    <row r="919" spans="1:22" ht="15.75" customHeight="1" thickBot="1" x14ac:dyDescent="0.3">
      <c r="A919" s="2">
        <f>A902+1</f>
        <v>55</v>
      </c>
      <c r="B919" s="74" t="str">
        <f>VLOOKUP(A919,NAMA,2)</f>
        <v>ZAENAL ARIFIN</v>
      </c>
      <c r="C919" s="75"/>
      <c r="D919" s="75"/>
      <c r="E919" s="75"/>
      <c r="F919" s="76"/>
      <c r="G919" s="3" t="s">
        <v>0</v>
      </c>
      <c r="H919" s="77" t="s">
        <v>1</v>
      </c>
      <c r="I919" s="78"/>
      <c r="J919" s="78"/>
      <c r="K919" s="78"/>
      <c r="L919" s="79"/>
      <c r="M919" s="80" t="s">
        <v>35</v>
      </c>
      <c r="N919" s="78"/>
      <c r="O919" s="78"/>
      <c r="P919" s="78"/>
      <c r="Q919" s="79"/>
      <c r="R919" s="69" t="s">
        <v>29</v>
      </c>
      <c r="T919" s="1"/>
    </row>
    <row r="920" spans="1:22" x14ac:dyDescent="0.25">
      <c r="A920" s="4" t="s">
        <v>4</v>
      </c>
      <c r="B920" s="5" t="s">
        <v>5</v>
      </c>
      <c r="C920" s="6" t="s">
        <v>6</v>
      </c>
      <c r="D920" s="6" t="s">
        <v>7</v>
      </c>
      <c r="E920" s="5" t="s">
        <v>8</v>
      </c>
      <c r="F920" s="5" t="s">
        <v>9</v>
      </c>
      <c r="G920" s="7" t="s">
        <v>10</v>
      </c>
      <c r="H920" s="8" t="s">
        <v>11</v>
      </c>
      <c r="I920" s="9" t="s">
        <v>0</v>
      </c>
      <c r="J920" s="9" t="s">
        <v>12</v>
      </c>
      <c r="K920" s="9" t="s">
        <v>13</v>
      </c>
      <c r="L920" s="10" t="s">
        <v>14</v>
      </c>
      <c r="M920" s="9" t="s">
        <v>11</v>
      </c>
      <c r="N920" s="9" t="s">
        <v>0</v>
      </c>
      <c r="O920" s="9" t="s">
        <v>12</v>
      </c>
      <c r="P920" s="9" t="s">
        <v>13</v>
      </c>
      <c r="Q920" s="10" t="s">
        <v>14</v>
      </c>
      <c r="R920" s="70"/>
      <c r="S920" s="11"/>
      <c r="T920" s="1"/>
    </row>
    <row r="921" spans="1:22" x14ac:dyDescent="0.25">
      <c r="A921" s="12" t="s">
        <v>15</v>
      </c>
      <c r="B921" s="41">
        <v>25000</v>
      </c>
      <c r="C921" s="41">
        <v>2750000</v>
      </c>
      <c r="D921" s="41">
        <v>6091343</v>
      </c>
      <c r="E921" s="41">
        <v>400000</v>
      </c>
      <c r="F921" s="41">
        <v>0</v>
      </c>
      <c r="G921" s="15">
        <f t="shared" ref="G921" si="331">SUM(B921:F921)</f>
        <v>9266343</v>
      </c>
      <c r="H921" s="16"/>
      <c r="I921" s="17"/>
      <c r="J921" s="18"/>
      <c r="K921" s="17"/>
      <c r="L921" s="17"/>
      <c r="M921" s="17"/>
      <c r="N921" s="17"/>
      <c r="O921" s="17"/>
      <c r="P921" s="17"/>
      <c r="Q921" s="17"/>
      <c r="R921" s="19"/>
      <c r="T921" s="1"/>
    </row>
    <row r="922" spans="1:22" x14ac:dyDescent="0.25">
      <c r="A922" s="20" t="s">
        <v>16</v>
      </c>
      <c r="B922" s="42"/>
      <c r="C922" s="43">
        <v>15000</v>
      </c>
      <c r="D922" s="43">
        <v>35000</v>
      </c>
      <c r="E922" s="43">
        <v>50000</v>
      </c>
      <c r="F922" s="43">
        <v>0</v>
      </c>
      <c r="G922" s="15">
        <f t="shared" ref="G922:G934" si="332">SUM(B922:F922)</f>
        <v>100000</v>
      </c>
      <c r="H922" s="16"/>
      <c r="I922" s="26"/>
      <c r="J922" s="25"/>
      <c r="K922" s="26"/>
      <c r="L922" s="26"/>
      <c r="M922" s="25"/>
      <c r="N922" s="25"/>
      <c r="O922" s="25"/>
      <c r="P922" s="25"/>
      <c r="Q922" s="25"/>
      <c r="R922" s="27">
        <f>G922</f>
        <v>100000</v>
      </c>
      <c r="T922" s="1"/>
    </row>
    <row r="923" spans="1:22" x14ac:dyDescent="0.25">
      <c r="A923" s="20" t="s">
        <v>17</v>
      </c>
      <c r="B923" s="42"/>
      <c r="C923" s="43">
        <v>15000</v>
      </c>
      <c r="D923" s="43">
        <v>-965000</v>
      </c>
      <c r="E923" s="43">
        <v>50000</v>
      </c>
      <c r="F923" s="43">
        <v>0</v>
      </c>
      <c r="G923" s="15">
        <f t="shared" si="332"/>
        <v>-900000</v>
      </c>
      <c r="H923" s="16"/>
      <c r="I923" s="26"/>
      <c r="J923" s="25"/>
      <c r="K923" s="26"/>
      <c r="L923" s="26"/>
      <c r="M923" s="25"/>
      <c r="N923" s="25"/>
      <c r="O923" s="25"/>
      <c r="P923" s="25"/>
      <c r="Q923" s="25"/>
      <c r="R923" s="27">
        <f t="shared" ref="R923:R933" si="333">G923</f>
        <v>-900000</v>
      </c>
      <c r="T923" s="1"/>
      <c r="V923" s="1"/>
    </row>
    <row r="924" spans="1:22" x14ac:dyDescent="0.25">
      <c r="A924" s="20" t="s">
        <v>18</v>
      </c>
      <c r="B924" s="42"/>
      <c r="C924" s="43">
        <v>15000</v>
      </c>
      <c r="D924" s="43">
        <v>35000</v>
      </c>
      <c r="E924" s="43">
        <v>50000</v>
      </c>
      <c r="F924" s="43">
        <v>0</v>
      </c>
      <c r="G924" s="15">
        <f t="shared" si="332"/>
        <v>100000</v>
      </c>
      <c r="H924" s="16"/>
      <c r="I924" s="26"/>
      <c r="J924" s="25"/>
      <c r="K924" s="26"/>
      <c r="L924" s="26"/>
      <c r="M924" s="25"/>
      <c r="N924" s="25"/>
      <c r="O924" s="25"/>
      <c r="P924" s="25"/>
      <c r="Q924" s="25"/>
      <c r="R924" s="27">
        <f t="shared" si="333"/>
        <v>100000</v>
      </c>
      <c r="T924" s="1"/>
    </row>
    <row r="925" spans="1:22" x14ac:dyDescent="0.25">
      <c r="A925" s="20" t="s">
        <v>19</v>
      </c>
      <c r="B925" s="42"/>
      <c r="C925" s="43">
        <v>15000</v>
      </c>
      <c r="D925" s="43">
        <v>35000</v>
      </c>
      <c r="E925" s="43">
        <v>-550000</v>
      </c>
      <c r="F925" s="43">
        <v>0</v>
      </c>
      <c r="G925" s="15">
        <f t="shared" si="332"/>
        <v>-500000</v>
      </c>
      <c r="H925" s="16"/>
      <c r="I925" s="26"/>
      <c r="J925" s="25"/>
      <c r="K925" s="26"/>
      <c r="L925" s="26"/>
      <c r="M925" s="25"/>
      <c r="N925" s="25"/>
      <c r="O925" s="25"/>
      <c r="P925" s="25"/>
      <c r="Q925" s="25"/>
      <c r="R925" s="27">
        <f t="shared" si="333"/>
        <v>-500000</v>
      </c>
      <c r="T925" s="1"/>
    </row>
    <row r="926" spans="1:22" x14ac:dyDescent="0.25">
      <c r="A926" s="20" t="s">
        <v>20</v>
      </c>
      <c r="B926" s="42"/>
      <c r="C926" s="43">
        <v>15000</v>
      </c>
      <c r="D926" s="43">
        <v>35000</v>
      </c>
      <c r="E926" s="43">
        <v>50000</v>
      </c>
      <c r="F926" s="43">
        <v>0</v>
      </c>
      <c r="G926" s="15">
        <f t="shared" si="332"/>
        <v>100000</v>
      </c>
      <c r="H926" s="16"/>
      <c r="I926" s="26"/>
      <c r="J926" s="25"/>
      <c r="K926" s="26"/>
      <c r="L926" s="26"/>
      <c r="M926" s="25"/>
      <c r="N926" s="25"/>
      <c r="O926" s="25"/>
      <c r="P926" s="25"/>
      <c r="Q926" s="25"/>
      <c r="R926" s="27">
        <f t="shared" si="333"/>
        <v>100000</v>
      </c>
      <c r="T926" s="1"/>
    </row>
    <row r="927" spans="1:22" x14ac:dyDescent="0.25">
      <c r="A927" s="20" t="s">
        <v>21</v>
      </c>
      <c r="B927" s="42"/>
      <c r="C927" s="43">
        <v>15000</v>
      </c>
      <c r="D927" s="43">
        <v>35000</v>
      </c>
      <c r="E927" s="43">
        <v>50000</v>
      </c>
      <c r="F927" s="43">
        <v>0</v>
      </c>
      <c r="G927" s="15">
        <f t="shared" si="332"/>
        <v>100000</v>
      </c>
      <c r="H927" s="16"/>
      <c r="I927" s="26"/>
      <c r="J927" s="25"/>
      <c r="K927" s="26"/>
      <c r="L927" s="26"/>
      <c r="M927" s="25"/>
      <c r="N927" s="25"/>
      <c r="O927" s="25"/>
      <c r="P927" s="25"/>
      <c r="Q927" s="25"/>
      <c r="R927" s="27">
        <f t="shared" si="333"/>
        <v>100000</v>
      </c>
      <c r="T927" s="1"/>
    </row>
    <row r="928" spans="1:22" x14ac:dyDescent="0.25">
      <c r="A928" s="20" t="s">
        <v>22</v>
      </c>
      <c r="B928" s="42"/>
      <c r="C928" s="43">
        <v>15000</v>
      </c>
      <c r="D928" s="43">
        <v>35000</v>
      </c>
      <c r="E928" s="43">
        <v>50000</v>
      </c>
      <c r="F928" s="43">
        <v>0</v>
      </c>
      <c r="G928" s="15">
        <f t="shared" si="332"/>
        <v>100000</v>
      </c>
      <c r="H928" s="16"/>
      <c r="I928" s="26"/>
      <c r="J928" s="25"/>
      <c r="K928" s="26"/>
      <c r="L928" s="26"/>
      <c r="M928" s="25"/>
      <c r="N928" s="25"/>
      <c r="O928" s="25"/>
      <c r="P928" s="25"/>
      <c r="Q928" s="25"/>
      <c r="R928" s="27">
        <f t="shared" si="333"/>
        <v>100000</v>
      </c>
      <c r="T928" s="1"/>
      <c r="V928" s="1"/>
    </row>
    <row r="929" spans="1:22" x14ac:dyDescent="0.25">
      <c r="A929" s="20" t="s">
        <v>23</v>
      </c>
      <c r="B929" s="42"/>
      <c r="C929" s="43">
        <v>15000</v>
      </c>
      <c r="D929" s="43">
        <v>35000</v>
      </c>
      <c r="E929" s="43">
        <v>50000</v>
      </c>
      <c r="F929" s="43">
        <v>0</v>
      </c>
      <c r="G929" s="15">
        <f t="shared" si="332"/>
        <v>100000</v>
      </c>
      <c r="H929" s="16"/>
      <c r="I929" s="26"/>
      <c r="J929" s="25"/>
      <c r="K929" s="26"/>
      <c r="L929" s="26"/>
      <c r="M929" s="25"/>
      <c r="N929" s="25"/>
      <c r="O929" s="25"/>
      <c r="P929" s="25"/>
      <c r="Q929" s="25"/>
      <c r="R929" s="27">
        <f t="shared" si="333"/>
        <v>100000</v>
      </c>
      <c r="T929" s="1"/>
      <c r="V929" s="1"/>
    </row>
    <row r="930" spans="1:22" x14ac:dyDescent="0.25">
      <c r="A930" s="20" t="s">
        <v>24</v>
      </c>
      <c r="B930" s="42"/>
      <c r="C930" s="43">
        <v>15000</v>
      </c>
      <c r="D930" s="43">
        <v>35000</v>
      </c>
      <c r="E930" s="43">
        <v>50000</v>
      </c>
      <c r="F930" s="43">
        <v>0</v>
      </c>
      <c r="G930" s="15">
        <f t="shared" si="332"/>
        <v>100000</v>
      </c>
      <c r="H930" s="16"/>
      <c r="I930" s="26"/>
      <c r="J930" s="25"/>
      <c r="K930" s="26"/>
      <c r="L930" s="26"/>
      <c r="M930" s="25"/>
      <c r="N930" s="25"/>
      <c r="O930" s="25"/>
      <c r="P930" s="25"/>
      <c r="Q930" s="25"/>
      <c r="R930" s="27">
        <f t="shared" si="333"/>
        <v>100000</v>
      </c>
      <c r="T930" s="1"/>
    </row>
    <row r="931" spans="1:22" x14ac:dyDescent="0.25">
      <c r="A931" s="20" t="s">
        <v>25</v>
      </c>
      <c r="B931" s="42"/>
      <c r="C931" s="43">
        <v>15000</v>
      </c>
      <c r="D931" s="43">
        <v>35000</v>
      </c>
      <c r="E931" s="43">
        <v>50000</v>
      </c>
      <c r="F931" s="43">
        <v>0</v>
      </c>
      <c r="G931" s="15">
        <f t="shared" si="332"/>
        <v>100000</v>
      </c>
      <c r="H931" s="16"/>
      <c r="I931" s="26"/>
      <c r="J931" s="25"/>
      <c r="K931" s="26"/>
      <c r="L931" s="26"/>
      <c r="M931" s="25"/>
      <c r="N931" s="25"/>
      <c r="O931" s="25"/>
      <c r="P931" s="25"/>
      <c r="Q931" s="25"/>
      <c r="R931" s="27">
        <f t="shared" si="333"/>
        <v>100000</v>
      </c>
      <c r="T931" s="1"/>
    </row>
    <row r="932" spans="1:22" x14ac:dyDescent="0.25">
      <c r="A932" s="20" t="s">
        <v>26</v>
      </c>
      <c r="B932" s="42"/>
      <c r="C932" s="43">
        <v>15000</v>
      </c>
      <c r="D932" s="43">
        <v>35000</v>
      </c>
      <c r="E932" s="43">
        <v>50000</v>
      </c>
      <c r="F932" s="43">
        <v>0</v>
      </c>
      <c r="G932" s="15">
        <f t="shared" si="332"/>
        <v>100000</v>
      </c>
      <c r="H932" s="16"/>
      <c r="I932" s="26"/>
      <c r="J932" s="25"/>
      <c r="K932" s="26"/>
      <c r="L932" s="26"/>
      <c r="M932" s="25"/>
      <c r="N932" s="25"/>
      <c r="O932" s="25"/>
      <c r="P932" s="25"/>
      <c r="Q932" s="25"/>
      <c r="R932" s="27">
        <f t="shared" si="333"/>
        <v>100000</v>
      </c>
    </row>
    <row r="933" spans="1:22" ht="15.75" thickBot="1" x14ac:dyDescent="0.3">
      <c r="A933" s="12" t="s">
        <v>15</v>
      </c>
      <c r="B933" s="44"/>
      <c r="C933" s="43">
        <v>15000</v>
      </c>
      <c r="D933" s="43">
        <v>35000</v>
      </c>
      <c r="E933" s="43">
        <v>50000</v>
      </c>
      <c r="F933" s="43">
        <v>0</v>
      </c>
      <c r="G933" s="15">
        <f t="shared" si="332"/>
        <v>100000</v>
      </c>
      <c r="H933" s="16"/>
      <c r="I933" s="26"/>
      <c r="J933" s="25"/>
      <c r="K933" s="26"/>
      <c r="L933" s="26"/>
      <c r="M933" s="25"/>
      <c r="N933" s="25"/>
      <c r="O933" s="25"/>
      <c r="P933" s="25"/>
      <c r="Q933" s="25"/>
      <c r="R933" s="27">
        <f t="shared" si="333"/>
        <v>100000</v>
      </c>
      <c r="T933" s="1"/>
    </row>
    <row r="934" spans="1:22" ht="15.75" thickBot="1" x14ac:dyDescent="0.3">
      <c r="A934" s="29" t="s">
        <v>0</v>
      </c>
      <c r="B934" s="30">
        <f t="shared" ref="B934:F934" si="334">SUM(B921:B933)</f>
        <v>25000</v>
      </c>
      <c r="C934" s="30">
        <f t="shared" si="334"/>
        <v>2930000</v>
      </c>
      <c r="D934" s="30">
        <f t="shared" si="334"/>
        <v>5511343</v>
      </c>
      <c r="E934" s="30">
        <f t="shared" si="334"/>
        <v>400000</v>
      </c>
      <c r="F934" s="30">
        <f t="shared" si="334"/>
        <v>0</v>
      </c>
      <c r="G934" s="15">
        <f t="shared" si="332"/>
        <v>8866343</v>
      </c>
      <c r="H934" s="32"/>
      <c r="I934" s="71" t="s">
        <v>27</v>
      </c>
      <c r="J934" s="72"/>
      <c r="K934" s="33">
        <f>SUM(K921:K933)</f>
        <v>0</v>
      </c>
      <c r="L934" s="34"/>
      <c r="M934" s="71" t="s">
        <v>28</v>
      </c>
      <c r="N934" s="73"/>
      <c r="O934" s="72"/>
      <c r="P934" s="33">
        <f>SUM(P921:P933)</f>
        <v>0</v>
      </c>
      <c r="Q934" s="34"/>
      <c r="R934" s="35"/>
      <c r="T934" s="1"/>
    </row>
    <row r="935" spans="1:22" s="36" customFormat="1" ht="15.75" thickBot="1" x14ac:dyDescent="0.3">
      <c r="C935" s="37"/>
      <c r="D935" s="37"/>
      <c r="F935" s="38"/>
      <c r="G935" s="38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T935" s="40"/>
    </row>
    <row r="936" spans="1:22" ht="15.75" customHeight="1" thickBot="1" x14ac:dyDescent="0.3">
      <c r="A936" s="2">
        <f>A919+1</f>
        <v>56</v>
      </c>
      <c r="B936" s="74" t="str">
        <f>VLOOKUP(A936,NAMA,2)</f>
        <v>YOEDA K, SPd</v>
      </c>
      <c r="C936" s="75"/>
      <c r="D936" s="75"/>
      <c r="E936" s="75"/>
      <c r="F936" s="76"/>
      <c r="G936" s="3" t="s">
        <v>0</v>
      </c>
      <c r="H936" s="77" t="s">
        <v>1</v>
      </c>
      <c r="I936" s="78"/>
      <c r="J936" s="78"/>
      <c r="K936" s="78"/>
      <c r="L936" s="79"/>
      <c r="M936" s="80" t="s">
        <v>2</v>
      </c>
      <c r="N936" s="78"/>
      <c r="O936" s="78"/>
      <c r="P936" s="78"/>
      <c r="Q936" s="79"/>
      <c r="R936" s="69" t="s">
        <v>29</v>
      </c>
      <c r="T936" s="1"/>
    </row>
    <row r="937" spans="1:22" x14ac:dyDescent="0.25">
      <c r="A937" s="4" t="s">
        <v>4</v>
      </c>
      <c r="B937" s="5" t="s">
        <v>5</v>
      </c>
      <c r="C937" s="6" t="s">
        <v>6</v>
      </c>
      <c r="D937" s="6" t="s">
        <v>7</v>
      </c>
      <c r="E937" s="5" t="s">
        <v>8</v>
      </c>
      <c r="F937" s="5" t="s">
        <v>9</v>
      </c>
      <c r="G937" s="7" t="s">
        <v>10</v>
      </c>
      <c r="H937" s="8" t="s">
        <v>11</v>
      </c>
      <c r="I937" s="9" t="s">
        <v>0</v>
      </c>
      <c r="J937" s="9" t="s">
        <v>12</v>
      </c>
      <c r="K937" s="9" t="s">
        <v>13</v>
      </c>
      <c r="L937" s="10" t="s">
        <v>14</v>
      </c>
      <c r="M937" s="9" t="s">
        <v>11</v>
      </c>
      <c r="N937" s="9" t="s">
        <v>0</v>
      </c>
      <c r="O937" s="9" t="s">
        <v>12</v>
      </c>
      <c r="P937" s="9" t="s">
        <v>13</v>
      </c>
      <c r="Q937" s="10" t="s">
        <v>14</v>
      </c>
      <c r="R937" s="70"/>
      <c r="S937" s="11"/>
      <c r="T937" s="1"/>
    </row>
    <row r="938" spans="1:22" x14ac:dyDescent="0.25">
      <c r="A938" s="12" t="s">
        <v>15</v>
      </c>
      <c r="B938" s="41"/>
      <c r="C938" s="41"/>
      <c r="D938" s="41"/>
      <c r="E938" s="41"/>
      <c r="F938" s="41"/>
      <c r="G938" s="15"/>
      <c r="H938" s="16"/>
      <c r="I938" s="17"/>
      <c r="J938" s="18"/>
      <c r="K938" s="17"/>
      <c r="L938" s="17"/>
      <c r="M938" s="17"/>
      <c r="N938" s="17"/>
      <c r="O938" s="17"/>
      <c r="P938" s="17"/>
      <c r="Q938" s="17"/>
      <c r="R938" s="19"/>
      <c r="T938" s="1"/>
    </row>
    <row r="939" spans="1:22" x14ac:dyDescent="0.25">
      <c r="A939" s="20" t="s">
        <v>16</v>
      </c>
      <c r="B939" s="42"/>
      <c r="C939" s="43"/>
      <c r="D939" s="43"/>
      <c r="E939" s="43"/>
      <c r="F939" s="43"/>
      <c r="G939" s="15"/>
      <c r="H939" s="16"/>
      <c r="I939" s="26"/>
      <c r="J939" s="25"/>
      <c r="K939" s="26"/>
      <c r="L939" s="26"/>
      <c r="M939" s="25"/>
      <c r="N939" s="25"/>
      <c r="O939" s="25"/>
      <c r="P939" s="25"/>
      <c r="Q939" s="25"/>
      <c r="R939" s="27"/>
      <c r="T939" s="1"/>
    </row>
    <row r="940" spans="1:22" x14ac:dyDescent="0.25">
      <c r="A940" s="20" t="s">
        <v>17</v>
      </c>
      <c r="B940" s="42"/>
      <c r="C940" s="43"/>
      <c r="D940" s="43"/>
      <c r="E940" s="43"/>
      <c r="F940" s="43"/>
      <c r="G940" s="15"/>
      <c r="H940" s="16"/>
      <c r="I940" s="26"/>
      <c r="J940" s="25"/>
      <c r="K940" s="26"/>
      <c r="L940" s="26"/>
      <c r="M940" s="25"/>
      <c r="N940" s="25"/>
      <c r="O940" s="25"/>
      <c r="P940" s="25"/>
      <c r="Q940" s="25"/>
      <c r="R940" s="27"/>
      <c r="T940" s="1"/>
      <c r="V940" s="1"/>
    </row>
    <row r="941" spans="1:22" x14ac:dyDescent="0.25">
      <c r="A941" s="20" t="s">
        <v>18</v>
      </c>
      <c r="B941" s="42"/>
      <c r="C941" s="43"/>
      <c r="D941" s="43"/>
      <c r="E941" s="43"/>
      <c r="F941" s="43"/>
      <c r="G941" s="15"/>
      <c r="H941" s="16"/>
      <c r="I941" s="26"/>
      <c r="J941" s="25"/>
      <c r="K941" s="26"/>
      <c r="L941" s="26"/>
      <c r="M941" s="25"/>
      <c r="N941" s="25"/>
      <c r="O941" s="25"/>
      <c r="P941" s="25"/>
      <c r="Q941" s="25"/>
      <c r="R941" s="27"/>
      <c r="T941" s="1"/>
    </row>
    <row r="942" spans="1:22" x14ac:dyDescent="0.25">
      <c r="A942" s="20" t="s">
        <v>19</v>
      </c>
      <c r="B942" s="42"/>
      <c r="C942" s="43"/>
      <c r="D942" s="43"/>
      <c r="E942" s="43"/>
      <c r="F942" s="43"/>
      <c r="G942" s="15"/>
      <c r="H942" s="16"/>
      <c r="I942" s="26"/>
      <c r="J942" s="25"/>
      <c r="K942" s="26"/>
      <c r="L942" s="26"/>
      <c r="M942" s="25"/>
      <c r="N942" s="25"/>
      <c r="O942" s="25"/>
      <c r="P942" s="25"/>
      <c r="Q942" s="25"/>
      <c r="R942" s="27"/>
      <c r="T942" s="1"/>
    </row>
    <row r="943" spans="1:22" x14ac:dyDescent="0.25">
      <c r="A943" s="20" t="s">
        <v>20</v>
      </c>
      <c r="B943" s="42"/>
      <c r="C943" s="43"/>
      <c r="D943" s="43"/>
      <c r="E943" s="43"/>
      <c r="F943" s="43"/>
      <c r="G943" s="15"/>
      <c r="H943" s="16"/>
      <c r="I943" s="26"/>
      <c r="J943" s="25"/>
      <c r="K943" s="26"/>
      <c r="L943" s="26"/>
      <c r="M943" s="25"/>
      <c r="N943" s="25"/>
      <c r="O943" s="25"/>
      <c r="P943" s="25"/>
      <c r="Q943" s="25"/>
      <c r="R943" s="27"/>
      <c r="T943" s="1"/>
    </row>
    <row r="944" spans="1:22" x14ac:dyDescent="0.25">
      <c r="A944" s="20" t="s">
        <v>21</v>
      </c>
      <c r="B944" s="42"/>
      <c r="C944" s="43"/>
      <c r="D944" s="43"/>
      <c r="E944" s="43"/>
      <c r="F944" s="43"/>
      <c r="G944" s="15"/>
      <c r="H944" s="16"/>
      <c r="I944" s="26"/>
      <c r="J944" s="25"/>
      <c r="K944" s="26"/>
      <c r="L944" s="26"/>
      <c r="M944" s="25"/>
      <c r="N944" s="25"/>
      <c r="O944" s="25"/>
      <c r="P944" s="25"/>
      <c r="Q944" s="25"/>
      <c r="R944" s="27"/>
      <c r="T944" s="1"/>
    </row>
    <row r="945" spans="1:22" x14ac:dyDescent="0.25">
      <c r="A945" s="20" t="s">
        <v>22</v>
      </c>
      <c r="B945" s="42"/>
      <c r="C945" s="43"/>
      <c r="D945" s="43"/>
      <c r="E945" s="43"/>
      <c r="F945" s="43"/>
      <c r="G945" s="15"/>
      <c r="H945" s="16"/>
      <c r="I945" s="26"/>
      <c r="J945" s="25"/>
      <c r="K945" s="26"/>
      <c r="L945" s="26"/>
      <c r="M945" s="25"/>
      <c r="N945" s="25"/>
      <c r="O945" s="25"/>
      <c r="P945" s="25"/>
      <c r="Q945" s="25"/>
      <c r="R945" s="27"/>
      <c r="T945" s="1"/>
      <c r="V945" s="1"/>
    </row>
    <row r="946" spans="1:22" x14ac:dyDescent="0.25">
      <c r="A946" s="20" t="s">
        <v>23</v>
      </c>
      <c r="B946" s="42"/>
      <c r="C946" s="43"/>
      <c r="D946" s="43"/>
      <c r="E946" s="43"/>
      <c r="F946" s="43"/>
      <c r="G946" s="15"/>
      <c r="H946" s="16"/>
      <c r="I946" s="26"/>
      <c r="J946" s="25"/>
      <c r="K946" s="26"/>
      <c r="L946" s="26"/>
      <c r="M946" s="25"/>
      <c r="N946" s="25"/>
      <c r="O946" s="25"/>
      <c r="P946" s="25"/>
      <c r="Q946" s="25"/>
      <c r="R946" s="27"/>
      <c r="T946" s="1"/>
      <c r="V946" s="1"/>
    </row>
    <row r="947" spans="1:22" x14ac:dyDescent="0.25">
      <c r="A947" s="20" t="s">
        <v>24</v>
      </c>
      <c r="B947" s="42"/>
      <c r="C947" s="43"/>
      <c r="D947" s="43"/>
      <c r="E947" s="43"/>
      <c r="F947" s="43"/>
      <c r="G947" s="15"/>
      <c r="H947" s="16"/>
      <c r="I947" s="26"/>
      <c r="J947" s="25"/>
      <c r="K947" s="26"/>
      <c r="L947" s="26"/>
      <c r="M947" s="25"/>
      <c r="N947" s="25"/>
      <c r="O947" s="25"/>
      <c r="P947" s="25"/>
      <c r="Q947" s="25"/>
      <c r="R947" s="27"/>
      <c r="T947" s="1"/>
    </row>
    <row r="948" spans="1:22" x14ac:dyDescent="0.25">
      <c r="A948" s="20" t="s">
        <v>25</v>
      </c>
      <c r="B948" s="42"/>
      <c r="C948" s="43"/>
      <c r="D948" s="43"/>
      <c r="E948" s="43"/>
      <c r="F948" s="43"/>
      <c r="G948" s="15"/>
      <c r="H948" s="16"/>
      <c r="I948" s="26"/>
      <c r="J948" s="25"/>
      <c r="K948" s="26"/>
      <c r="L948" s="26"/>
      <c r="M948" s="25"/>
      <c r="N948" s="25"/>
      <c r="O948" s="25"/>
      <c r="P948" s="25"/>
      <c r="Q948" s="25"/>
      <c r="R948" s="27"/>
      <c r="T948" s="1"/>
    </row>
    <row r="949" spans="1:22" x14ac:dyDescent="0.25">
      <c r="A949" s="20" t="s">
        <v>26</v>
      </c>
      <c r="B949" s="42"/>
      <c r="C949" s="43"/>
      <c r="D949" s="43"/>
      <c r="E949" s="43"/>
      <c r="F949" s="43"/>
      <c r="G949" s="15"/>
      <c r="H949" s="16"/>
      <c r="I949" s="26"/>
      <c r="J949" s="25"/>
      <c r="K949" s="26"/>
      <c r="L949" s="26"/>
      <c r="M949" s="25"/>
      <c r="N949" s="25"/>
      <c r="O949" s="25"/>
      <c r="P949" s="25"/>
      <c r="Q949" s="25"/>
      <c r="R949" s="27"/>
    </row>
    <row r="950" spans="1:22" ht="15.75" thickBot="1" x14ac:dyDescent="0.3">
      <c r="A950" s="12" t="s">
        <v>15</v>
      </c>
      <c r="B950" s="44"/>
      <c r="C950" s="45"/>
      <c r="D950" s="45"/>
      <c r="E950" s="45"/>
      <c r="F950" s="45"/>
      <c r="G950" s="15"/>
      <c r="H950" s="16"/>
      <c r="I950" s="26"/>
      <c r="J950" s="25"/>
      <c r="K950" s="26"/>
      <c r="L950" s="26"/>
      <c r="M950" s="25"/>
      <c r="N950" s="25"/>
      <c r="O950" s="25"/>
      <c r="P950" s="25"/>
      <c r="Q950" s="25"/>
      <c r="R950" s="27"/>
      <c r="T950" s="1"/>
    </row>
    <row r="951" spans="1:22" ht="15.75" thickBot="1" x14ac:dyDescent="0.3">
      <c r="A951" s="29" t="s">
        <v>0</v>
      </c>
      <c r="B951" s="30">
        <f t="shared" ref="B951:G951" si="335">SUM(B938:B950)</f>
        <v>0</v>
      </c>
      <c r="C951" s="30">
        <f t="shared" si="335"/>
        <v>0</v>
      </c>
      <c r="D951" s="30">
        <f t="shared" si="335"/>
        <v>0</v>
      </c>
      <c r="E951" s="30">
        <f t="shared" si="335"/>
        <v>0</v>
      </c>
      <c r="F951" s="30">
        <f t="shared" si="335"/>
        <v>0</v>
      </c>
      <c r="G951" s="31">
        <f t="shared" si="335"/>
        <v>0</v>
      </c>
      <c r="H951" s="32"/>
      <c r="I951" s="71" t="s">
        <v>27</v>
      </c>
      <c r="J951" s="72"/>
      <c r="K951" s="33">
        <f>SUM(K938:K950)</f>
        <v>0</v>
      </c>
      <c r="L951" s="34"/>
      <c r="M951" s="71" t="s">
        <v>28</v>
      </c>
      <c r="N951" s="73"/>
      <c r="O951" s="72"/>
      <c r="P951" s="33">
        <f>SUM(P938:P950)</f>
        <v>0</v>
      </c>
      <c r="Q951" s="34"/>
      <c r="R951" s="35"/>
      <c r="T951" s="1"/>
    </row>
    <row r="952" spans="1:22" s="36" customFormat="1" ht="15.75" thickBot="1" x14ac:dyDescent="0.3">
      <c r="C952" s="37"/>
      <c r="D952" s="37"/>
      <c r="F952" s="38"/>
      <c r="G952" s="38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T952" s="40"/>
    </row>
    <row r="953" spans="1:22" ht="15.75" customHeight="1" thickBot="1" x14ac:dyDescent="0.3">
      <c r="A953" s="2">
        <f>A936+1</f>
        <v>57</v>
      </c>
      <c r="B953" s="74"/>
      <c r="C953" s="75"/>
      <c r="D953" s="75"/>
      <c r="E953" s="75"/>
      <c r="F953" s="76"/>
      <c r="G953" s="3" t="s">
        <v>0</v>
      </c>
      <c r="H953" s="77" t="s">
        <v>1</v>
      </c>
      <c r="I953" s="78"/>
      <c r="J953" s="78"/>
      <c r="K953" s="78"/>
      <c r="L953" s="79"/>
      <c r="M953" s="80" t="s">
        <v>2</v>
      </c>
      <c r="N953" s="78"/>
      <c r="O953" s="78"/>
      <c r="P953" s="78"/>
      <c r="Q953" s="79"/>
      <c r="R953" s="69" t="s">
        <v>29</v>
      </c>
      <c r="T953" s="1"/>
    </row>
    <row r="954" spans="1:22" x14ac:dyDescent="0.25">
      <c r="A954" s="4" t="s">
        <v>4</v>
      </c>
      <c r="B954" s="5" t="s">
        <v>5</v>
      </c>
      <c r="C954" s="6" t="s">
        <v>6</v>
      </c>
      <c r="D954" s="6" t="s">
        <v>7</v>
      </c>
      <c r="E954" s="5" t="s">
        <v>8</v>
      </c>
      <c r="F954" s="5" t="s">
        <v>9</v>
      </c>
      <c r="G954" s="7" t="s">
        <v>10</v>
      </c>
      <c r="H954" s="8" t="s">
        <v>11</v>
      </c>
      <c r="I954" s="9" t="s">
        <v>0</v>
      </c>
      <c r="J954" s="9" t="s">
        <v>12</v>
      </c>
      <c r="K954" s="9" t="s">
        <v>13</v>
      </c>
      <c r="L954" s="10" t="s">
        <v>14</v>
      </c>
      <c r="M954" s="9" t="s">
        <v>11</v>
      </c>
      <c r="N954" s="9" t="s">
        <v>0</v>
      </c>
      <c r="O954" s="9" t="s">
        <v>12</v>
      </c>
      <c r="P954" s="9" t="s">
        <v>13</v>
      </c>
      <c r="Q954" s="10" t="s">
        <v>14</v>
      </c>
      <c r="R954" s="70"/>
      <c r="S954" s="11"/>
      <c r="T954" s="1"/>
    </row>
    <row r="955" spans="1:22" x14ac:dyDescent="0.25">
      <c r="A955" s="12" t="s">
        <v>15</v>
      </c>
      <c r="B955" s="41"/>
      <c r="C955" s="41"/>
      <c r="D955" s="41"/>
      <c r="E955" s="41"/>
      <c r="F955" s="41"/>
      <c r="G955" s="15"/>
      <c r="H955" s="16"/>
      <c r="I955" s="17"/>
      <c r="J955" s="18"/>
      <c r="K955" s="17"/>
      <c r="L955" s="17"/>
      <c r="M955" s="17"/>
      <c r="N955" s="17"/>
      <c r="O955" s="17"/>
      <c r="P955" s="17"/>
      <c r="Q955" s="17"/>
      <c r="R955" s="19"/>
      <c r="T955" s="1"/>
    </row>
    <row r="956" spans="1:22" x14ac:dyDescent="0.25">
      <c r="A956" s="20" t="s">
        <v>16</v>
      </c>
      <c r="B956" s="42"/>
      <c r="C956" s="43"/>
      <c r="D956" s="43"/>
      <c r="E956" s="43"/>
      <c r="F956" s="43"/>
      <c r="G956" s="15"/>
      <c r="H956" s="16"/>
      <c r="I956" s="26"/>
      <c r="J956" s="25"/>
      <c r="K956" s="26"/>
      <c r="L956" s="26"/>
      <c r="M956" s="25"/>
      <c r="N956" s="25"/>
      <c r="O956" s="25"/>
      <c r="P956" s="25"/>
      <c r="Q956" s="25"/>
      <c r="R956" s="27">
        <v>300000</v>
      </c>
      <c r="T956" s="1"/>
    </row>
    <row r="957" spans="1:22" x14ac:dyDescent="0.25">
      <c r="A957" s="20" t="s">
        <v>17</v>
      </c>
      <c r="B957" s="42"/>
      <c r="C957" s="43"/>
      <c r="D957" s="43"/>
      <c r="E957" s="43"/>
      <c r="F957" s="43"/>
      <c r="G957" s="15"/>
      <c r="H957" s="16"/>
      <c r="I957" s="26"/>
      <c r="J957" s="25"/>
      <c r="K957" s="26"/>
      <c r="L957" s="26"/>
      <c r="M957" s="25"/>
      <c r="N957" s="25"/>
      <c r="O957" s="25"/>
      <c r="P957" s="25"/>
      <c r="Q957" s="25"/>
      <c r="R957" s="27">
        <v>99517</v>
      </c>
      <c r="T957" s="1"/>
      <c r="V957" s="1"/>
    </row>
    <row r="958" spans="1:22" x14ac:dyDescent="0.25">
      <c r="A958" s="20" t="s">
        <v>18</v>
      </c>
      <c r="B958" s="42"/>
      <c r="C958" s="43"/>
      <c r="D958" s="43"/>
      <c r="E958" s="43"/>
      <c r="F958" s="43"/>
      <c r="G958" s="15"/>
      <c r="H958" s="16"/>
      <c r="I958" s="26"/>
      <c r="J958" s="25"/>
      <c r="K958" s="26"/>
      <c r="L958" s="26"/>
      <c r="M958" s="25"/>
      <c r="N958" s="25"/>
      <c r="O958" s="25"/>
      <c r="P958" s="25"/>
      <c r="Q958" s="25"/>
      <c r="R958" s="27">
        <f>G958</f>
        <v>0</v>
      </c>
      <c r="T958" s="1"/>
    </row>
    <row r="959" spans="1:22" x14ac:dyDescent="0.25">
      <c r="A959" s="20" t="s">
        <v>19</v>
      </c>
      <c r="B959" s="42"/>
      <c r="C959" s="43"/>
      <c r="D959" s="43"/>
      <c r="E959" s="43"/>
      <c r="F959" s="43"/>
      <c r="G959" s="15"/>
      <c r="H959" s="16"/>
      <c r="I959" s="26"/>
      <c r="J959" s="25"/>
      <c r="K959" s="26"/>
      <c r="L959" s="26"/>
      <c r="M959" s="25"/>
      <c r="N959" s="25"/>
      <c r="O959" s="25"/>
      <c r="P959" s="25"/>
      <c r="Q959" s="25"/>
      <c r="R959" s="27">
        <f>G959</f>
        <v>0</v>
      </c>
      <c r="T959" s="1"/>
    </row>
    <row r="960" spans="1:22" x14ac:dyDescent="0.25">
      <c r="A960" s="20" t="s">
        <v>20</v>
      </c>
      <c r="B960" s="42"/>
      <c r="C960" s="43"/>
      <c r="D960" s="43"/>
      <c r="E960" s="43"/>
      <c r="F960" s="43"/>
      <c r="G960" s="15"/>
      <c r="H960" s="16"/>
      <c r="I960" s="26"/>
      <c r="J960" s="25"/>
      <c r="K960" s="26"/>
      <c r="L960" s="26"/>
      <c r="M960" s="25"/>
      <c r="N960" s="25"/>
      <c r="O960" s="25"/>
      <c r="P960" s="25"/>
      <c r="Q960" s="25"/>
      <c r="R960" s="27">
        <f t="shared" ref="R960:R961" si="336">G960</f>
        <v>0</v>
      </c>
      <c r="T960" s="1"/>
    </row>
    <row r="961" spans="1:22" x14ac:dyDescent="0.25">
      <c r="A961" s="20" t="s">
        <v>21</v>
      </c>
      <c r="B961" s="42"/>
      <c r="C961" s="43"/>
      <c r="D961" s="43"/>
      <c r="E961" s="43"/>
      <c r="F961" s="43"/>
      <c r="G961" s="15"/>
      <c r="H961" s="16"/>
      <c r="I961" s="26"/>
      <c r="J961" s="25"/>
      <c r="K961" s="26"/>
      <c r="L961" s="26"/>
      <c r="M961" s="25"/>
      <c r="N961" s="25"/>
      <c r="O961" s="25"/>
      <c r="P961" s="25"/>
      <c r="Q961" s="25"/>
      <c r="R961" s="27">
        <f t="shared" si="336"/>
        <v>0</v>
      </c>
      <c r="T961" s="1"/>
    </row>
    <row r="962" spans="1:22" x14ac:dyDescent="0.25">
      <c r="A962" s="20" t="s">
        <v>22</v>
      </c>
      <c r="B962" s="42"/>
      <c r="C962" s="43"/>
      <c r="D962" s="43"/>
      <c r="E962" s="43"/>
      <c r="F962" s="43"/>
      <c r="G962" s="15"/>
      <c r="H962" s="16"/>
      <c r="I962" s="26"/>
      <c r="J962" s="25"/>
      <c r="K962" s="26"/>
      <c r="L962" s="26"/>
      <c r="M962" s="25"/>
      <c r="N962" s="25"/>
      <c r="O962" s="25"/>
      <c r="P962" s="25"/>
      <c r="Q962" s="25"/>
      <c r="R962" s="27"/>
      <c r="T962" s="1"/>
      <c r="V962" s="1"/>
    </row>
    <row r="963" spans="1:22" x14ac:dyDescent="0.25">
      <c r="A963" s="20" t="s">
        <v>23</v>
      </c>
      <c r="B963" s="42"/>
      <c r="C963" s="43"/>
      <c r="D963" s="43"/>
      <c r="E963" s="43"/>
      <c r="F963" s="43"/>
      <c r="G963" s="15"/>
      <c r="H963" s="16"/>
      <c r="I963" s="26"/>
      <c r="J963" s="25"/>
      <c r="K963" s="26"/>
      <c r="L963" s="26"/>
      <c r="M963" s="25"/>
      <c r="N963" s="25"/>
      <c r="O963" s="25"/>
      <c r="P963" s="25"/>
      <c r="Q963" s="25"/>
      <c r="R963" s="27"/>
      <c r="T963" s="1"/>
      <c r="V963" s="1"/>
    </row>
    <row r="964" spans="1:22" x14ac:dyDescent="0.25">
      <c r="A964" s="20" t="s">
        <v>24</v>
      </c>
      <c r="B964" s="42"/>
      <c r="C964" s="43"/>
      <c r="D964" s="43"/>
      <c r="E964" s="43"/>
      <c r="F964" s="43"/>
      <c r="G964" s="15"/>
      <c r="H964" s="16"/>
      <c r="I964" s="26"/>
      <c r="J964" s="25"/>
      <c r="K964" s="26"/>
      <c r="L964" s="26"/>
      <c r="M964" s="25"/>
      <c r="N964" s="25"/>
      <c r="O964" s="25"/>
      <c r="P964" s="25"/>
      <c r="Q964" s="25"/>
      <c r="R964" s="27"/>
      <c r="T964" s="1"/>
    </row>
    <row r="965" spans="1:22" x14ac:dyDescent="0.25">
      <c r="A965" s="20" t="s">
        <v>25</v>
      </c>
      <c r="B965" s="42"/>
      <c r="C965" s="43"/>
      <c r="D965" s="43"/>
      <c r="E965" s="43"/>
      <c r="F965" s="43"/>
      <c r="G965" s="15"/>
      <c r="H965" s="16"/>
      <c r="I965" s="26"/>
      <c r="J965" s="25"/>
      <c r="K965" s="26"/>
      <c r="L965" s="26"/>
      <c r="M965" s="25"/>
      <c r="N965" s="25"/>
      <c r="O965" s="25"/>
      <c r="P965" s="25"/>
      <c r="Q965" s="25"/>
      <c r="R965" s="27"/>
      <c r="T965" s="1"/>
    </row>
    <row r="966" spans="1:22" x14ac:dyDescent="0.25">
      <c r="A966" s="20" t="s">
        <v>26</v>
      </c>
      <c r="B966" s="42"/>
      <c r="C966" s="43"/>
      <c r="D966" s="43"/>
      <c r="E966" s="43"/>
      <c r="F966" s="43"/>
      <c r="G966" s="15"/>
      <c r="H966" s="16"/>
      <c r="I966" s="26"/>
      <c r="J966" s="25"/>
      <c r="K966" s="26"/>
      <c r="L966" s="26"/>
      <c r="M966" s="25"/>
      <c r="N966" s="25"/>
      <c r="O966" s="25"/>
      <c r="P966" s="25"/>
      <c r="Q966" s="25"/>
      <c r="R966" s="27"/>
    </row>
    <row r="967" spans="1:22" ht="15.75" thickBot="1" x14ac:dyDescent="0.3">
      <c r="A967" s="12" t="s">
        <v>15</v>
      </c>
      <c r="B967" s="44"/>
      <c r="C967" s="45"/>
      <c r="D967" s="45"/>
      <c r="E967" s="45"/>
      <c r="F967" s="45"/>
      <c r="G967" s="15"/>
      <c r="H967" s="16"/>
      <c r="I967" s="26"/>
      <c r="J967" s="25"/>
      <c r="K967" s="26"/>
      <c r="L967" s="26"/>
      <c r="M967" s="25"/>
      <c r="N967" s="25"/>
      <c r="O967" s="25"/>
      <c r="P967" s="25"/>
      <c r="Q967" s="25"/>
      <c r="R967" s="27"/>
      <c r="T967" s="1"/>
    </row>
    <row r="968" spans="1:22" ht="15.75" thickBot="1" x14ac:dyDescent="0.3">
      <c r="A968" s="29" t="s">
        <v>0</v>
      </c>
      <c r="B968" s="30">
        <f t="shared" ref="B968:G968" si="337">SUM(B955:B967)</f>
        <v>0</v>
      </c>
      <c r="C968" s="30">
        <f t="shared" si="337"/>
        <v>0</v>
      </c>
      <c r="D968" s="30">
        <f t="shared" si="337"/>
        <v>0</v>
      </c>
      <c r="E968" s="30">
        <f t="shared" si="337"/>
        <v>0</v>
      </c>
      <c r="F968" s="30">
        <f t="shared" si="337"/>
        <v>0</v>
      </c>
      <c r="G968" s="31">
        <f t="shared" si="337"/>
        <v>0</v>
      </c>
      <c r="H968" s="32"/>
      <c r="I968" s="71" t="s">
        <v>27</v>
      </c>
      <c r="J968" s="72"/>
      <c r="K968" s="33">
        <f>SUM(K955:K967)</f>
        <v>0</v>
      </c>
      <c r="L968" s="34"/>
      <c r="M968" s="71" t="s">
        <v>28</v>
      </c>
      <c r="N968" s="73"/>
      <c r="O968" s="72"/>
      <c r="P968" s="33">
        <f>SUM(P955:P967)</f>
        <v>0</v>
      </c>
      <c r="Q968" s="34"/>
      <c r="R968" s="35"/>
      <c r="T968" s="1"/>
    </row>
    <row r="969" spans="1:22" s="36" customFormat="1" ht="15.75" thickBot="1" x14ac:dyDescent="0.3">
      <c r="C969" s="37"/>
      <c r="D969" s="37"/>
      <c r="F969" s="38"/>
      <c r="G969" s="38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T969" s="40"/>
    </row>
    <row r="970" spans="1:22" ht="15.75" customHeight="1" thickBot="1" x14ac:dyDescent="0.3">
      <c r="A970" s="2">
        <f>A953+1</f>
        <v>58</v>
      </c>
      <c r="B970" s="74" t="str">
        <f>VLOOKUP(A970,NAMA,2)</f>
        <v>R.TRI WIJAYANTI</v>
      </c>
      <c r="C970" s="75"/>
      <c r="D970" s="75"/>
      <c r="E970" s="75"/>
      <c r="F970" s="76"/>
      <c r="G970" s="3" t="s">
        <v>0</v>
      </c>
      <c r="H970" s="77" t="s">
        <v>1</v>
      </c>
      <c r="I970" s="78"/>
      <c r="J970" s="78"/>
      <c r="K970" s="78"/>
      <c r="L970" s="79"/>
      <c r="M970" s="80" t="s">
        <v>2</v>
      </c>
      <c r="N970" s="78"/>
      <c r="O970" s="78"/>
      <c r="P970" s="78"/>
      <c r="Q970" s="79"/>
      <c r="R970" s="69" t="s">
        <v>29</v>
      </c>
      <c r="T970" s="1"/>
    </row>
    <row r="971" spans="1:22" x14ac:dyDescent="0.25">
      <c r="A971" s="4" t="s">
        <v>4</v>
      </c>
      <c r="B971" s="5" t="s">
        <v>5</v>
      </c>
      <c r="C971" s="6" t="s">
        <v>6</v>
      </c>
      <c r="D971" s="6" t="s">
        <v>7</v>
      </c>
      <c r="E971" s="5" t="s">
        <v>8</v>
      </c>
      <c r="F971" s="5" t="s">
        <v>9</v>
      </c>
      <c r="G971" s="7" t="s">
        <v>10</v>
      </c>
      <c r="H971" s="8" t="s">
        <v>11</v>
      </c>
      <c r="I971" s="9" t="s">
        <v>0</v>
      </c>
      <c r="J971" s="9" t="s">
        <v>12</v>
      </c>
      <c r="K971" s="9" t="s">
        <v>13</v>
      </c>
      <c r="L971" s="10" t="s">
        <v>14</v>
      </c>
      <c r="M971" s="9" t="s">
        <v>11</v>
      </c>
      <c r="N971" s="9" t="s">
        <v>0</v>
      </c>
      <c r="O971" s="9" t="s">
        <v>12</v>
      </c>
      <c r="P971" s="9" t="s">
        <v>13</v>
      </c>
      <c r="Q971" s="10" t="s">
        <v>14</v>
      </c>
      <c r="R971" s="70"/>
      <c r="S971" s="11"/>
      <c r="T971" s="1"/>
    </row>
    <row r="972" spans="1:22" x14ac:dyDescent="0.25">
      <c r="A972" s="12" t="s">
        <v>15</v>
      </c>
      <c r="B972" s="41">
        <v>25000</v>
      </c>
      <c r="C972" s="41">
        <v>2565000</v>
      </c>
      <c r="D972" s="41">
        <v>1717650</v>
      </c>
      <c r="E972" s="41">
        <v>4000000</v>
      </c>
      <c r="F972" s="41">
        <v>1200000</v>
      </c>
      <c r="G972" s="15">
        <f t="shared" ref="G972" si="338">SUM(B972:F972)</f>
        <v>9507650</v>
      </c>
      <c r="H972" s="16"/>
      <c r="I972" s="17"/>
      <c r="J972" s="18">
        <v>4600000</v>
      </c>
      <c r="K972" s="17"/>
      <c r="L972" s="17"/>
      <c r="M972" s="17"/>
      <c r="N972" s="17"/>
      <c r="O972" s="17"/>
      <c r="P972" s="17"/>
      <c r="Q972" s="17"/>
      <c r="R972" s="19"/>
      <c r="T972" s="1"/>
    </row>
    <row r="973" spans="1:22" x14ac:dyDescent="0.25">
      <c r="A973" s="20" t="s">
        <v>16</v>
      </c>
      <c r="B973" s="42"/>
      <c r="C973" s="43">
        <v>15000</v>
      </c>
      <c r="D973" s="43">
        <v>10000</v>
      </c>
      <c r="E973" s="43">
        <v>500000</v>
      </c>
      <c r="F973" s="43">
        <v>50000</v>
      </c>
      <c r="G973" s="15">
        <f t="shared" ref="G973:G985" si="339">SUM(B973:F973)</f>
        <v>575000</v>
      </c>
      <c r="H973" s="16">
        <v>22</v>
      </c>
      <c r="I973" s="26">
        <v>200000</v>
      </c>
      <c r="J973" s="25">
        <f t="shared" ref="J973:J984" si="340">J972-I973</f>
        <v>4400000</v>
      </c>
      <c r="K973" s="26">
        <f>0.015*J972</f>
        <v>69000</v>
      </c>
      <c r="L973" s="26"/>
      <c r="M973" s="25"/>
      <c r="N973" s="25"/>
      <c r="O973" s="25"/>
      <c r="P973" s="25"/>
      <c r="Q973" s="25"/>
      <c r="R973" s="27">
        <f>K973+I973+G973</f>
        <v>844000</v>
      </c>
      <c r="T973" s="1"/>
    </row>
    <row r="974" spans="1:22" x14ac:dyDescent="0.25">
      <c r="A974" s="20" t="s">
        <v>17</v>
      </c>
      <c r="B974" s="42"/>
      <c r="C974" s="43">
        <v>15000</v>
      </c>
      <c r="D974" s="43">
        <v>10000</v>
      </c>
      <c r="E974" s="43">
        <v>500000</v>
      </c>
      <c r="F974" s="43">
        <v>50000</v>
      </c>
      <c r="G974" s="15">
        <f t="shared" si="339"/>
        <v>575000</v>
      </c>
      <c r="H974" s="16">
        <v>23</v>
      </c>
      <c r="I974" s="26">
        <v>200000</v>
      </c>
      <c r="J974" s="25">
        <f t="shared" si="340"/>
        <v>4200000</v>
      </c>
      <c r="K974" s="26">
        <f>0.015*J973</f>
        <v>66000</v>
      </c>
      <c r="L974" s="26"/>
      <c r="M974" s="25"/>
      <c r="N974" s="25"/>
      <c r="O974" s="25"/>
      <c r="P974" s="25"/>
      <c r="Q974" s="25"/>
      <c r="R974" s="27">
        <f>K974+I974+G974</f>
        <v>841000</v>
      </c>
      <c r="T974" s="1"/>
      <c r="V974" s="1"/>
    </row>
    <row r="975" spans="1:22" x14ac:dyDescent="0.25">
      <c r="A975" s="20" t="s">
        <v>18</v>
      </c>
      <c r="B975" s="42"/>
      <c r="C975" s="43">
        <v>15000</v>
      </c>
      <c r="D975" s="43">
        <v>10000</v>
      </c>
      <c r="E975" s="43">
        <v>500000</v>
      </c>
      <c r="F975" s="43">
        <v>50000</v>
      </c>
      <c r="G975" s="15">
        <f t="shared" si="339"/>
        <v>575000</v>
      </c>
      <c r="H975" s="16">
        <v>24</v>
      </c>
      <c r="I975" s="26">
        <v>200000</v>
      </c>
      <c r="J975" s="25">
        <f t="shared" si="340"/>
        <v>4000000</v>
      </c>
      <c r="K975" s="26">
        <f t="shared" ref="K975:K976" si="341">0.015*J974</f>
        <v>63000</v>
      </c>
      <c r="L975" s="26"/>
      <c r="M975" s="25"/>
      <c r="N975" s="25"/>
      <c r="O975" s="25"/>
      <c r="P975" s="25"/>
      <c r="Q975" s="25"/>
      <c r="R975" s="27">
        <f t="shared" ref="R975:R980" si="342">K975+I975+G975</f>
        <v>838000</v>
      </c>
      <c r="T975" s="1"/>
    </row>
    <row r="976" spans="1:22" x14ac:dyDescent="0.25">
      <c r="A976" s="20" t="s">
        <v>19</v>
      </c>
      <c r="B976" s="42"/>
      <c r="C976" s="43">
        <v>15000</v>
      </c>
      <c r="D976" s="43">
        <v>10000</v>
      </c>
      <c r="E976" s="43">
        <v>-5500000</v>
      </c>
      <c r="F976" s="43">
        <v>50000</v>
      </c>
      <c r="G976" s="15">
        <f t="shared" si="339"/>
        <v>-5425000</v>
      </c>
      <c r="H976" s="16">
        <v>25</v>
      </c>
      <c r="I976" s="26">
        <v>200000</v>
      </c>
      <c r="J976" s="25">
        <f t="shared" si="340"/>
        <v>3800000</v>
      </c>
      <c r="K976" s="26">
        <f t="shared" si="341"/>
        <v>60000</v>
      </c>
      <c r="L976" s="26"/>
      <c r="M976" s="25"/>
      <c r="N976" s="25"/>
      <c r="O976" s="25"/>
      <c r="P976" s="25"/>
      <c r="Q976" s="25"/>
      <c r="R976" s="27">
        <f>K976+I976+G976</f>
        <v>-5165000</v>
      </c>
      <c r="T976" s="1"/>
    </row>
    <row r="977" spans="1:22" x14ac:dyDescent="0.25">
      <c r="A977" s="20" t="s">
        <v>20</v>
      </c>
      <c r="B977" s="42"/>
      <c r="C977" s="43">
        <v>15000</v>
      </c>
      <c r="D977" s="43">
        <v>10000</v>
      </c>
      <c r="E977" s="43">
        <v>500000</v>
      </c>
      <c r="F977" s="43">
        <v>50000</v>
      </c>
      <c r="G977" s="15">
        <f t="shared" si="339"/>
        <v>575000</v>
      </c>
      <c r="H977" s="16">
        <v>26</v>
      </c>
      <c r="I977" s="26">
        <v>200000</v>
      </c>
      <c r="J977" s="25">
        <f t="shared" si="340"/>
        <v>3600000</v>
      </c>
      <c r="K977" s="26">
        <f t="shared" ref="K977:K978" si="343">0.015*J976</f>
        <v>57000</v>
      </c>
      <c r="L977" s="26"/>
      <c r="M977" s="25"/>
      <c r="N977" s="25"/>
      <c r="O977" s="25"/>
      <c r="P977" s="25"/>
      <c r="Q977" s="25"/>
      <c r="R977" s="27">
        <f t="shared" si="342"/>
        <v>832000</v>
      </c>
      <c r="T977" s="1"/>
    </row>
    <row r="978" spans="1:22" x14ac:dyDescent="0.25">
      <c r="A978" s="20" t="s">
        <v>21</v>
      </c>
      <c r="B978" s="42"/>
      <c r="C978" s="43">
        <v>15000</v>
      </c>
      <c r="D978" s="43">
        <v>10000</v>
      </c>
      <c r="E978" s="43">
        <v>500000</v>
      </c>
      <c r="F978" s="43">
        <v>-450000</v>
      </c>
      <c r="G978" s="15">
        <f t="shared" si="339"/>
        <v>75000</v>
      </c>
      <c r="H978" s="16">
        <v>27</v>
      </c>
      <c r="I978" s="26">
        <v>200000</v>
      </c>
      <c r="J978" s="25">
        <f t="shared" si="340"/>
        <v>3400000</v>
      </c>
      <c r="K978" s="26">
        <f t="shared" si="343"/>
        <v>54000</v>
      </c>
      <c r="L978" s="26"/>
      <c r="M978" s="25"/>
      <c r="N978" s="25"/>
      <c r="O978" s="25"/>
      <c r="P978" s="25"/>
      <c r="Q978" s="25"/>
      <c r="R978" s="27">
        <f t="shared" si="342"/>
        <v>329000</v>
      </c>
      <c r="T978" s="1"/>
    </row>
    <row r="979" spans="1:22" x14ac:dyDescent="0.25">
      <c r="A979" s="20" t="s">
        <v>22</v>
      </c>
      <c r="B979" s="42"/>
      <c r="C979" s="43">
        <v>15000</v>
      </c>
      <c r="D979" s="43">
        <v>10000</v>
      </c>
      <c r="E979" s="43">
        <v>500000</v>
      </c>
      <c r="F979" s="43">
        <v>50000</v>
      </c>
      <c r="G979" s="15">
        <f t="shared" si="339"/>
        <v>575000</v>
      </c>
      <c r="H979" s="16">
        <v>28</v>
      </c>
      <c r="I979" s="26">
        <v>200000</v>
      </c>
      <c r="J979" s="25">
        <f t="shared" si="340"/>
        <v>3200000</v>
      </c>
      <c r="K979" s="26">
        <f t="shared" ref="K979" si="344">0.015*J978</f>
        <v>51000</v>
      </c>
      <c r="L979" s="26"/>
      <c r="M979" s="25"/>
      <c r="N979" s="25"/>
      <c r="O979" s="25"/>
      <c r="P979" s="25"/>
      <c r="Q979" s="25"/>
      <c r="R979" s="27">
        <f t="shared" si="342"/>
        <v>826000</v>
      </c>
      <c r="T979" s="1"/>
      <c r="V979" s="1"/>
    </row>
    <row r="980" spans="1:22" x14ac:dyDescent="0.25">
      <c r="A980" s="20" t="s">
        <v>23</v>
      </c>
      <c r="B980" s="42"/>
      <c r="C980" s="43">
        <v>15000</v>
      </c>
      <c r="D980" s="43">
        <v>10000</v>
      </c>
      <c r="E980" s="43">
        <v>500000</v>
      </c>
      <c r="F980" s="43">
        <v>50000</v>
      </c>
      <c r="G980" s="15">
        <f t="shared" si="339"/>
        <v>575000</v>
      </c>
      <c r="H980" s="16">
        <v>29</v>
      </c>
      <c r="I980" s="26">
        <v>200000</v>
      </c>
      <c r="J980" s="25">
        <f t="shared" si="340"/>
        <v>3000000</v>
      </c>
      <c r="K980" s="26">
        <f t="shared" ref="K980" si="345">0.015*J979</f>
        <v>48000</v>
      </c>
      <c r="L980" s="26"/>
      <c r="M980" s="25"/>
      <c r="N980" s="25"/>
      <c r="O980" s="25"/>
      <c r="P980" s="25"/>
      <c r="Q980" s="25"/>
      <c r="R980" s="27">
        <f t="shared" si="342"/>
        <v>823000</v>
      </c>
      <c r="T980" s="1"/>
      <c r="V980" s="1"/>
    </row>
    <row r="981" spans="1:22" x14ac:dyDescent="0.25">
      <c r="A981" s="20" t="s">
        <v>24</v>
      </c>
      <c r="B981" s="42"/>
      <c r="C981" s="43">
        <v>15000</v>
      </c>
      <c r="D981" s="43">
        <v>10000</v>
      </c>
      <c r="E981" s="43">
        <v>500000</v>
      </c>
      <c r="F981" s="43">
        <v>50000</v>
      </c>
      <c r="G981" s="15">
        <f t="shared" si="339"/>
        <v>575000</v>
      </c>
      <c r="H981" s="16">
        <v>30</v>
      </c>
      <c r="I981" s="26">
        <v>200000</v>
      </c>
      <c r="J981" s="25">
        <f t="shared" si="340"/>
        <v>2800000</v>
      </c>
      <c r="K981" s="26">
        <f t="shared" ref="K981:K982" si="346">0.015*J980</f>
        <v>45000</v>
      </c>
      <c r="L981" s="26"/>
      <c r="M981" s="25"/>
      <c r="N981" s="25"/>
      <c r="O981" s="25"/>
      <c r="P981" s="25"/>
      <c r="Q981" s="25"/>
      <c r="R981" s="27">
        <f>K981+I981+G981</f>
        <v>820000</v>
      </c>
      <c r="T981" s="1"/>
    </row>
    <row r="982" spans="1:22" x14ac:dyDescent="0.25">
      <c r="A982" s="20" t="s">
        <v>25</v>
      </c>
      <c r="B982" s="42"/>
      <c r="C982" s="43">
        <v>15000</v>
      </c>
      <c r="D982" s="43">
        <v>10000</v>
      </c>
      <c r="E982" s="43">
        <v>500000</v>
      </c>
      <c r="F982" s="43">
        <v>50000</v>
      </c>
      <c r="G982" s="15">
        <f t="shared" si="339"/>
        <v>575000</v>
      </c>
      <c r="H982" s="16">
        <v>31</v>
      </c>
      <c r="I982" s="26">
        <v>200000</v>
      </c>
      <c r="J982" s="25">
        <f t="shared" si="340"/>
        <v>2600000</v>
      </c>
      <c r="K982" s="26">
        <f t="shared" si="346"/>
        <v>42000</v>
      </c>
      <c r="L982" s="26"/>
      <c r="M982" s="25"/>
      <c r="N982" s="25"/>
      <c r="O982" s="25"/>
      <c r="P982" s="25"/>
      <c r="Q982" s="25"/>
      <c r="R982" s="27">
        <f t="shared" ref="R982:R984" si="347">K982+I982+G982</f>
        <v>817000</v>
      </c>
      <c r="T982" s="1"/>
    </row>
    <row r="983" spans="1:22" x14ac:dyDescent="0.25">
      <c r="A983" s="20" t="s">
        <v>26</v>
      </c>
      <c r="B983" s="42"/>
      <c r="C983" s="43">
        <v>15000</v>
      </c>
      <c r="D983" s="43">
        <v>10000</v>
      </c>
      <c r="E983" s="43">
        <v>500000</v>
      </c>
      <c r="F983" s="43">
        <v>50000</v>
      </c>
      <c r="G983" s="15">
        <f t="shared" si="339"/>
        <v>575000</v>
      </c>
      <c r="H983" s="16">
        <v>32</v>
      </c>
      <c r="I983" s="26">
        <v>200000</v>
      </c>
      <c r="J983" s="25">
        <f t="shared" si="340"/>
        <v>2400000</v>
      </c>
      <c r="K983" s="26">
        <f t="shared" ref="K983" si="348">0.015*J982</f>
        <v>39000</v>
      </c>
      <c r="L983" s="26"/>
      <c r="M983" s="25"/>
      <c r="N983" s="25"/>
      <c r="O983" s="25"/>
      <c r="P983" s="25"/>
      <c r="Q983" s="25"/>
      <c r="R983" s="27">
        <f t="shared" si="347"/>
        <v>814000</v>
      </c>
    </row>
    <row r="984" spans="1:22" ht="15.75" thickBot="1" x14ac:dyDescent="0.3">
      <c r="A984" s="12" t="s">
        <v>15</v>
      </c>
      <c r="B984" s="44"/>
      <c r="C984" s="43">
        <v>15000</v>
      </c>
      <c r="D984" s="43">
        <v>10000</v>
      </c>
      <c r="E984" s="43">
        <v>500000</v>
      </c>
      <c r="F984" s="43">
        <v>50000</v>
      </c>
      <c r="G984" s="15">
        <f t="shared" si="339"/>
        <v>575000</v>
      </c>
      <c r="H984" s="16">
        <v>33</v>
      </c>
      <c r="I984" s="26">
        <v>200000</v>
      </c>
      <c r="J984" s="25">
        <f t="shared" si="340"/>
        <v>2200000</v>
      </c>
      <c r="K984" s="26">
        <f t="shared" ref="K984" si="349">0.015*J983</f>
        <v>36000</v>
      </c>
      <c r="L984" s="26"/>
      <c r="M984" s="25"/>
      <c r="N984" s="25"/>
      <c r="O984" s="25"/>
      <c r="P984" s="25"/>
      <c r="Q984" s="25"/>
      <c r="R984" s="27">
        <f t="shared" si="347"/>
        <v>811000</v>
      </c>
      <c r="T984" s="1"/>
    </row>
    <row r="985" spans="1:22" ht="15.75" thickBot="1" x14ac:dyDescent="0.3">
      <c r="A985" s="29" t="s">
        <v>0</v>
      </c>
      <c r="B985" s="30">
        <f t="shared" ref="B985:F985" si="350">SUM(B972:B984)</f>
        <v>25000</v>
      </c>
      <c r="C985" s="30">
        <f>SUM(C972:C984)</f>
        <v>2745000</v>
      </c>
      <c r="D985" s="30">
        <f t="shared" si="350"/>
        <v>1837650</v>
      </c>
      <c r="E985" s="30">
        <f t="shared" si="350"/>
        <v>4000000</v>
      </c>
      <c r="F985" s="30">
        <f t="shared" si="350"/>
        <v>1300000</v>
      </c>
      <c r="G985" s="15">
        <f t="shared" si="339"/>
        <v>9907650</v>
      </c>
      <c r="H985" s="32"/>
      <c r="I985" s="71" t="s">
        <v>27</v>
      </c>
      <c r="J985" s="72"/>
      <c r="K985" s="33">
        <f>SUM(K972:K984)</f>
        <v>630000</v>
      </c>
      <c r="L985" s="34"/>
      <c r="M985" s="71" t="s">
        <v>28</v>
      </c>
      <c r="N985" s="73"/>
      <c r="O985" s="72"/>
      <c r="P985" s="33">
        <f>SUM(P972:P984)</f>
        <v>0</v>
      </c>
      <c r="Q985" s="34"/>
      <c r="R985" s="35"/>
      <c r="T985" s="1"/>
    </row>
    <row r="986" spans="1:22" s="36" customFormat="1" ht="15.75" thickBot="1" x14ac:dyDescent="0.3">
      <c r="C986" s="37"/>
      <c r="D986" s="37"/>
      <c r="F986" s="38"/>
      <c r="G986" s="38"/>
      <c r="H986" s="39"/>
      <c r="I986" s="39"/>
      <c r="J986" s="39"/>
      <c r="K986" s="39"/>
      <c r="L986" s="39"/>
      <c r="M986" s="39"/>
      <c r="N986" s="27"/>
      <c r="O986" s="39"/>
      <c r="P986" s="39"/>
      <c r="Q986" s="39"/>
      <c r="R986" s="39"/>
      <c r="T986" s="40"/>
    </row>
    <row r="987" spans="1:22" ht="15.75" customHeight="1" thickBot="1" x14ac:dyDescent="0.3">
      <c r="A987" s="2">
        <f>A970+1</f>
        <v>59</v>
      </c>
      <c r="B987" s="74" t="str">
        <f>VLOOKUP(A987,NAMA,2)</f>
        <v>SUSANTI</v>
      </c>
      <c r="C987" s="75"/>
      <c r="D987" s="75"/>
      <c r="E987" s="75"/>
      <c r="F987" s="76"/>
      <c r="G987" s="3" t="s">
        <v>0</v>
      </c>
      <c r="H987" s="77" t="s">
        <v>1</v>
      </c>
      <c r="I987" s="78"/>
      <c r="J987" s="78"/>
      <c r="K987" s="78"/>
      <c r="L987" s="79"/>
      <c r="M987" s="80" t="s">
        <v>2</v>
      </c>
      <c r="N987" s="78"/>
      <c r="O987" s="78"/>
      <c r="P987" s="78"/>
      <c r="Q987" s="79"/>
      <c r="R987" s="69" t="s">
        <v>29</v>
      </c>
      <c r="T987" s="1"/>
    </row>
    <row r="988" spans="1:22" x14ac:dyDescent="0.25">
      <c r="A988" s="4" t="s">
        <v>4</v>
      </c>
      <c r="B988" s="5" t="s">
        <v>5</v>
      </c>
      <c r="C988" s="6" t="s">
        <v>6</v>
      </c>
      <c r="D988" s="6" t="s">
        <v>7</v>
      </c>
      <c r="E988" s="5" t="s">
        <v>8</v>
      </c>
      <c r="F988" s="5" t="s">
        <v>9</v>
      </c>
      <c r="G988" s="7" t="s">
        <v>10</v>
      </c>
      <c r="H988" s="8" t="s">
        <v>11</v>
      </c>
      <c r="I988" s="9" t="s">
        <v>0</v>
      </c>
      <c r="J988" s="9" t="s">
        <v>12</v>
      </c>
      <c r="K988" s="9" t="s">
        <v>13</v>
      </c>
      <c r="L988" s="10" t="s">
        <v>14</v>
      </c>
      <c r="M988" s="9" t="s">
        <v>11</v>
      </c>
      <c r="N988" s="9" t="s">
        <v>0</v>
      </c>
      <c r="O988" s="9" t="s">
        <v>12</v>
      </c>
      <c r="P988" s="9" t="s">
        <v>13</v>
      </c>
      <c r="Q988" s="10" t="s">
        <v>14</v>
      </c>
      <c r="R988" s="70"/>
      <c r="S988" s="11"/>
      <c r="T988" s="1"/>
    </row>
    <row r="989" spans="1:22" x14ac:dyDescent="0.25">
      <c r="A989" s="12" t="s">
        <v>15</v>
      </c>
      <c r="B989" s="41">
        <v>100000</v>
      </c>
      <c r="C989" s="41">
        <v>7500000</v>
      </c>
      <c r="D989" s="41">
        <v>5852125</v>
      </c>
      <c r="E989" s="41">
        <v>0</v>
      </c>
      <c r="F989" s="41">
        <v>0</v>
      </c>
      <c r="G989" s="15">
        <f t="shared" ref="G989" si="351">SUM(B989:F989)</f>
        <v>13452125</v>
      </c>
      <c r="H989" s="16"/>
      <c r="I989" s="17"/>
      <c r="J989" s="18">
        <v>8500000</v>
      </c>
      <c r="K989" s="17"/>
      <c r="L989" s="17"/>
      <c r="M989" s="17"/>
      <c r="N989" s="17"/>
      <c r="O989" s="17"/>
      <c r="P989" s="17"/>
      <c r="Q989" s="17"/>
      <c r="R989" s="19"/>
      <c r="T989" s="1"/>
    </row>
    <row r="990" spans="1:22" x14ac:dyDescent="0.25">
      <c r="A990" s="20" t="s">
        <v>16</v>
      </c>
      <c r="B990" s="42"/>
      <c r="C990" s="43">
        <v>100000</v>
      </c>
      <c r="D990" s="43">
        <v>75000</v>
      </c>
      <c r="E990" s="43">
        <v>100000</v>
      </c>
      <c r="F990" s="43">
        <v>50000</v>
      </c>
      <c r="G990" s="15">
        <f t="shared" ref="G990:G1002" si="352">SUM(B990:F990)</f>
        <v>325000</v>
      </c>
      <c r="H990" s="16">
        <v>17</v>
      </c>
      <c r="I990" s="26">
        <v>1500000</v>
      </c>
      <c r="J990" s="25">
        <f t="shared" ref="J990:J1001" si="353">J989-I990</f>
        <v>7000000</v>
      </c>
      <c r="K990" s="26">
        <f>0.015*J989</f>
        <v>127500</v>
      </c>
      <c r="L990" s="26"/>
      <c r="M990" s="25"/>
      <c r="N990" s="25"/>
      <c r="O990" s="25"/>
      <c r="P990" s="25"/>
      <c r="Q990" s="25"/>
      <c r="R990" s="27">
        <f>K990+I990+G990</f>
        <v>1952500</v>
      </c>
      <c r="T990" s="1"/>
    </row>
    <row r="991" spans="1:22" x14ac:dyDescent="0.25">
      <c r="A991" s="20" t="s">
        <v>17</v>
      </c>
      <c r="B991" s="42"/>
      <c r="C991" s="43">
        <v>100000</v>
      </c>
      <c r="D991" s="43">
        <v>75000</v>
      </c>
      <c r="E991" s="43">
        <v>100000</v>
      </c>
      <c r="F991" s="43">
        <v>50000</v>
      </c>
      <c r="G991" s="15">
        <f t="shared" si="352"/>
        <v>325000</v>
      </c>
      <c r="H991" s="16">
        <v>18</v>
      </c>
      <c r="I991" s="26">
        <v>1500000</v>
      </c>
      <c r="J991" s="25">
        <f>J990-I991+15000000</f>
        <v>20500000</v>
      </c>
      <c r="K991" s="26">
        <f>0.015*J990</f>
        <v>105000</v>
      </c>
      <c r="L991" s="26"/>
      <c r="M991" s="25"/>
      <c r="N991" s="25"/>
      <c r="O991" s="25"/>
      <c r="P991" s="25"/>
      <c r="Q991" s="25"/>
      <c r="R991" s="27">
        <f t="shared" ref="R991:R1001" si="354">K991+I991+G991</f>
        <v>1930000</v>
      </c>
      <c r="T991" s="1"/>
      <c r="V991" s="1"/>
    </row>
    <row r="992" spans="1:22" x14ac:dyDescent="0.25">
      <c r="A992" s="20" t="s">
        <v>18</v>
      </c>
      <c r="B992" s="42"/>
      <c r="C992" s="43">
        <v>100000</v>
      </c>
      <c r="D992" s="43">
        <v>75000</v>
      </c>
      <c r="E992" s="43">
        <v>100000</v>
      </c>
      <c r="F992" s="43">
        <v>50000</v>
      </c>
      <c r="G992" s="15">
        <f t="shared" si="352"/>
        <v>325000</v>
      </c>
      <c r="H992" s="16">
        <v>19</v>
      </c>
      <c r="I992" s="26">
        <v>1500000</v>
      </c>
      <c r="J992" s="25">
        <f t="shared" si="353"/>
        <v>19000000</v>
      </c>
      <c r="K992" s="26">
        <f t="shared" ref="K992:K993" si="355">0.015*J991</f>
        <v>307500</v>
      </c>
      <c r="L992" s="26"/>
      <c r="M992" s="25"/>
      <c r="N992" s="25"/>
      <c r="O992" s="25"/>
      <c r="P992" s="25"/>
      <c r="Q992" s="25"/>
      <c r="R992" s="27">
        <f t="shared" si="354"/>
        <v>2132500</v>
      </c>
      <c r="T992" s="1"/>
    </row>
    <row r="993" spans="1:22" x14ac:dyDescent="0.25">
      <c r="A993" s="20" t="s">
        <v>19</v>
      </c>
      <c r="B993" s="42"/>
      <c r="C993" s="43">
        <v>100000</v>
      </c>
      <c r="D993" s="43">
        <v>75000</v>
      </c>
      <c r="E993" s="43">
        <v>-300000</v>
      </c>
      <c r="F993" s="43">
        <v>50000</v>
      </c>
      <c r="G993" s="15">
        <f t="shared" si="352"/>
        <v>-75000</v>
      </c>
      <c r="H993" s="16">
        <v>20</v>
      </c>
      <c r="I993" s="26">
        <v>1500000</v>
      </c>
      <c r="J993" s="25">
        <f t="shared" si="353"/>
        <v>17500000</v>
      </c>
      <c r="K993" s="26">
        <f t="shared" si="355"/>
        <v>285000</v>
      </c>
      <c r="L993" s="26"/>
      <c r="M993" s="25"/>
      <c r="N993" s="25"/>
      <c r="O993" s="25"/>
      <c r="P993" s="25"/>
      <c r="Q993" s="25"/>
      <c r="R993" s="27">
        <f t="shared" si="354"/>
        <v>1710000</v>
      </c>
      <c r="T993" s="1"/>
    </row>
    <row r="994" spans="1:22" x14ac:dyDescent="0.25">
      <c r="A994" s="20" t="s">
        <v>20</v>
      </c>
      <c r="B994" s="42"/>
      <c r="C994" s="43">
        <v>100000</v>
      </c>
      <c r="D994" s="43">
        <v>75000</v>
      </c>
      <c r="E994" s="43">
        <v>100000</v>
      </c>
      <c r="F994" s="43">
        <v>50000</v>
      </c>
      <c r="G994" s="15">
        <f t="shared" si="352"/>
        <v>325000</v>
      </c>
      <c r="H994" s="16">
        <v>21</v>
      </c>
      <c r="I994" s="26">
        <v>1500000</v>
      </c>
      <c r="J994" s="25">
        <f t="shared" si="353"/>
        <v>16000000</v>
      </c>
      <c r="K994" s="26">
        <f t="shared" ref="K994:K995" si="356">0.015*J993</f>
        <v>262500</v>
      </c>
      <c r="L994" s="26"/>
      <c r="M994" s="25"/>
      <c r="N994" s="25"/>
      <c r="O994" s="25"/>
      <c r="P994" s="25"/>
      <c r="Q994" s="25"/>
      <c r="R994" s="27">
        <f t="shared" si="354"/>
        <v>2087500</v>
      </c>
      <c r="T994" s="1"/>
    </row>
    <row r="995" spans="1:22" x14ac:dyDescent="0.25">
      <c r="A995" s="20" t="s">
        <v>21</v>
      </c>
      <c r="B995" s="42"/>
      <c r="C995" s="43">
        <v>100000</v>
      </c>
      <c r="D995" s="43">
        <v>75000</v>
      </c>
      <c r="E995" s="43">
        <v>100000</v>
      </c>
      <c r="F995" s="43">
        <v>50000</v>
      </c>
      <c r="G995" s="15">
        <f t="shared" si="352"/>
        <v>325000</v>
      </c>
      <c r="H995" s="16">
        <v>22</v>
      </c>
      <c r="I995" s="26">
        <v>1500000</v>
      </c>
      <c r="J995" s="25">
        <f t="shared" si="353"/>
        <v>14500000</v>
      </c>
      <c r="K995" s="26">
        <f t="shared" si="356"/>
        <v>240000</v>
      </c>
      <c r="L995" s="26"/>
      <c r="M995" s="25"/>
      <c r="N995" s="25"/>
      <c r="O995" s="25"/>
      <c r="P995" s="25"/>
      <c r="Q995" s="25"/>
      <c r="R995" s="27">
        <f t="shared" si="354"/>
        <v>2065000</v>
      </c>
      <c r="T995" s="1"/>
    </row>
    <row r="996" spans="1:22" x14ac:dyDescent="0.25">
      <c r="A996" s="20" t="s">
        <v>22</v>
      </c>
      <c r="B996" s="42"/>
      <c r="C996" s="43">
        <v>100000</v>
      </c>
      <c r="D996" s="43">
        <v>75000</v>
      </c>
      <c r="E996" s="43">
        <v>100000</v>
      </c>
      <c r="F996" s="43">
        <v>50000</v>
      </c>
      <c r="G996" s="15">
        <f t="shared" si="352"/>
        <v>325000</v>
      </c>
      <c r="H996" s="16">
        <v>23</v>
      </c>
      <c r="I996" s="26">
        <v>1500000</v>
      </c>
      <c r="J996" s="25">
        <f t="shared" si="353"/>
        <v>13000000</v>
      </c>
      <c r="K996" s="26">
        <f t="shared" ref="K996" si="357">0.015*J995</f>
        <v>217500</v>
      </c>
      <c r="L996" s="26"/>
      <c r="M996" s="25"/>
      <c r="N996" s="25"/>
      <c r="O996" s="25"/>
      <c r="P996" s="25"/>
      <c r="Q996" s="25"/>
      <c r="R996" s="27">
        <f t="shared" si="354"/>
        <v>2042500</v>
      </c>
      <c r="T996" s="1"/>
      <c r="V996" s="1"/>
    </row>
    <row r="997" spans="1:22" x14ac:dyDescent="0.25">
      <c r="A997" s="20" t="s">
        <v>23</v>
      </c>
      <c r="B997" s="42"/>
      <c r="C997" s="43">
        <v>100000</v>
      </c>
      <c r="D997" s="43">
        <v>75000</v>
      </c>
      <c r="E997" s="43">
        <v>100000</v>
      </c>
      <c r="F997" s="43">
        <v>50000</v>
      </c>
      <c r="G997" s="15">
        <f t="shared" si="352"/>
        <v>325000</v>
      </c>
      <c r="H997" s="16">
        <v>24</v>
      </c>
      <c r="I997" s="26">
        <v>1500000</v>
      </c>
      <c r="J997" s="25">
        <f t="shared" si="353"/>
        <v>11500000</v>
      </c>
      <c r="K997" s="26">
        <f t="shared" ref="K997" si="358">0.015*J996</f>
        <v>195000</v>
      </c>
      <c r="L997" s="26"/>
      <c r="M997" s="25"/>
      <c r="N997" s="25"/>
      <c r="O997" s="25"/>
      <c r="P997" s="25"/>
      <c r="Q997" s="25"/>
      <c r="R997" s="27">
        <f t="shared" si="354"/>
        <v>2020000</v>
      </c>
      <c r="T997" s="1"/>
      <c r="V997" s="1"/>
    </row>
    <row r="998" spans="1:22" x14ac:dyDescent="0.25">
      <c r="A998" s="20" t="s">
        <v>24</v>
      </c>
      <c r="B998" s="42"/>
      <c r="C998" s="43">
        <v>100000</v>
      </c>
      <c r="D998" s="43">
        <v>75000</v>
      </c>
      <c r="E998" s="43">
        <v>100000</v>
      </c>
      <c r="F998" s="43">
        <v>50000</v>
      </c>
      <c r="G998" s="15">
        <f t="shared" si="352"/>
        <v>325000</v>
      </c>
      <c r="H998" s="16">
        <v>25</v>
      </c>
      <c r="I998" s="26">
        <v>1500000</v>
      </c>
      <c r="J998" s="25">
        <f t="shared" si="353"/>
        <v>10000000</v>
      </c>
      <c r="K998" s="26">
        <f t="shared" ref="K998" si="359">0.015*J997</f>
        <v>172500</v>
      </c>
      <c r="L998" s="26"/>
      <c r="M998" s="25"/>
      <c r="N998" s="25"/>
      <c r="O998" s="25"/>
      <c r="P998" s="25"/>
      <c r="Q998" s="25"/>
      <c r="R998" s="27">
        <f t="shared" si="354"/>
        <v>1997500</v>
      </c>
      <c r="S998" s="64"/>
      <c r="T998" s="64"/>
    </row>
    <row r="999" spans="1:22" x14ac:dyDescent="0.25">
      <c r="A999" s="20" t="s">
        <v>25</v>
      </c>
      <c r="B999" s="42"/>
      <c r="C999" s="43">
        <v>100000</v>
      </c>
      <c r="D999" s="43">
        <v>75000</v>
      </c>
      <c r="E999" s="43">
        <v>100000</v>
      </c>
      <c r="F999" s="43">
        <v>50000</v>
      </c>
      <c r="G999" s="15">
        <f t="shared" si="352"/>
        <v>325000</v>
      </c>
      <c r="H999" s="16">
        <v>26</v>
      </c>
      <c r="I999" s="26">
        <v>1500000</v>
      </c>
      <c r="J999" s="25">
        <f t="shared" si="353"/>
        <v>8500000</v>
      </c>
      <c r="K999" s="26">
        <f t="shared" ref="K999" si="360">0.015*J998</f>
        <v>150000</v>
      </c>
      <c r="L999" s="26"/>
      <c r="M999" s="25"/>
      <c r="N999" s="25"/>
      <c r="O999" s="25"/>
      <c r="P999" s="25"/>
      <c r="Q999" s="25"/>
      <c r="R999" s="27">
        <f t="shared" si="354"/>
        <v>1975000</v>
      </c>
      <c r="T999" s="1"/>
    </row>
    <row r="1000" spans="1:22" x14ac:dyDescent="0.25">
      <c r="A1000" s="20" t="s">
        <v>26</v>
      </c>
      <c r="B1000" s="42"/>
      <c r="C1000" s="43">
        <v>100000</v>
      </c>
      <c r="D1000" s="43">
        <v>75000</v>
      </c>
      <c r="E1000" s="43">
        <v>100000</v>
      </c>
      <c r="F1000" s="43">
        <v>50000</v>
      </c>
      <c r="G1000" s="15">
        <f t="shared" si="352"/>
        <v>325000</v>
      </c>
      <c r="H1000" s="16">
        <v>27</v>
      </c>
      <c r="I1000" s="26">
        <v>1500000</v>
      </c>
      <c r="J1000" s="25">
        <f t="shared" si="353"/>
        <v>7000000</v>
      </c>
      <c r="K1000" s="26">
        <f>0.015*J999</f>
        <v>127500</v>
      </c>
      <c r="L1000" s="26"/>
      <c r="M1000" s="25"/>
      <c r="N1000" s="25"/>
      <c r="O1000" s="25"/>
      <c r="P1000" s="26">
        <f>0.02*O999</f>
        <v>0</v>
      </c>
      <c r="Q1000" s="25"/>
      <c r="R1000" s="27">
        <f t="shared" si="354"/>
        <v>1952500</v>
      </c>
    </row>
    <row r="1001" spans="1:22" ht="15.75" thickBot="1" x14ac:dyDescent="0.3">
      <c r="A1001" s="12" t="s">
        <v>15</v>
      </c>
      <c r="B1001" s="44"/>
      <c r="C1001" s="43">
        <v>100000</v>
      </c>
      <c r="D1001" s="43">
        <v>75000</v>
      </c>
      <c r="E1001" s="43">
        <v>100000</v>
      </c>
      <c r="F1001" s="43">
        <v>50000</v>
      </c>
      <c r="G1001" s="15">
        <f t="shared" si="352"/>
        <v>325000</v>
      </c>
      <c r="H1001" s="16">
        <v>28</v>
      </c>
      <c r="I1001" s="26">
        <v>1500000</v>
      </c>
      <c r="J1001" s="25">
        <f t="shared" si="353"/>
        <v>5500000</v>
      </c>
      <c r="K1001" s="26">
        <f>0.015*J1000</f>
        <v>105000</v>
      </c>
      <c r="L1001" s="26"/>
      <c r="M1001" s="25"/>
      <c r="N1001" s="25"/>
      <c r="O1001" s="25"/>
      <c r="P1001" s="25"/>
      <c r="Q1001" s="25"/>
      <c r="R1001" s="27">
        <f t="shared" si="354"/>
        <v>1930000</v>
      </c>
      <c r="T1001" s="1"/>
    </row>
    <row r="1002" spans="1:22" ht="15.75" thickBot="1" x14ac:dyDescent="0.3">
      <c r="A1002" s="29" t="s">
        <v>0</v>
      </c>
      <c r="B1002" s="30">
        <f t="shared" ref="B1002:F1002" si="361">SUM(B989:B1001)</f>
        <v>100000</v>
      </c>
      <c r="C1002" s="30">
        <f t="shared" si="361"/>
        <v>8700000</v>
      </c>
      <c r="D1002" s="30">
        <f t="shared" si="361"/>
        <v>6752125</v>
      </c>
      <c r="E1002" s="30">
        <f t="shared" si="361"/>
        <v>800000</v>
      </c>
      <c r="F1002" s="30">
        <f t="shared" si="361"/>
        <v>600000</v>
      </c>
      <c r="G1002" s="15">
        <f t="shared" si="352"/>
        <v>16952125</v>
      </c>
      <c r="H1002" s="32"/>
      <c r="I1002" s="71" t="s">
        <v>27</v>
      </c>
      <c r="J1002" s="72"/>
      <c r="K1002" s="33">
        <f>SUM(K989:K1001)</f>
        <v>2295000</v>
      </c>
      <c r="L1002" s="34"/>
      <c r="M1002" s="71" t="s">
        <v>28</v>
      </c>
      <c r="N1002" s="73"/>
      <c r="O1002" s="72"/>
      <c r="P1002" s="33">
        <f>SUM(P989:P1001)</f>
        <v>0</v>
      </c>
      <c r="Q1002" s="34"/>
      <c r="R1002" s="35"/>
      <c r="T1002" s="1"/>
    </row>
    <row r="1003" spans="1:22" s="36" customFormat="1" ht="15.75" thickBot="1" x14ac:dyDescent="0.3">
      <c r="C1003" s="37"/>
      <c r="D1003" s="37"/>
      <c r="F1003" s="38"/>
      <c r="G1003" s="38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T1003" s="40"/>
    </row>
    <row r="1004" spans="1:22" ht="15.75" customHeight="1" thickBot="1" x14ac:dyDescent="0.3">
      <c r="A1004" s="2">
        <f>A987+1</f>
        <v>60</v>
      </c>
      <c r="B1004" s="74" t="str">
        <f>VLOOKUP(A1004,NAMA,2)</f>
        <v>REVALDO</v>
      </c>
      <c r="C1004" s="75"/>
      <c r="D1004" s="75"/>
      <c r="E1004" s="75"/>
      <c r="F1004" s="76"/>
      <c r="G1004" s="3" t="s">
        <v>0</v>
      </c>
      <c r="H1004" s="77" t="s">
        <v>1</v>
      </c>
      <c r="I1004" s="78"/>
      <c r="J1004" s="78"/>
      <c r="K1004" s="78"/>
      <c r="L1004" s="79"/>
      <c r="M1004" s="80" t="s">
        <v>2</v>
      </c>
      <c r="N1004" s="78"/>
      <c r="O1004" s="78"/>
      <c r="P1004" s="78"/>
      <c r="Q1004" s="79"/>
      <c r="R1004" s="69" t="s">
        <v>29</v>
      </c>
      <c r="T1004" s="1"/>
    </row>
    <row r="1005" spans="1:22" x14ac:dyDescent="0.25">
      <c r="A1005" s="4" t="s">
        <v>4</v>
      </c>
      <c r="B1005" s="5" t="s">
        <v>5</v>
      </c>
      <c r="C1005" s="6" t="s">
        <v>6</v>
      </c>
      <c r="D1005" s="6" t="s">
        <v>7</v>
      </c>
      <c r="E1005" s="5" t="s">
        <v>8</v>
      </c>
      <c r="F1005" s="5" t="s">
        <v>9</v>
      </c>
      <c r="G1005" s="7" t="s">
        <v>10</v>
      </c>
      <c r="H1005" s="8" t="s">
        <v>11</v>
      </c>
      <c r="I1005" s="9" t="s">
        <v>0</v>
      </c>
      <c r="J1005" s="9" t="s">
        <v>12</v>
      </c>
      <c r="K1005" s="9" t="s">
        <v>13</v>
      </c>
      <c r="L1005" s="10" t="s">
        <v>14</v>
      </c>
      <c r="M1005" s="9" t="s">
        <v>11</v>
      </c>
      <c r="N1005" s="9" t="s">
        <v>0</v>
      </c>
      <c r="O1005" s="9" t="s">
        <v>12</v>
      </c>
      <c r="P1005" s="9" t="s">
        <v>13</v>
      </c>
      <c r="Q1005" s="10" t="s">
        <v>14</v>
      </c>
      <c r="R1005" s="70"/>
      <c r="S1005" s="11"/>
      <c r="T1005" s="1"/>
    </row>
    <row r="1006" spans="1:22" x14ac:dyDescent="0.25">
      <c r="A1006" s="12" t="s">
        <v>15</v>
      </c>
      <c r="B1006" s="41">
        <v>100000</v>
      </c>
      <c r="C1006" s="41">
        <v>3150000</v>
      </c>
      <c r="D1006" s="41">
        <v>400000</v>
      </c>
      <c r="E1006" s="41">
        <v>0</v>
      </c>
      <c r="F1006" s="41">
        <v>350000</v>
      </c>
      <c r="G1006" s="15">
        <f t="shared" ref="G1006" si="362">SUM(B1006:F1006)</f>
        <v>4000000</v>
      </c>
      <c r="H1006" s="16"/>
      <c r="I1006" s="17"/>
      <c r="J1006" s="18">
        <v>2750000</v>
      </c>
      <c r="K1006" s="17"/>
      <c r="L1006" s="17"/>
      <c r="M1006" s="17"/>
      <c r="N1006" s="17"/>
      <c r="O1006" s="17"/>
      <c r="P1006" s="17"/>
      <c r="Q1006" s="17"/>
      <c r="R1006" s="19"/>
      <c r="T1006" s="1"/>
    </row>
    <row r="1007" spans="1:22" x14ac:dyDescent="0.25">
      <c r="A1007" s="20" t="s">
        <v>16</v>
      </c>
      <c r="B1007" s="42"/>
      <c r="C1007" s="43">
        <v>100000</v>
      </c>
      <c r="D1007" s="43">
        <v>10000</v>
      </c>
      <c r="E1007" s="43">
        <v>0</v>
      </c>
      <c r="F1007" s="43">
        <v>0</v>
      </c>
      <c r="G1007" s="15">
        <f t="shared" ref="G1007:G1019" si="363">SUM(B1007:F1007)</f>
        <v>110000</v>
      </c>
      <c r="H1007" s="16">
        <v>10</v>
      </c>
      <c r="I1007" s="26">
        <v>250000</v>
      </c>
      <c r="J1007" s="25">
        <f t="shared" ref="J1007:J1011" si="364">J1006-I1007</f>
        <v>2500000</v>
      </c>
      <c r="K1007" s="26">
        <f t="shared" ref="K1007:K1018" si="365">0.015*J1006</f>
        <v>41250</v>
      </c>
      <c r="L1007" s="26"/>
      <c r="M1007" s="25"/>
      <c r="N1007" s="25"/>
      <c r="O1007" s="25"/>
      <c r="P1007" s="25"/>
      <c r="Q1007" s="25"/>
      <c r="R1007" s="27">
        <f>K1007+I1007+G1007</f>
        <v>401250</v>
      </c>
      <c r="T1007" s="1"/>
    </row>
    <row r="1008" spans="1:22" x14ac:dyDescent="0.25">
      <c r="A1008" s="20" t="s">
        <v>17</v>
      </c>
      <c r="B1008" s="42"/>
      <c r="C1008" s="43">
        <v>100000</v>
      </c>
      <c r="D1008" s="43">
        <v>10000</v>
      </c>
      <c r="E1008" s="43">
        <v>0</v>
      </c>
      <c r="F1008" s="43">
        <v>0</v>
      </c>
      <c r="G1008" s="15">
        <f t="shared" si="363"/>
        <v>110000</v>
      </c>
      <c r="H1008" s="16">
        <v>11</v>
      </c>
      <c r="I1008" s="26">
        <v>250000</v>
      </c>
      <c r="J1008" s="25">
        <f t="shared" si="364"/>
        <v>2250000</v>
      </c>
      <c r="K1008" s="26">
        <f t="shared" si="365"/>
        <v>37500</v>
      </c>
      <c r="L1008" s="26"/>
      <c r="M1008" s="25"/>
      <c r="N1008" s="25"/>
      <c r="O1008" s="25"/>
      <c r="P1008" s="25"/>
      <c r="Q1008" s="25"/>
      <c r="R1008" s="27">
        <f t="shared" ref="R1008:R1018" si="366">K1008+I1008+G1008</f>
        <v>397500</v>
      </c>
      <c r="T1008" s="1"/>
      <c r="V1008" s="1"/>
    </row>
    <row r="1009" spans="1:22" x14ac:dyDescent="0.25">
      <c r="A1009" s="20" t="s">
        <v>18</v>
      </c>
      <c r="B1009" s="42"/>
      <c r="C1009" s="43">
        <v>100000</v>
      </c>
      <c r="D1009" s="43">
        <v>10000</v>
      </c>
      <c r="E1009" s="43">
        <v>0</v>
      </c>
      <c r="F1009" s="43">
        <v>0</v>
      </c>
      <c r="G1009" s="15">
        <f t="shared" si="363"/>
        <v>110000</v>
      </c>
      <c r="H1009" s="16">
        <v>12</v>
      </c>
      <c r="I1009" s="26">
        <v>250000</v>
      </c>
      <c r="J1009" s="25">
        <f t="shared" si="364"/>
        <v>2000000</v>
      </c>
      <c r="K1009" s="26">
        <f t="shared" si="365"/>
        <v>33750</v>
      </c>
      <c r="L1009" s="26"/>
      <c r="M1009" s="25"/>
      <c r="N1009" s="25"/>
      <c r="O1009" s="25"/>
      <c r="P1009" s="25"/>
      <c r="Q1009" s="25"/>
      <c r="R1009" s="27">
        <f t="shared" si="366"/>
        <v>393750</v>
      </c>
      <c r="T1009" s="1"/>
    </row>
    <row r="1010" spans="1:22" x14ac:dyDescent="0.25">
      <c r="A1010" s="20" t="s">
        <v>19</v>
      </c>
      <c r="B1010" s="42"/>
      <c r="C1010" s="43">
        <v>100000</v>
      </c>
      <c r="D1010" s="43">
        <v>10000</v>
      </c>
      <c r="E1010" s="43">
        <v>0</v>
      </c>
      <c r="F1010" s="43">
        <v>0</v>
      </c>
      <c r="G1010" s="15">
        <f t="shared" si="363"/>
        <v>110000</v>
      </c>
      <c r="H1010" s="16">
        <v>13</v>
      </c>
      <c r="I1010" s="26">
        <v>250000</v>
      </c>
      <c r="J1010" s="25">
        <f t="shared" si="364"/>
        <v>1750000</v>
      </c>
      <c r="K1010" s="26">
        <f t="shared" si="365"/>
        <v>30000</v>
      </c>
      <c r="L1010" s="26"/>
      <c r="M1010" s="25"/>
      <c r="N1010" s="25"/>
      <c r="O1010" s="25"/>
      <c r="P1010" s="25"/>
      <c r="Q1010" s="25"/>
      <c r="R1010" s="27">
        <f t="shared" si="366"/>
        <v>390000</v>
      </c>
      <c r="T1010" s="1"/>
    </row>
    <row r="1011" spans="1:22" x14ac:dyDescent="0.25">
      <c r="A1011" s="20" t="s">
        <v>20</v>
      </c>
      <c r="B1011" s="42"/>
      <c r="C1011" s="43">
        <v>100000</v>
      </c>
      <c r="D1011" s="43">
        <v>10000</v>
      </c>
      <c r="E1011" s="43">
        <v>0</v>
      </c>
      <c r="F1011" s="43">
        <v>0</v>
      </c>
      <c r="G1011" s="15">
        <f t="shared" si="363"/>
        <v>110000</v>
      </c>
      <c r="H1011" s="16">
        <v>14</v>
      </c>
      <c r="I1011" s="26">
        <v>250000</v>
      </c>
      <c r="J1011" s="25">
        <f t="shared" si="364"/>
        <v>1500000</v>
      </c>
      <c r="K1011" s="26">
        <f t="shared" si="365"/>
        <v>26250</v>
      </c>
      <c r="L1011" s="26"/>
      <c r="M1011" s="25"/>
      <c r="N1011" s="25"/>
      <c r="O1011" s="25"/>
      <c r="P1011" s="25"/>
      <c r="Q1011" s="25"/>
      <c r="R1011" s="27">
        <f t="shared" si="366"/>
        <v>386250</v>
      </c>
      <c r="T1011" s="1"/>
    </row>
    <row r="1012" spans="1:22" x14ac:dyDescent="0.25">
      <c r="A1012" s="20" t="s">
        <v>21</v>
      </c>
      <c r="B1012" s="42"/>
      <c r="C1012" s="43">
        <v>100000</v>
      </c>
      <c r="D1012" s="43">
        <v>10000</v>
      </c>
      <c r="E1012" s="43">
        <v>0</v>
      </c>
      <c r="F1012" s="43">
        <v>0</v>
      </c>
      <c r="G1012" s="15">
        <f t="shared" si="363"/>
        <v>110000</v>
      </c>
      <c r="H1012" s="16">
        <v>15</v>
      </c>
      <c r="I1012" s="26">
        <v>250000</v>
      </c>
      <c r="J1012" s="25">
        <f>J1011-I1012+4000000</f>
        <v>5250000</v>
      </c>
      <c r="K1012" s="26">
        <f t="shared" si="365"/>
        <v>22500</v>
      </c>
      <c r="L1012" s="26"/>
      <c r="M1012" s="25"/>
      <c r="N1012" s="25"/>
      <c r="O1012" s="25"/>
      <c r="P1012" s="25"/>
      <c r="Q1012" s="25"/>
      <c r="R1012" s="27">
        <f t="shared" si="366"/>
        <v>382500</v>
      </c>
      <c r="T1012" s="1"/>
    </row>
    <row r="1013" spans="1:22" x14ac:dyDescent="0.25">
      <c r="A1013" s="20" t="s">
        <v>22</v>
      </c>
      <c r="B1013" s="42"/>
      <c r="C1013" s="43">
        <v>100000</v>
      </c>
      <c r="D1013" s="43">
        <v>10000</v>
      </c>
      <c r="E1013" s="43">
        <v>0</v>
      </c>
      <c r="F1013" s="43">
        <v>0</v>
      </c>
      <c r="G1013" s="15">
        <f t="shared" si="363"/>
        <v>110000</v>
      </c>
      <c r="H1013" s="16">
        <v>16</v>
      </c>
      <c r="I1013" s="26">
        <v>500000</v>
      </c>
      <c r="J1013" s="25">
        <f t="shared" ref="J1013:J1018" si="367">J1012-I1013</f>
        <v>4750000</v>
      </c>
      <c r="K1013" s="26">
        <f t="shared" si="365"/>
        <v>78750</v>
      </c>
      <c r="L1013" s="26"/>
      <c r="M1013" s="25"/>
      <c r="N1013" s="25"/>
      <c r="O1013" s="25"/>
      <c r="P1013" s="25"/>
      <c r="Q1013" s="25"/>
      <c r="R1013" s="27">
        <f t="shared" si="366"/>
        <v>688750</v>
      </c>
      <c r="T1013" s="1"/>
      <c r="V1013" s="1"/>
    </row>
    <row r="1014" spans="1:22" x14ac:dyDescent="0.25">
      <c r="A1014" s="20" t="s">
        <v>23</v>
      </c>
      <c r="B1014" s="42"/>
      <c r="C1014" s="43">
        <v>100000</v>
      </c>
      <c r="D1014" s="43">
        <v>10000</v>
      </c>
      <c r="E1014" s="43">
        <v>0</v>
      </c>
      <c r="F1014" s="43">
        <v>0</v>
      </c>
      <c r="G1014" s="15">
        <f t="shared" si="363"/>
        <v>110000</v>
      </c>
      <c r="H1014" s="16">
        <v>17</v>
      </c>
      <c r="I1014" s="26">
        <v>500000</v>
      </c>
      <c r="J1014" s="25">
        <f t="shared" si="367"/>
        <v>4250000</v>
      </c>
      <c r="K1014" s="26">
        <f t="shared" si="365"/>
        <v>71250</v>
      </c>
      <c r="L1014" s="26"/>
      <c r="M1014" s="25"/>
      <c r="N1014" s="25"/>
      <c r="O1014" s="25"/>
      <c r="P1014" s="25"/>
      <c r="Q1014" s="25"/>
      <c r="R1014" s="27">
        <f t="shared" si="366"/>
        <v>681250</v>
      </c>
      <c r="T1014" s="1"/>
      <c r="V1014" s="1"/>
    </row>
    <row r="1015" spans="1:22" x14ac:dyDescent="0.25">
      <c r="A1015" s="20" t="s">
        <v>24</v>
      </c>
      <c r="B1015" s="42"/>
      <c r="C1015" s="43">
        <v>100000</v>
      </c>
      <c r="D1015" s="43">
        <v>10000</v>
      </c>
      <c r="E1015" s="43">
        <v>0</v>
      </c>
      <c r="F1015" s="43">
        <v>0</v>
      </c>
      <c r="G1015" s="15">
        <f t="shared" si="363"/>
        <v>110000</v>
      </c>
      <c r="H1015" s="16">
        <v>18</v>
      </c>
      <c r="I1015" s="26">
        <v>500000</v>
      </c>
      <c r="J1015" s="25">
        <f t="shared" si="367"/>
        <v>3750000</v>
      </c>
      <c r="K1015" s="26">
        <f t="shared" si="365"/>
        <v>63750</v>
      </c>
      <c r="L1015" s="26"/>
      <c r="M1015" s="25"/>
      <c r="N1015" s="25"/>
      <c r="O1015" s="25"/>
      <c r="P1015" s="25"/>
      <c r="Q1015" s="25"/>
      <c r="R1015" s="27">
        <f t="shared" si="366"/>
        <v>673750</v>
      </c>
      <c r="T1015" s="1"/>
    </row>
    <row r="1016" spans="1:22" x14ac:dyDescent="0.25">
      <c r="A1016" s="20" t="s">
        <v>25</v>
      </c>
      <c r="B1016" s="42"/>
      <c r="C1016" s="43">
        <v>100000</v>
      </c>
      <c r="D1016" s="43">
        <v>10000</v>
      </c>
      <c r="E1016" s="43">
        <v>0</v>
      </c>
      <c r="F1016" s="43">
        <v>0</v>
      </c>
      <c r="G1016" s="15">
        <f t="shared" si="363"/>
        <v>110000</v>
      </c>
      <c r="H1016" s="16">
        <v>19</v>
      </c>
      <c r="I1016" s="26">
        <v>500000</v>
      </c>
      <c r="J1016" s="25">
        <f t="shared" si="367"/>
        <v>3250000</v>
      </c>
      <c r="K1016" s="26">
        <f t="shared" si="365"/>
        <v>56250</v>
      </c>
      <c r="L1016" s="26"/>
      <c r="M1016" s="25"/>
      <c r="N1016" s="25"/>
      <c r="O1016" s="25"/>
      <c r="P1016" s="25"/>
      <c r="Q1016" s="25"/>
      <c r="R1016" s="27">
        <f t="shared" si="366"/>
        <v>666250</v>
      </c>
      <c r="T1016" s="1"/>
    </row>
    <row r="1017" spans="1:22" x14ac:dyDescent="0.25">
      <c r="A1017" s="20" t="s">
        <v>26</v>
      </c>
      <c r="B1017" s="42"/>
      <c r="C1017" s="43">
        <v>100000</v>
      </c>
      <c r="D1017" s="43">
        <v>10000</v>
      </c>
      <c r="E1017" s="43">
        <v>0</v>
      </c>
      <c r="F1017" s="43">
        <v>0</v>
      </c>
      <c r="G1017" s="15">
        <f t="shared" si="363"/>
        <v>110000</v>
      </c>
      <c r="H1017" s="16">
        <v>20</v>
      </c>
      <c r="I1017" s="26">
        <v>500000</v>
      </c>
      <c r="J1017" s="25">
        <f t="shared" si="367"/>
        <v>2750000</v>
      </c>
      <c r="K1017" s="26">
        <f t="shared" si="365"/>
        <v>48750</v>
      </c>
      <c r="L1017" s="26"/>
      <c r="M1017" s="25"/>
      <c r="N1017" s="25"/>
      <c r="O1017" s="25"/>
      <c r="P1017" s="25"/>
      <c r="Q1017" s="25"/>
      <c r="R1017" s="27">
        <f t="shared" si="366"/>
        <v>658750</v>
      </c>
    </row>
    <row r="1018" spans="1:22" ht="15.75" thickBot="1" x14ac:dyDescent="0.3">
      <c r="A1018" s="12" t="s">
        <v>15</v>
      </c>
      <c r="B1018" s="44"/>
      <c r="C1018" s="43">
        <v>100000</v>
      </c>
      <c r="D1018" s="43">
        <v>10000</v>
      </c>
      <c r="E1018" s="43">
        <v>0</v>
      </c>
      <c r="F1018" s="43">
        <v>0</v>
      </c>
      <c r="G1018" s="15">
        <f t="shared" si="363"/>
        <v>110000</v>
      </c>
      <c r="H1018" s="16">
        <v>21</v>
      </c>
      <c r="I1018" s="26">
        <v>500000</v>
      </c>
      <c r="J1018" s="25">
        <f t="shared" si="367"/>
        <v>2250000</v>
      </c>
      <c r="K1018" s="26">
        <f t="shared" si="365"/>
        <v>41250</v>
      </c>
      <c r="L1018" s="26"/>
      <c r="M1018" s="25"/>
      <c r="N1018" s="25"/>
      <c r="O1018" s="25"/>
      <c r="P1018" s="25"/>
      <c r="Q1018" s="25"/>
      <c r="R1018" s="27">
        <f t="shared" si="366"/>
        <v>651250</v>
      </c>
      <c r="T1018" s="1"/>
    </row>
    <row r="1019" spans="1:22" ht="15.75" thickBot="1" x14ac:dyDescent="0.3">
      <c r="A1019" s="29" t="s">
        <v>0</v>
      </c>
      <c r="B1019" s="30">
        <f t="shared" ref="B1019:F1019" si="368">SUM(B1006:B1018)</f>
        <v>100000</v>
      </c>
      <c r="C1019" s="30">
        <f t="shared" si="368"/>
        <v>4350000</v>
      </c>
      <c r="D1019" s="30">
        <f t="shared" si="368"/>
        <v>520000</v>
      </c>
      <c r="E1019" s="30">
        <f t="shared" si="368"/>
        <v>0</v>
      </c>
      <c r="F1019" s="30">
        <f t="shared" si="368"/>
        <v>350000</v>
      </c>
      <c r="G1019" s="15">
        <f t="shared" si="363"/>
        <v>5320000</v>
      </c>
      <c r="H1019" s="32"/>
      <c r="I1019" s="71" t="s">
        <v>27</v>
      </c>
      <c r="J1019" s="72"/>
      <c r="K1019" s="33">
        <f>SUM(K1006:K1018)</f>
        <v>551250</v>
      </c>
      <c r="L1019" s="34"/>
      <c r="M1019" s="71" t="s">
        <v>28</v>
      </c>
      <c r="N1019" s="73"/>
      <c r="O1019" s="72"/>
      <c r="P1019" s="33">
        <f>SUM(P1006:P1018)</f>
        <v>0</v>
      </c>
      <c r="Q1019" s="34"/>
      <c r="R1019" s="35"/>
      <c r="T1019" s="1"/>
    </row>
    <row r="1020" spans="1:22" s="36" customFormat="1" ht="15.75" thickBot="1" x14ac:dyDescent="0.3">
      <c r="C1020" s="37"/>
      <c r="D1020" s="37"/>
      <c r="F1020" s="38"/>
      <c r="G1020" s="38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T1020" s="40"/>
    </row>
    <row r="1021" spans="1:22" ht="15.75" customHeight="1" thickBot="1" x14ac:dyDescent="0.3">
      <c r="A1021" s="2">
        <f>A1004+1</f>
        <v>61</v>
      </c>
      <c r="B1021" s="74" t="str">
        <f>VLOOKUP(A1021,NAMA,2)</f>
        <v>KARUNIA, S.Pd</v>
      </c>
      <c r="C1021" s="75"/>
      <c r="D1021" s="75"/>
      <c r="E1021" s="75"/>
      <c r="F1021" s="76"/>
      <c r="G1021" s="3" t="s">
        <v>0</v>
      </c>
      <c r="H1021" s="77" t="s">
        <v>1</v>
      </c>
      <c r="I1021" s="78"/>
      <c r="J1021" s="78"/>
      <c r="K1021" s="78"/>
      <c r="L1021" s="79"/>
      <c r="M1021" s="80" t="s">
        <v>2</v>
      </c>
      <c r="N1021" s="78"/>
      <c r="O1021" s="78"/>
      <c r="P1021" s="78"/>
      <c r="Q1021" s="79"/>
      <c r="R1021" s="69" t="s">
        <v>29</v>
      </c>
      <c r="T1021" s="1"/>
    </row>
    <row r="1022" spans="1:22" x14ac:dyDescent="0.25">
      <c r="A1022" s="4" t="s">
        <v>4</v>
      </c>
      <c r="B1022" s="5" t="s">
        <v>5</v>
      </c>
      <c r="C1022" s="6" t="s">
        <v>6</v>
      </c>
      <c r="D1022" s="6" t="s">
        <v>7</v>
      </c>
      <c r="E1022" s="5" t="s">
        <v>8</v>
      </c>
      <c r="F1022" s="5" t="s">
        <v>9</v>
      </c>
      <c r="G1022" s="7" t="s">
        <v>10</v>
      </c>
      <c r="H1022" s="8" t="s">
        <v>11</v>
      </c>
      <c r="I1022" s="9" t="s">
        <v>0</v>
      </c>
      <c r="J1022" s="9" t="s">
        <v>12</v>
      </c>
      <c r="K1022" s="9" t="s">
        <v>13</v>
      </c>
      <c r="L1022" s="10" t="s">
        <v>14</v>
      </c>
      <c r="M1022" s="9" t="s">
        <v>11</v>
      </c>
      <c r="N1022" s="9" t="s">
        <v>0</v>
      </c>
      <c r="O1022" s="9" t="s">
        <v>12</v>
      </c>
      <c r="P1022" s="9" t="s">
        <v>13</v>
      </c>
      <c r="Q1022" s="10" t="s">
        <v>14</v>
      </c>
      <c r="R1022" s="70"/>
      <c r="S1022" s="11"/>
      <c r="T1022" s="1"/>
    </row>
    <row r="1023" spans="1:22" x14ac:dyDescent="0.25">
      <c r="A1023" s="12" t="s">
        <v>15</v>
      </c>
      <c r="B1023" s="41">
        <v>25000</v>
      </c>
      <c r="C1023" s="41">
        <v>1170000</v>
      </c>
      <c r="D1023" s="41">
        <v>1000000</v>
      </c>
      <c r="E1023" s="41">
        <v>160000</v>
      </c>
      <c r="F1023" s="41">
        <v>975000</v>
      </c>
      <c r="G1023" s="15">
        <f t="shared" ref="G1023" si="369">SUM(B1023:F1023)</f>
        <v>3330000</v>
      </c>
      <c r="H1023" s="16"/>
      <c r="I1023" s="17"/>
      <c r="J1023" s="18">
        <v>2250000</v>
      </c>
      <c r="K1023" s="17"/>
      <c r="L1023" s="17"/>
      <c r="M1023" s="17"/>
      <c r="N1023" s="17"/>
      <c r="O1023" s="17"/>
      <c r="P1023" s="17"/>
      <c r="Q1023" s="17"/>
      <c r="R1023" s="19"/>
      <c r="T1023" s="1"/>
    </row>
    <row r="1024" spans="1:22" x14ac:dyDescent="0.25">
      <c r="A1024" s="20" t="s">
        <v>16</v>
      </c>
      <c r="B1024" s="42"/>
      <c r="C1024" s="43">
        <v>20000</v>
      </c>
      <c r="D1024" s="43">
        <v>20000</v>
      </c>
      <c r="E1024" s="43">
        <v>20000</v>
      </c>
      <c r="F1024" s="43">
        <v>20000</v>
      </c>
      <c r="G1024" s="15">
        <f t="shared" ref="G1024:G1036" si="370">SUM(B1024:F1024)</f>
        <v>80000</v>
      </c>
      <c r="H1024" s="16">
        <v>3</v>
      </c>
      <c r="I1024" s="26">
        <v>250000</v>
      </c>
      <c r="J1024" s="25">
        <f t="shared" ref="J1024:J1032" si="371">J1023-I1024</f>
        <v>2000000</v>
      </c>
      <c r="K1024" s="26">
        <f t="shared" ref="K1024:K1029" si="372">0.015*J1023</f>
        <v>33750</v>
      </c>
      <c r="L1024" s="26"/>
      <c r="M1024" s="25"/>
      <c r="N1024" s="25"/>
      <c r="O1024" s="25"/>
      <c r="P1024" s="25"/>
      <c r="Q1024" s="25"/>
      <c r="R1024" s="27">
        <f>K1024+I1024+G1024</f>
        <v>363750</v>
      </c>
      <c r="T1024" s="1"/>
    </row>
    <row r="1025" spans="1:22" x14ac:dyDescent="0.25">
      <c r="A1025" s="20" t="s">
        <v>17</v>
      </c>
      <c r="B1025" s="42"/>
      <c r="C1025" s="43">
        <v>20000</v>
      </c>
      <c r="D1025" s="43">
        <v>20000</v>
      </c>
      <c r="E1025" s="43">
        <v>20000</v>
      </c>
      <c r="F1025" s="43">
        <v>20000</v>
      </c>
      <c r="G1025" s="15">
        <f t="shared" si="370"/>
        <v>80000</v>
      </c>
      <c r="H1025" s="16">
        <v>4</v>
      </c>
      <c r="I1025" s="26">
        <v>250000</v>
      </c>
      <c r="J1025" s="25">
        <f t="shared" si="371"/>
        <v>1750000</v>
      </c>
      <c r="K1025" s="26">
        <f t="shared" si="372"/>
        <v>30000</v>
      </c>
      <c r="L1025" s="26"/>
      <c r="M1025" s="25"/>
      <c r="N1025" s="25"/>
      <c r="O1025" s="25"/>
      <c r="P1025" s="25"/>
      <c r="Q1025" s="25"/>
      <c r="R1025" s="27">
        <f t="shared" ref="R1025:R1031" si="373">K1025+I1025+G1025</f>
        <v>360000</v>
      </c>
      <c r="T1025" s="1"/>
      <c r="V1025" s="1"/>
    </row>
    <row r="1026" spans="1:22" x14ac:dyDescent="0.25">
      <c r="A1026" s="20" t="s">
        <v>18</v>
      </c>
      <c r="B1026" s="42"/>
      <c r="C1026" s="43">
        <v>20000</v>
      </c>
      <c r="D1026" s="43">
        <v>20000</v>
      </c>
      <c r="E1026" s="43">
        <v>20000</v>
      </c>
      <c r="F1026" s="43">
        <v>20000</v>
      </c>
      <c r="G1026" s="15">
        <f t="shared" si="370"/>
        <v>80000</v>
      </c>
      <c r="H1026" s="16">
        <v>5</v>
      </c>
      <c r="I1026" s="26">
        <v>250000</v>
      </c>
      <c r="J1026" s="25">
        <f t="shared" si="371"/>
        <v>1500000</v>
      </c>
      <c r="K1026" s="26">
        <f t="shared" si="372"/>
        <v>26250</v>
      </c>
      <c r="L1026" s="26"/>
      <c r="M1026" s="25"/>
      <c r="N1026" s="25"/>
      <c r="O1026" s="25"/>
      <c r="P1026" s="25"/>
      <c r="Q1026" s="25"/>
      <c r="R1026" s="27">
        <f t="shared" si="373"/>
        <v>356250</v>
      </c>
      <c r="T1026" s="1"/>
    </row>
    <row r="1027" spans="1:22" x14ac:dyDescent="0.25">
      <c r="A1027" s="20" t="s">
        <v>19</v>
      </c>
      <c r="B1027" s="42"/>
      <c r="C1027" s="43">
        <v>20000</v>
      </c>
      <c r="D1027" s="43">
        <v>20000</v>
      </c>
      <c r="E1027" s="43">
        <v>-220000</v>
      </c>
      <c r="F1027" s="43">
        <v>20000</v>
      </c>
      <c r="G1027" s="15">
        <f t="shared" si="370"/>
        <v>-160000</v>
      </c>
      <c r="H1027" s="16">
        <v>6</v>
      </c>
      <c r="I1027" s="26">
        <v>250000</v>
      </c>
      <c r="J1027" s="25">
        <f t="shared" si="371"/>
        <v>1250000</v>
      </c>
      <c r="K1027" s="26">
        <f t="shared" si="372"/>
        <v>22500</v>
      </c>
      <c r="L1027" s="26"/>
      <c r="M1027" s="25"/>
      <c r="N1027" s="25"/>
      <c r="O1027" s="25"/>
      <c r="P1027" s="25"/>
      <c r="Q1027" s="25"/>
      <c r="R1027" s="27">
        <f t="shared" si="373"/>
        <v>112500</v>
      </c>
      <c r="T1027" s="1"/>
    </row>
    <row r="1028" spans="1:22" x14ac:dyDescent="0.25">
      <c r="A1028" s="20" t="s">
        <v>20</v>
      </c>
      <c r="B1028" s="42"/>
      <c r="C1028" s="43">
        <v>20000</v>
      </c>
      <c r="D1028" s="43">
        <v>20000</v>
      </c>
      <c r="E1028" s="43">
        <v>20000</v>
      </c>
      <c r="F1028" s="43">
        <v>20000</v>
      </c>
      <c r="G1028" s="15">
        <f>SUM(B1028:F1028)</f>
        <v>80000</v>
      </c>
      <c r="H1028" s="16">
        <v>7</v>
      </c>
      <c r="I1028" s="26">
        <v>250000</v>
      </c>
      <c r="J1028" s="25">
        <f t="shared" si="371"/>
        <v>1000000</v>
      </c>
      <c r="K1028" s="26">
        <f t="shared" si="372"/>
        <v>18750</v>
      </c>
      <c r="L1028" s="26"/>
      <c r="M1028" s="25"/>
      <c r="N1028" s="25"/>
      <c r="O1028" s="25"/>
      <c r="P1028" s="25"/>
      <c r="Q1028" s="25"/>
      <c r="R1028" s="27">
        <f t="shared" si="373"/>
        <v>348750</v>
      </c>
      <c r="T1028" s="1"/>
    </row>
    <row r="1029" spans="1:22" x14ac:dyDescent="0.25">
      <c r="A1029" s="20" t="s">
        <v>21</v>
      </c>
      <c r="B1029" s="42"/>
      <c r="C1029" s="43">
        <v>20000</v>
      </c>
      <c r="D1029" s="43">
        <v>20000</v>
      </c>
      <c r="E1029" s="43">
        <v>20000</v>
      </c>
      <c r="F1029" s="43">
        <v>20000</v>
      </c>
      <c r="G1029" s="15">
        <f t="shared" si="370"/>
        <v>80000</v>
      </c>
      <c r="H1029" s="16">
        <v>8</v>
      </c>
      <c r="I1029" s="26">
        <v>250000</v>
      </c>
      <c r="J1029" s="25">
        <f t="shared" si="371"/>
        <v>750000</v>
      </c>
      <c r="K1029" s="26">
        <f t="shared" si="372"/>
        <v>15000</v>
      </c>
      <c r="L1029" s="26"/>
      <c r="M1029" s="25"/>
      <c r="N1029" s="25"/>
      <c r="O1029" s="25"/>
      <c r="P1029" s="25"/>
      <c r="Q1029" s="25"/>
      <c r="R1029" s="27">
        <f t="shared" si="373"/>
        <v>345000</v>
      </c>
      <c r="T1029" s="1"/>
    </row>
    <row r="1030" spans="1:22" x14ac:dyDescent="0.25">
      <c r="A1030" s="20" t="s">
        <v>22</v>
      </c>
      <c r="B1030" s="42"/>
      <c r="C1030" s="43">
        <v>20000</v>
      </c>
      <c r="D1030" s="43">
        <v>20000</v>
      </c>
      <c r="E1030" s="43">
        <v>20000</v>
      </c>
      <c r="F1030" s="43">
        <v>20000</v>
      </c>
      <c r="G1030" s="15">
        <f t="shared" si="370"/>
        <v>80000</v>
      </c>
      <c r="H1030" s="16">
        <v>9</v>
      </c>
      <c r="I1030" s="26">
        <v>250000</v>
      </c>
      <c r="J1030" s="25">
        <f t="shared" si="371"/>
        <v>500000</v>
      </c>
      <c r="K1030" s="26">
        <f t="shared" ref="K1030" si="374">0.015*J1029</f>
        <v>11250</v>
      </c>
      <c r="L1030" s="26"/>
      <c r="M1030" s="25"/>
      <c r="N1030" s="25"/>
      <c r="O1030" s="25"/>
      <c r="P1030" s="25"/>
      <c r="Q1030" s="25"/>
      <c r="R1030" s="27">
        <f t="shared" si="373"/>
        <v>341250</v>
      </c>
      <c r="T1030" s="1"/>
      <c r="V1030" s="1"/>
    </row>
    <row r="1031" spans="1:22" x14ac:dyDescent="0.25">
      <c r="A1031" s="20" t="s">
        <v>23</v>
      </c>
      <c r="B1031" s="42"/>
      <c r="C1031" s="43">
        <v>20000</v>
      </c>
      <c r="D1031" s="43">
        <v>20000</v>
      </c>
      <c r="E1031" s="43">
        <v>20000</v>
      </c>
      <c r="F1031" s="43">
        <v>20000</v>
      </c>
      <c r="G1031" s="15">
        <f t="shared" si="370"/>
        <v>80000</v>
      </c>
      <c r="H1031" s="16">
        <v>10</v>
      </c>
      <c r="I1031" s="26">
        <v>250000</v>
      </c>
      <c r="J1031" s="25">
        <f t="shared" si="371"/>
        <v>250000</v>
      </c>
      <c r="K1031" s="26">
        <f t="shared" ref="K1031" si="375">0.015*J1030</f>
        <v>7500</v>
      </c>
      <c r="L1031" s="26"/>
      <c r="M1031" s="25"/>
      <c r="N1031" s="25"/>
      <c r="O1031" s="25"/>
      <c r="P1031" s="25"/>
      <c r="Q1031" s="25"/>
      <c r="R1031" s="27">
        <f t="shared" si="373"/>
        <v>337500</v>
      </c>
      <c r="T1031" s="1"/>
      <c r="V1031" s="1"/>
    </row>
    <row r="1032" spans="1:22" x14ac:dyDescent="0.25">
      <c r="A1032" s="20" t="s">
        <v>24</v>
      </c>
      <c r="B1032" s="42"/>
      <c r="C1032" s="43">
        <v>20000</v>
      </c>
      <c r="D1032" s="43">
        <v>20000</v>
      </c>
      <c r="E1032" s="43">
        <v>20000</v>
      </c>
      <c r="F1032" s="43">
        <v>20000</v>
      </c>
      <c r="G1032" s="15">
        <f t="shared" si="370"/>
        <v>80000</v>
      </c>
      <c r="H1032" s="16">
        <v>11</v>
      </c>
      <c r="I1032" s="26">
        <v>250000</v>
      </c>
      <c r="J1032" s="25">
        <f t="shared" si="371"/>
        <v>0</v>
      </c>
      <c r="K1032" s="26">
        <f t="shared" ref="K1032" si="376">0.015*J1031</f>
        <v>3750</v>
      </c>
      <c r="L1032" s="26"/>
      <c r="M1032" s="25"/>
      <c r="N1032" s="25"/>
      <c r="O1032" s="25"/>
      <c r="P1032" s="25"/>
      <c r="Q1032" s="25"/>
      <c r="R1032" s="27">
        <f>K1032+I1032+G1032</f>
        <v>333750</v>
      </c>
      <c r="T1032" s="1"/>
    </row>
    <row r="1033" spans="1:22" x14ac:dyDescent="0.25">
      <c r="A1033" s="20" t="s">
        <v>25</v>
      </c>
      <c r="B1033" s="42"/>
      <c r="C1033" s="43">
        <v>20000</v>
      </c>
      <c r="D1033" s="43">
        <v>20000</v>
      </c>
      <c r="E1033" s="43">
        <v>20000</v>
      </c>
      <c r="F1033" s="43">
        <v>20000</v>
      </c>
      <c r="G1033" s="15">
        <f t="shared" si="370"/>
        <v>80000</v>
      </c>
      <c r="H1033" s="16"/>
      <c r="I1033" s="26"/>
      <c r="J1033" s="25"/>
      <c r="K1033" s="26">
        <f t="shared" ref="K1033" si="377">0.015*J1032</f>
        <v>0</v>
      </c>
      <c r="L1033" s="26"/>
      <c r="M1033" s="25"/>
      <c r="N1033" s="25"/>
      <c r="O1033" s="25"/>
      <c r="P1033" s="25"/>
      <c r="Q1033" s="25"/>
      <c r="R1033" s="27">
        <f t="shared" ref="R1033:R1035" si="378">K1033+I1033+G1033</f>
        <v>80000</v>
      </c>
      <c r="T1033" s="1"/>
    </row>
    <row r="1034" spans="1:22" x14ac:dyDescent="0.25">
      <c r="A1034" s="20" t="s">
        <v>26</v>
      </c>
      <c r="B1034" s="42"/>
      <c r="C1034" s="43">
        <v>20000</v>
      </c>
      <c r="D1034" s="43">
        <v>20000</v>
      </c>
      <c r="E1034" s="43">
        <v>20000</v>
      </c>
      <c r="F1034" s="43">
        <v>20000</v>
      </c>
      <c r="G1034" s="15">
        <f t="shared" si="370"/>
        <v>80000</v>
      </c>
      <c r="H1034" s="16"/>
      <c r="I1034" s="26"/>
      <c r="J1034" s="25"/>
      <c r="K1034" s="26">
        <f t="shared" ref="K1034" si="379">0.015*J1033</f>
        <v>0</v>
      </c>
      <c r="L1034" s="26"/>
      <c r="M1034" s="25"/>
      <c r="N1034" s="25"/>
      <c r="O1034" s="25"/>
      <c r="P1034" s="25"/>
      <c r="Q1034" s="25"/>
      <c r="R1034" s="27">
        <f t="shared" si="378"/>
        <v>80000</v>
      </c>
    </row>
    <row r="1035" spans="1:22" ht="15.75" thickBot="1" x14ac:dyDescent="0.3">
      <c r="A1035" s="12" t="s">
        <v>15</v>
      </c>
      <c r="B1035" s="44"/>
      <c r="C1035" s="43">
        <v>20000</v>
      </c>
      <c r="D1035" s="43">
        <v>20000</v>
      </c>
      <c r="E1035" s="43">
        <v>20000</v>
      </c>
      <c r="F1035" s="43">
        <v>20000</v>
      </c>
      <c r="G1035" s="15">
        <f t="shared" si="370"/>
        <v>80000</v>
      </c>
      <c r="H1035" s="16"/>
      <c r="I1035" s="26"/>
      <c r="J1035" s="25"/>
      <c r="K1035" s="26">
        <f t="shared" ref="K1035" si="380">0.015*J1034</f>
        <v>0</v>
      </c>
      <c r="L1035" s="26"/>
      <c r="M1035" s="25"/>
      <c r="N1035" s="25"/>
      <c r="O1035" s="25"/>
      <c r="P1035" s="25"/>
      <c r="Q1035" s="25"/>
      <c r="R1035" s="27">
        <f t="shared" si="378"/>
        <v>80000</v>
      </c>
      <c r="T1035" s="1"/>
    </row>
    <row r="1036" spans="1:22" ht="15.75" thickBot="1" x14ac:dyDescent="0.3">
      <c r="A1036" s="29" t="s">
        <v>0</v>
      </c>
      <c r="B1036" s="30">
        <f t="shared" ref="B1036:F1036" si="381">SUM(B1023:B1035)</f>
        <v>25000</v>
      </c>
      <c r="C1036" s="30">
        <f t="shared" si="381"/>
        <v>1410000</v>
      </c>
      <c r="D1036" s="30">
        <f t="shared" si="381"/>
        <v>1240000</v>
      </c>
      <c r="E1036" s="30">
        <f t="shared" si="381"/>
        <v>160000</v>
      </c>
      <c r="F1036" s="30">
        <f t="shared" si="381"/>
        <v>1215000</v>
      </c>
      <c r="G1036" s="15">
        <f t="shared" si="370"/>
        <v>4050000</v>
      </c>
      <c r="H1036" s="32"/>
      <c r="I1036" s="71" t="s">
        <v>27</v>
      </c>
      <c r="J1036" s="72"/>
      <c r="K1036" s="33">
        <f>SUM(K1023:K1035)</f>
        <v>168750</v>
      </c>
      <c r="L1036" s="34"/>
      <c r="M1036" s="71" t="s">
        <v>28</v>
      </c>
      <c r="N1036" s="73"/>
      <c r="O1036" s="72"/>
      <c r="P1036" s="33">
        <f>SUM(P1023:P1035)</f>
        <v>0</v>
      </c>
      <c r="Q1036" s="34"/>
      <c r="R1036" s="35"/>
      <c r="T1036" s="1"/>
    </row>
    <row r="1037" spans="1:22" s="36" customFormat="1" ht="15.75" thickBot="1" x14ac:dyDescent="0.3">
      <c r="C1037" s="37"/>
      <c r="D1037" s="37"/>
      <c r="F1037" s="38"/>
      <c r="G1037" s="38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T1037" s="40"/>
    </row>
    <row r="1038" spans="1:22" ht="15.75" customHeight="1" thickBot="1" x14ac:dyDescent="0.3">
      <c r="A1038" s="2">
        <f>A1021+1</f>
        <v>62</v>
      </c>
      <c r="B1038" s="74" t="str">
        <f>VLOOKUP(A1038,NAMA,2)</f>
        <v>SUGIANTO</v>
      </c>
      <c r="C1038" s="75"/>
      <c r="D1038" s="75"/>
      <c r="E1038" s="75"/>
      <c r="F1038" s="76"/>
      <c r="G1038" s="3" t="s">
        <v>0</v>
      </c>
      <c r="H1038" s="77" t="s">
        <v>1</v>
      </c>
      <c r="I1038" s="78"/>
      <c r="J1038" s="78"/>
      <c r="K1038" s="78"/>
      <c r="L1038" s="79"/>
      <c r="M1038" s="80" t="s">
        <v>2</v>
      </c>
      <c r="N1038" s="78"/>
      <c r="O1038" s="78"/>
      <c r="P1038" s="78"/>
      <c r="Q1038" s="79"/>
      <c r="R1038" s="69" t="s">
        <v>29</v>
      </c>
      <c r="T1038" s="1"/>
    </row>
    <row r="1039" spans="1:22" x14ac:dyDescent="0.25">
      <c r="A1039" s="4" t="s">
        <v>4</v>
      </c>
      <c r="B1039" s="5" t="s">
        <v>5</v>
      </c>
      <c r="C1039" s="6" t="s">
        <v>6</v>
      </c>
      <c r="D1039" s="6" t="s">
        <v>7</v>
      </c>
      <c r="E1039" s="5" t="s">
        <v>8</v>
      </c>
      <c r="F1039" s="5" t="s">
        <v>9</v>
      </c>
      <c r="G1039" s="7" t="s">
        <v>10</v>
      </c>
      <c r="H1039" s="8" t="s">
        <v>11</v>
      </c>
      <c r="I1039" s="9" t="s">
        <v>0</v>
      </c>
      <c r="J1039" s="9" t="s">
        <v>12</v>
      </c>
      <c r="K1039" s="9" t="s">
        <v>13</v>
      </c>
      <c r="L1039" s="10" t="s">
        <v>14</v>
      </c>
      <c r="M1039" s="9" t="s">
        <v>11</v>
      </c>
      <c r="N1039" s="9" t="s">
        <v>0</v>
      </c>
      <c r="O1039" s="9" t="s">
        <v>12</v>
      </c>
      <c r="P1039" s="9" t="s">
        <v>13</v>
      </c>
      <c r="Q1039" s="10" t="s">
        <v>14</v>
      </c>
      <c r="R1039" s="70"/>
      <c r="S1039" s="11"/>
      <c r="T1039" s="1"/>
    </row>
    <row r="1040" spans="1:22" x14ac:dyDescent="0.25">
      <c r="A1040" s="12" t="s">
        <v>15</v>
      </c>
      <c r="B1040" s="41">
        <v>25000</v>
      </c>
      <c r="C1040" s="41">
        <v>1320000</v>
      </c>
      <c r="D1040" s="41">
        <v>880000</v>
      </c>
      <c r="E1040" s="41">
        <v>400000</v>
      </c>
      <c r="F1040" s="41">
        <v>0</v>
      </c>
      <c r="G1040" s="15">
        <f t="shared" ref="G1040" si="382">SUM(B1040:F1040)</f>
        <v>2625000</v>
      </c>
      <c r="H1040" s="16"/>
      <c r="I1040" s="17"/>
      <c r="J1040" s="18"/>
      <c r="K1040" s="17"/>
      <c r="L1040" s="17"/>
      <c r="M1040" s="17"/>
      <c r="N1040" s="17"/>
      <c r="O1040" s="17"/>
      <c r="P1040" s="17"/>
      <c r="Q1040" s="17"/>
      <c r="R1040" s="19"/>
      <c r="T1040" s="1"/>
    </row>
    <row r="1041" spans="1:22" x14ac:dyDescent="0.25">
      <c r="A1041" s="20" t="s">
        <v>16</v>
      </c>
      <c r="B1041" s="42"/>
      <c r="C1041" s="43">
        <v>15000</v>
      </c>
      <c r="D1041" s="43">
        <v>10000</v>
      </c>
      <c r="E1041" s="43">
        <v>50000</v>
      </c>
      <c r="F1041" s="43">
        <v>0</v>
      </c>
      <c r="G1041" s="15">
        <f t="shared" ref="G1041:G1053" si="383">SUM(B1041:F1041)</f>
        <v>75000</v>
      </c>
      <c r="H1041" s="16"/>
      <c r="I1041" s="26"/>
      <c r="J1041" s="25"/>
      <c r="K1041" s="26"/>
      <c r="L1041" s="26"/>
      <c r="M1041" s="25"/>
      <c r="N1041" s="25"/>
      <c r="O1041" s="25"/>
      <c r="P1041" s="25"/>
      <c r="Q1041" s="25"/>
      <c r="R1041" s="27">
        <f>K1041+I1041+G1041</f>
        <v>75000</v>
      </c>
      <c r="T1041" s="1"/>
    </row>
    <row r="1042" spans="1:22" x14ac:dyDescent="0.25">
      <c r="A1042" s="20" t="s">
        <v>17</v>
      </c>
      <c r="B1042" s="42"/>
      <c r="C1042" s="43">
        <v>15000</v>
      </c>
      <c r="D1042" s="43">
        <v>10000</v>
      </c>
      <c r="E1042" s="43">
        <v>50000</v>
      </c>
      <c r="F1042" s="43">
        <v>0</v>
      </c>
      <c r="G1042" s="15">
        <f t="shared" si="383"/>
        <v>75000</v>
      </c>
      <c r="H1042" s="16"/>
      <c r="I1042" s="26"/>
      <c r="J1042" s="25"/>
      <c r="K1042" s="26"/>
      <c r="L1042" s="26"/>
      <c r="M1042" s="25"/>
      <c r="N1042" s="25"/>
      <c r="O1042" s="25"/>
      <c r="P1042" s="25"/>
      <c r="Q1042" s="25"/>
      <c r="R1042" s="27">
        <f t="shared" ref="R1042:R1052" si="384">K1042+I1042+G1042</f>
        <v>75000</v>
      </c>
      <c r="T1042" s="1"/>
      <c r="V1042" s="1"/>
    </row>
    <row r="1043" spans="1:22" x14ac:dyDescent="0.25">
      <c r="A1043" s="20" t="s">
        <v>18</v>
      </c>
      <c r="B1043" s="42"/>
      <c r="C1043" s="43">
        <v>15000</v>
      </c>
      <c r="D1043" s="43">
        <v>10000</v>
      </c>
      <c r="E1043" s="43">
        <v>50000</v>
      </c>
      <c r="F1043" s="43">
        <v>0</v>
      </c>
      <c r="G1043" s="15">
        <f t="shared" si="383"/>
        <v>75000</v>
      </c>
      <c r="H1043" s="16"/>
      <c r="I1043" s="26"/>
      <c r="J1043" s="25"/>
      <c r="K1043" s="26"/>
      <c r="L1043" s="26"/>
      <c r="M1043" s="25"/>
      <c r="N1043" s="25"/>
      <c r="O1043" s="25"/>
      <c r="P1043" s="25"/>
      <c r="Q1043" s="25"/>
      <c r="R1043" s="27">
        <f t="shared" si="384"/>
        <v>75000</v>
      </c>
      <c r="T1043" s="1"/>
    </row>
    <row r="1044" spans="1:22" x14ac:dyDescent="0.25">
      <c r="A1044" s="20" t="s">
        <v>19</v>
      </c>
      <c r="B1044" s="42"/>
      <c r="C1044" s="43">
        <v>15000</v>
      </c>
      <c r="D1044" s="43">
        <v>10000</v>
      </c>
      <c r="E1044" s="43">
        <v>-550000</v>
      </c>
      <c r="F1044" s="43">
        <v>0</v>
      </c>
      <c r="G1044" s="15">
        <f t="shared" si="383"/>
        <v>-525000</v>
      </c>
      <c r="H1044" s="16"/>
      <c r="I1044" s="26"/>
      <c r="J1044" s="25"/>
      <c r="K1044" s="26"/>
      <c r="L1044" s="26"/>
      <c r="M1044" s="25"/>
      <c r="N1044" s="25"/>
      <c r="O1044" s="25"/>
      <c r="P1044" s="25"/>
      <c r="Q1044" s="25"/>
      <c r="R1044" s="27">
        <f t="shared" si="384"/>
        <v>-525000</v>
      </c>
      <c r="T1044" s="1"/>
    </row>
    <row r="1045" spans="1:22" x14ac:dyDescent="0.25">
      <c r="A1045" s="20" t="s">
        <v>20</v>
      </c>
      <c r="B1045" s="42"/>
      <c r="C1045" s="43">
        <v>15000</v>
      </c>
      <c r="D1045" s="43">
        <v>10000</v>
      </c>
      <c r="E1045" s="43">
        <v>50000</v>
      </c>
      <c r="F1045" s="43">
        <v>0</v>
      </c>
      <c r="G1045" s="15">
        <f t="shared" si="383"/>
        <v>75000</v>
      </c>
      <c r="H1045" s="16"/>
      <c r="I1045" s="26"/>
      <c r="J1045" s="25"/>
      <c r="K1045" s="26"/>
      <c r="L1045" s="26"/>
      <c r="M1045" s="25"/>
      <c r="N1045" s="25"/>
      <c r="O1045" s="25"/>
      <c r="P1045" s="25"/>
      <c r="Q1045" s="25"/>
      <c r="R1045" s="27">
        <f t="shared" si="384"/>
        <v>75000</v>
      </c>
      <c r="T1045" s="1"/>
    </row>
    <row r="1046" spans="1:22" x14ac:dyDescent="0.25">
      <c r="A1046" s="20" t="s">
        <v>21</v>
      </c>
      <c r="B1046" s="42"/>
      <c r="C1046" s="43">
        <v>15000</v>
      </c>
      <c r="D1046" s="43">
        <v>10000</v>
      </c>
      <c r="E1046" s="43">
        <v>50000</v>
      </c>
      <c r="F1046" s="43">
        <v>0</v>
      </c>
      <c r="G1046" s="15">
        <f t="shared" si="383"/>
        <v>75000</v>
      </c>
      <c r="H1046" s="16"/>
      <c r="I1046" s="26"/>
      <c r="J1046" s="25"/>
      <c r="K1046" s="26"/>
      <c r="L1046" s="26"/>
      <c r="M1046" s="25"/>
      <c r="N1046" s="25"/>
      <c r="O1046" s="25"/>
      <c r="P1046" s="25"/>
      <c r="Q1046" s="25"/>
      <c r="R1046" s="27">
        <f t="shared" si="384"/>
        <v>75000</v>
      </c>
      <c r="T1046" s="1"/>
    </row>
    <row r="1047" spans="1:22" x14ac:dyDescent="0.25">
      <c r="A1047" s="20" t="s">
        <v>22</v>
      </c>
      <c r="B1047" s="42"/>
      <c r="C1047" s="43">
        <v>15000</v>
      </c>
      <c r="D1047" s="43">
        <v>10000</v>
      </c>
      <c r="E1047" s="43">
        <v>50000</v>
      </c>
      <c r="F1047" s="43">
        <v>0</v>
      </c>
      <c r="G1047" s="15">
        <f t="shared" si="383"/>
        <v>75000</v>
      </c>
      <c r="H1047" s="16"/>
      <c r="I1047" s="26"/>
      <c r="J1047" s="25">
        <v>7000000</v>
      </c>
      <c r="K1047" s="26"/>
      <c r="L1047" s="26"/>
      <c r="M1047" s="25"/>
      <c r="N1047" s="25"/>
      <c r="O1047" s="25"/>
      <c r="P1047" s="25"/>
      <c r="Q1047" s="25"/>
      <c r="R1047" s="27">
        <f t="shared" si="384"/>
        <v>75000</v>
      </c>
      <c r="T1047" s="1"/>
      <c r="V1047" s="1"/>
    </row>
    <row r="1048" spans="1:22" x14ac:dyDescent="0.25">
      <c r="A1048" s="20" t="s">
        <v>23</v>
      </c>
      <c r="B1048" s="42"/>
      <c r="C1048" s="43">
        <v>15000</v>
      </c>
      <c r="D1048" s="43">
        <v>10000</v>
      </c>
      <c r="E1048" s="43">
        <v>50000</v>
      </c>
      <c r="F1048" s="43">
        <v>0</v>
      </c>
      <c r="G1048" s="15">
        <f t="shared" si="383"/>
        <v>75000</v>
      </c>
      <c r="H1048" s="16">
        <v>1</v>
      </c>
      <c r="I1048" s="26">
        <v>500000</v>
      </c>
      <c r="J1048" s="25">
        <f>J1047-I1048</f>
        <v>6500000</v>
      </c>
      <c r="K1048" s="26">
        <f t="shared" ref="K1048" si="385">0.015*J1047</f>
        <v>105000</v>
      </c>
      <c r="L1048" s="26"/>
      <c r="M1048" s="25"/>
      <c r="N1048" s="25"/>
      <c r="O1048" s="25"/>
      <c r="P1048" s="25"/>
      <c r="Q1048" s="25"/>
      <c r="R1048" s="27">
        <f t="shared" si="384"/>
        <v>680000</v>
      </c>
      <c r="T1048" s="1"/>
      <c r="V1048" s="1"/>
    </row>
    <row r="1049" spans="1:22" x14ac:dyDescent="0.25">
      <c r="A1049" s="20" t="s">
        <v>24</v>
      </c>
      <c r="B1049" s="42"/>
      <c r="C1049" s="43">
        <v>15000</v>
      </c>
      <c r="D1049" s="43">
        <v>10000</v>
      </c>
      <c r="E1049" s="43">
        <v>50000</v>
      </c>
      <c r="F1049" s="43">
        <v>0</v>
      </c>
      <c r="G1049" s="15">
        <f t="shared" si="383"/>
        <v>75000</v>
      </c>
      <c r="H1049" s="16">
        <v>2</v>
      </c>
      <c r="I1049" s="26">
        <v>500000</v>
      </c>
      <c r="J1049" s="25">
        <f t="shared" ref="J1049:J1052" si="386">J1048-I1049</f>
        <v>6000000</v>
      </c>
      <c r="K1049" s="26">
        <f t="shared" ref="K1049" si="387">0.015*J1048</f>
        <v>97500</v>
      </c>
      <c r="L1049" s="26"/>
      <c r="M1049" s="25"/>
      <c r="N1049" s="25"/>
      <c r="O1049" s="25"/>
      <c r="P1049" s="25"/>
      <c r="Q1049" s="25"/>
      <c r="R1049" s="27">
        <f t="shared" si="384"/>
        <v>672500</v>
      </c>
      <c r="T1049" s="1"/>
    </row>
    <row r="1050" spans="1:22" x14ac:dyDescent="0.25">
      <c r="A1050" s="20" t="s">
        <v>25</v>
      </c>
      <c r="B1050" s="42"/>
      <c r="C1050" s="43">
        <v>15000</v>
      </c>
      <c r="D1050" s="43">
        <v>10000</v>
      </c>
      <c r="E1050" s="43">
        <v>50000</v>
      </c>
      <c r="F1050" s="43">
        <v>0</v>
      </c>
      <c r="G1050" s="15">
        <f t="shared" si="383"/>
        <v>75000</v>
      </c>
      <c r="H1050" s="16">
        <v>3</v>
      </c>
      <c r="I1050" s="26">
        <v>500000</v>
      </c>
      <c r="J1050" s="25">
        <f t="shared" si="386"/>
        <v>5500000</v>
      </c>
      <c r="K1050" s="26">
        <f t="shared" ref="K1050" si="388">0.015*J1049</f>
        <v>90000</v>
      </c>
      <c r="L1050" s="26"/>
      <c r="M1050" s="25"/>
      <c r="N1050" s="25"/>
      <c r="O1050" s="25"/>
      <c r="P1050" s="25"/>
      <c r="Q1050" s="25"/>
      <c r="R1050" s="27">
        <f t="shared" si="384"/>
        <v>665000</v>
      </c>
      <c r="T1050" s="1"/>
    </row>
    <row r="1051" spans="1:22" x14ac:dyDescent="0.25">
      <c r="A1051" s="20" t="s">
        <v>26</v>
      </c>
      <c r="B1051" s="42"/>
      <c r="C1051" s="43">
        <v>15000</v>
      </c>
      <c r="D1051" s="43">
        <v>10000</v>
      </c>
      <c r="E1051" s="43">
        <v>50000</v>
      </c>
      <c r="F1051" s="43">
        <v>0</v>
      </c>
      <c r="G1051" s="15">
        <f t="shared" si="383"/>
        <v>75000</v>
      </c>
      <c r="H1051" s="16">
        <v>4</v>
      </c>
      <c r="I1051" s="26">
        <v>500000</v>
      </c>
      <c r="J1051" s="25">
        <f t="shared" si="386"/>
        <v>5000000</v>
      </c>
      <c r="K1051" s="26">
        <f t="shared" ref="K1051" si="389">0.015*J1050</f>
        <v>82500</v>
      </c>
      <c r="L1051" s="26"/>
      <c r="M1051" s="25"/>
      <c r="N1051" s="25"/>
      <c r="O1051" s="25"/>
      <c r="P1051" s="25"/>
      <c r="Q1051" s="25"/>
      <c r="R1051" s="27">
        <f t="shared" si="384"/>
        <v>657500</v>
      </c>
    </row>
    <row r="1052" spans="1:22" ht="15.75" thickBot="1" x14ac:dyDescent="0.3">
      <c r="A1052" s="12" t="s">
        <v>15</v>
      </c>
      <c r="B1052" s="44"/>
      <c r="C1052" s="43">
        <v>15000</v>
      </c>
      <c r="D1052" s="43">
        <v>10000</v>
      </c>
      <c r="E1052" s="43">
        <v>50000</v>
      </c>
      <c r="F1052" s="43">
        <v>0</v>
      </c>
      <c r="G1052" s="15">
        <f t="shared" si="383"/>
        <v>75000</v>
      </c>
      <c r="H1052" s="16">
        <v>5</v>
      </c>
      <c r="I1052" s="26">
        <v>500000</v>
      </c>
      <c r="J1052" s="25">
        <f t="shared" si="386"/>
        <v>4500000</v>
      </c>
      <c r="K1052" s="26">
        <f t="shared" ref="K1052" si="390">0.015*J1051</f>
        <v>75000</v>
      </c>
      <c r="L1052" s="26"/>
      <c r="M1052" s="25"/>
      <c r="N1052" s="25"/>
      <c r="O1052" s="25"/>
      <c r="P1052" s="25"/>
      <c r="Q1052" s="25"/>
      <c r="R1052" s="27">
        <f t="shared" si="384"/>
        <v>650000</v>
      </c>
      <c r="T1052" s="1"/>
    </row>
    <row r="1053" spans="1:22" ht="15.75" thickBot="1" x14ac:dyDescent="0.3">
      <c r="A1053" s="29" t="s">
        <v>0</v>
      </c>
      <c r="B1053" s="30">
        <f t="shared" ref="B1053:F1053" si="391">SUM(B1040:B1052)</f>
        <v>25000</v>
      </c>
      <c r="C1053" s="30">
        <f t="shared" si="391"/>
        <v>1500000</v>
      </c>
      <c r="D1053" s="30">
        <f t="shared" si="391"/>
        <v>1000000</v>
      </c>
      <c r="E1053" s="30">
        <f t="shared" si="391"/>
        <v>400000</v>
      </c>
      <c r="F1053" s="30">
        <f t="shared" si="391"/>
        <v>0</v>
      </c>
      <c r="G1053" s="15">
        <f t="shared" si="383"/>
        <v>2925000</v>
      </c>
      <c r="H1053" s="32"/>
      <c r="I1053" s="71" t="s">
        <v>27</v>
      </c>
      <c r="J1053" s="72"/>
      <c r="K1053" s="33">
        <f>SUM(K1040:K1052)</f>
        <v>450000</v>
      </c>
      <c r="L1053" s="34"/>
      <c r="M1053" s="71" t="s">
        <v>28</v>
      </c>
      <c r="N1053" s="73"/>
      <c r="O1053" s="72"/>
      <c r="P1053" s="33">
        <f>SUM(P1040:P1052)</f>
        <v>0</v>
      </c>
      <c r="Q1053" s="34"/>
      <c r="R1053" s="35"/>
      <c r="T1053" s="1"/>
    </row>
    <row r="1054" spans="1:22" s="36" customFormat="1" ht="15.75" thickBot="1" x14ac:dyDescent="0.3">
      <c r="C1054" s="37"/>
      <c r="D1054" s="37"/>
      <c r="F1054" s="38"/>
      <c r="G1054" s="38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T1054" s="40"/>
    </row>
    <row r="1055" spans="1:22" ht="15.75" thickBot="1" x14ac:dyDescent="0.3">
      <c r="A1055" s="2">
        <f>A1038+1</f>
        <v>63</v>
      </c>
      <c r="B1055" s="74" t="s">
        <v>31</v>
      </c>
      <c r="C1055" s="75"/>
      <c r="D1055" s="75"/>
      <c r="E1055" s="75"/>
      <c r="F1055" s="76"/>
      <c r="G1055" s="3" t="s">
        <v>0</v>
      </c>
      <c r="H1055" s="77" t="s">
        <v>1</v>
      </c>
      <c r="I1055" s="78"/>
      <c r="J1055" s="78"/>
      <c r="K1055" s="78"/>
      <c r="L1055" s="79"/>
      <c r="M1055" s="80" t="s">
        <v>2</v>
      </c>
      <c r="N1055" s="78"/>
      <c r="O1055" s="78"/>
      <c r="P1055" s="78"/>
      <c r="Q1055" s="79"/>
      <c r="R1055" s="69" t="s">
        <v>29</v>
      </c>
    </row>
    <row r="1056" spans="1:22" x14ac:dyDescent="0.25">
      <c r="A1056" s="4" t="s">
        <v>4</v>
      </c>
      <c r="B1056" s="5" t="s">
        <v>5</v>
      </c>
      <c r="C1056" s="6" t="s">
        <v>6</v>
      </c>
      <c r="D1056" s="6" t="s">
        <v>7</v>
      </c>
      <c r="E1056" s="5" t="s">
        <v>8</v>
      </c>
      <c r="F1056" s="5" t="s">
        <v>9</v>
      </c>
      <c r="G1056" s="7" t="s">
        <v>10</v>
      </c>
      <c r="H1056" s="8" t="s">
        <v>11</v>
      </c>
      <c r="I1056" s="9" t="s">
        <v>0</v>
      </c>
      <c r="J1056" s="9" t="s">
        <v>12</v>
      </c>
      <c r="K1056" s="9" t="s">
        <v>13</v>
      </c>
      <c r="L1056" s="10" t="s">
        <v>14</v>
      </c>
      <c r="M1056" s="9" t="s">
        <v>11</v>
      </c>
      <c r="N1056" s="9" t="s">
        <v>0</v>
      </c>
      <c r="O1056" s="9" t="s">
        <v>12</v>
      </c>
      <c r="P1056" s="9" t="s">
        <v>13</v>
      </c>
      <c r="Q1056" s="10" t="s">
        <v>14</v>
      </c>
      <c r="R1056" s="70"/>
    </row>
    <row r="1057" spans="1:18" x14ac:dyDescent="0.25">
      <c r="A1057" s="12" t="s">
        <v>15</v>
      </c>
      <c r="B1057" s="41">
        <v>100000</v>
      </c>
      <c r="C1057" s="41">
        <v>3650000</v>
      </c>
      <c r="D1057" s="41">
        <v>1085000</v>
      </c>
      <c r="E1057" s="41">
        <v>800000</v>
      </c>
      <c r="F1057" s="41">
        <v>0</v>
      </c>
      <c r="G1057" s="15">
        <f t="shared" ref="G1057" si="392">SUM(B1057:F1057)</f>
        <v>5635000</v>
      </c>
      <c r="H1057" s="16"/>
      <c r="I1057" s="17"/>
      <c r="J1057" s="26">
        <v>6050000</v>
      </c>
      <c r="K1057" s="17"/>
      <c r="L1057" s="17"/>
      <c r="M1057" s="17"/>
      <c r="N1057" s="17"/>
      <c r="O1057" s="17"/>
      <c r="P1057" s="17"/>
      <c r="Q1057" s="17"/>
      <c r="R1057" s="19"/>
    </row>
    <row r="1058" spans="1:18" x14ac:dyDescent="0.25">
      <c r="A1058" s="20" t="s">
        <v>16</v>
      </c>
      <c r="B1058" s="42"/>
      <c r="C1058" s="43">
        <v>100000</v>
      </c>
      <c r="D1058" s="43">
        <v>25000</v>
      </c>
      <c r="E1058" s="43">
        <v>100000</v>
      </c>
      <c r="F1058" s="43">
        <v>0</v>
      </c>
      <c r="G1058" s="15">
        <f t="shared" ref="G1058:G1070" si="393">D1058+C1058+B1058+E1058</f>
        <v>225000</v>
      </c>
      <c r="H1058" s="16">
        <v>41</v>
      </c>
      <c r="I1058" s="26">
        <f>[3]krnmei!$I$1069</f>
        <v>250000</v>
      </c>
      <c r="J1058" s="26">
        <f t="shared" ref="J1058:J1069" si="394">J1057-I1058</f>
        <v>5800000</v>
      </c>
      <c r="K1058" s="26">
        <f>0.015*J1057</f>
        <v>90750</v>
      </c>
      <c r="L1058" s="26"/>
      <c r="M1058" s="25"/>
      <c r="N1058" s="25"/>
      <c r="O1058" s="25"/>
      <c r="P1058" s="25"/>
      <c r="Q1058" s="25"/>
      <c r="R1058" s="27">
        <f>K1058+I1058+G1058</f>
        <v>565750</v>
      </c>
    </row>
    <row r="1059" spans="1:18" x14ac:dyDescent="0.25">
      <c r="A1059" s="20" t="s">
        <v>17</v>
      </c>
      <c r="B1059" s="42"/>
      <c r="C1059" s="43">
        <v>100000</v>
      </c>
      <c r="D1059" s="43">
        <v>25000</v>
      </c>
      <c r="E1059" s="43">
        <v>100000</v>
      </c>
      <c r="F1059" s="43">
        <v>0</v>
      </c>
      <c r="G1059" s="15">
        <f t="shared" si="393"/>
        <v>225000</v>
      </c>
      <c r="H1059" s="16">
        <v>42</v>
      </c>
      <c r="I1059" s="26">
        <f>[3]krnmei!$I$1069</f>
        <v>250000</v>
      </c>
      <c r="J1059" s="26">
        <f t="shared" si="394"/>
        <v>5550000</v>
      </c>
      <c r="K1059" s="26">
        <f>0.015*J1058</f>
        <v>87000</v>
      </c>
      <c r="L1059" s="26"/>
      <c r="M1059" s="25"/>
      <c r="N1059" s="25"/>
      <c r="O1059" s="25"/>
      <c r="P1059" s="25"/>
      <c r="Q1059" s="25"/>
      <c r="R1059" s="27">
        <f t="shared" ref="R1059:R1064" si="395">K1059+I1059+G1059</f>
        <v>562000</v>
      </c>
    </row>
    <row r="1060" spans="1:18" x14ac:dyDescent="0.25">
      <c r="A1060" s="20" t="s">
        <v>18</v>
      </c>
      <c r="B1060" s="42"/>
      <c r="C1060" s="43">
        <v>100000</v>
      </c>
      <c r="D1060" s="43">
        <v>25000</v>
      </c>
      <c r="E1060" s="43">
        <v>100000</v>
      </c>
      <c r="F1060" s="43">
        <v>0</v>
      </c>
      <c r="G1060" s="15">
        <f t="shared" si="393"/>
        <v>225000</v>
      </c>
      <c r="H1060" s="16">
        <v>43</v>
      </c>
      <c r="I1060" s="26">
        <f>[3]krnmei!$I$1069</f>
        <v>250000</v>
      </c>
      <c r="J1060" s="26">
        <f t="shared" si="394"/>
        <v>5300000</v>
      </c>
      <c r="K1060" s="26">
        <f>0.015*J1059</f>
        <v>83250</v>
      </c>
      <c r="L1060" s="26"/>
      <c r="M1060" s="25"/>
      <c r="N1060" s="25"/>
      <c r="O1060" s="25"/>
      <c r="P1060" s="25"/>
      <c r="Q1060" s="25"/>
      <c r="R1060" s="27">
        <f t="shared" si="395"/>
        <v>558250</v>
      </c>
    </row>
    <row r="1061" spans="1:18" x14ac:dyDescent="0.25">
      <c r="A1061" s="20" t="s">
        <v>19</v>
      </c>
      <c r="B1061" s="42"/>
      <c r="C1061" s="43">
        <v>100000</v>
      </c>
      <c r="D1061" s="43">
        <v>25000</v>
      </c>
      <c r="E1061" s="43">
        <v>-1100000</v>
      </c>
      <c r="F1061" s="43">
        <v>0</v>
      </c>
      <c r="G1061" s="15">
        <f t="shared" si="393"/>
        <v>-975000</v>
      </c>
      <c r="H1061" s="16">
        <v>44</v>
      </c>
      <c r="I1061" s="26">
        <f>[3]krnmei!$I$1069</f>
        <v>250000</v>
      </c>
      <c r="J1061" s="26">
        <f t="shared" si="394"/>
        <v>5050000</v>
      </c>
      <c r="K1061" s="26">
        <f t="shared" ref="K1061:K1063" si="396">0.015*J1060</f>
        <v>79500</v>
      </c>
      <c r="L1061" s="26"/>
      <c r="M1061" s="25"/>
      <c r="N1061" s="25"/>
      <c r="O1061" s="25"/>
      <c r="P1061" s="25"/>
      <c r="Q1061" s="25"/>
      <c r="R1061" s="27">
        <f t="shared" si="395"/>
        <v>-645500</v>
      </c>
    </row>
    <row r="1062" spans="1:18" x14ac:dyDescent="0.25">
      <c r="A1062" s="20" t="s">
        <v>20</v>
      </c>
      <c r="B1062" s="41"/>
      <c r="C1062" s="43">
        <v>100000</v>
      </c>
      <c r="D1062" s="43">
        <v>25000</v>
      </c>
      <c r="E1062" s="43">
        <v>100000</v>
      </c>
      <c r="F1062" s="43">
        <v>0</v>
      </c>
      <c r="G1062" s="15">
        <f t="shared" si="393"/>
        <v>225000</v>
      </c>
      <c r="H1062" s="16">
        <v>45</v>
      </c>
      <c r="I1062" s="26">
        <f>[3]krnmei!$I$1069</f>
        <v>250000</v>
      </c>
      <c r="J1062" s="26">
        <f>J1061-I1062+10000000</f>
        <v>14800000</v>
      </c>
      <c r="K1062" s="26">
        <f t="shared" si="396"/>
        <v>75750</v>
      </c>
      <c r="L1062" s="26"/>
      <c r="M1062" s="25"/>
      <c r="N1062" s="25"/>
      <c r="O1062" s="25"/>
      <c r="P1062" s="25"/>
      <c r="Q1062" s="25"/>
      <c r="R1062" s="27">
        <f t="shared" si="395"/>
        <v>550750</v>
      </c>
    </row>
    <row r="1063" spans="1:18" x14ac:dyDescent="0.25">
      <c r="A1063" s="20" t="s">
        <v>21</v>
      </c>
      <c r="B1063" s="42"/>
      <c r="C1063" s="43">
        <v>100000</v>
      </c>
      <c r="D1063" s="43">
        <v>25000</v>
      </c>
      <c r="E1063" s="43">
        <v>100000</v>
      </c>
      <c r="F1063" s="43">
        <v>0</v>
      </c>
      <c r="G1063" s="15">
        <f t="shared" si="393"/>
        <v>225000</v>
      </c>
      <c r="H1063" s="16">
        <v>1</v>
      </c>
      <c r="I1063" s="26">
        <f>[3]krnmei!$I$1069+150000</f>
        <v>400000</v>
      </c>
      <c r="J1063" s="26">
        <f t="shared" si="394"/>
        <v>14400000</v>
      </c>
      <c r="K1063" s="26">
        <f t="shared" si="396"/>
        <v>222000</v>
      </c>
      <c r="L1063" s="26"/>
      <c r="M1063" s="25"/>
      <c r="N1063" s="25"/>
      <c r="O1063" s="25"/>
      <c r="P1063" s="25"/>
      <c r="Q1063" s="25"/>
      <c r="R1063" s="27">
        <f>K1063+I1063+G1063</f>
        <v>847000</v>
      </c>
    </row>
    <row r="1064" spans="1:18" x14ac:dyDescent="0.25">
      <c r="A1064" s="20" t="s">
        <v>22</v>
      </c>
      <c r="B1064" s="42"/>
      <c r="C1064" s="43">
        <v>100000</v>
      </c>
      <c r="D1064" s="43">
        <v>25000</v>
      </c>
      <c r="E1064" s="43">
        <v>100000</v>
      </c>
      <c r="F1064" s="43">
        <v>0</v>
      </c>
      <c r="G1064" s="15">
        <f t="shared" si="393"/>
        <v>225000</v>
      </c>
      <c r="H1064" s="16">
        <v>2</v>
      </c>
      <c r="I1064" s="26">
        <f>[3]krnmei!$I$1069+150000</f>
        <v>400000</v>
      </c>
      <c r="J1064" s="26">
        <f t="shared" si="394"/>
        <v>14000000</v>
      </c>
      <c r="K1064" s="26">
        <f t="shared" ref="K1064" si="397">0.015*J1063</f>
        <v>216000</v>
      </c>
      <c r="L1064" s="26"/>
      <c r="M1064" s="25"/>
      <c r="N1064" s="25"/>
      <c r="O1064" s="25"/>
      <c r="P1064" s="25"/>
      <c r="Q1064" s="25"/>
      <c r="R1064" s="27">
        <f t="shared" si="395"/>
        <v>841000</v>
      </c>
    </row>
    <row r="1065" spans="1:18" x14ac:dyDescent="0.25">
      <c r="A1065" s="20" t="s">
        <v>23</v>
      </c>
      <c r="B1065" s="42"/>
      <c r="C1065" s="43">
        <v>100000</v>
      </c>
      <c r="D1065" s="43">
        <v>25000</v>
      </c>
      <c r="E1065" s="43">
        <v>100000</v>
      </c>
      <c r="F1065" s="43">
        <v>0</v>
      </c>
      <c r="G1065" s="15">
        <f t="shared" si="393"/>
        <v>225000</v>
      </c>
      <c r="H1065" s="16">
        <v>3</v>
      </c>
      <c r="I1065" s="26">
        <f>[3]krnmei!$I$1069+150000</f>
        <v>400000</v>
      </c>
      <c r="J1065" s="26">
        <f t="shared" si="394"/>
        <v>13600000</v>
      </c>
      <c r="K1065" s="26">
        <f t="shared" ref="K1065" si="398">0.015*J1064</f>
        <v>210000</v>
      </c>
      <c r="L1065" s="26"/>
      <c r="M1065" s="25"/>
      <c r="N1065" s="25"/>
      <c r="O1065" s="25"/>
      <c r="P1065" s="26"/>
      <c r="Q1065" s="25"/>
      <c r="R1065" s="27">
        <f>K1065+I1065+G1065+P1065</f>
        <v>835000</v>
      </c>
    </row>
    <row r="1066" spans="1:18" x14ac:dyDescent="0.25">
      <c r="A1066" s="20" t="s">
        <v>24</v>
      </c>
      <c r="B1066" s="42"/>
      <c r="C1066" s="43">
        <v>100000</v>
      </c>
      <c r="D1066" s="43">
        <v>25000</v>
      </c>
      <c r="E1066" s="43">
        <v>100000</v>
      </c>
      <c r="F1066" s="43">
        <v>0</v>
      </c>
      <c r="G1066" s="15">
        <f t="shared" si="393"/>
        <v>225000</v>
      </c>
      <c r="H1066" s="16">
        <v>4</v>
      </c>
      <c r="I1066" s="26">
        <f>[3]krnmei!$I$1069+150000</f>
        <v>400000</v>
      </c>
      <c r="J1066" s="26">
        <f t="shared" si="394"/>
        <v>13200000</v>
      </c>
      <c r="K1066" s="26">
        <f t="shared" ref="K1066:K1067" si="399">0.015*J1065</f>
        <v>204000</v>
      </c>
      <c r="L1066" s="26"/>
      <c r="M1066" s="25"/>
      <c r="N1066" s="25"/>
      <c r="O1066" s="25"/>
      <c r="P1066" s="26"/>
      <c r="Q1066" s="25"/>
      <c r="R1066" s="27">
        <f>K1066+I1066+G1066+P1066</f>
        <v>829000</v>
      </c>
    </row>
    <row r="1067" spans="1:18" x14ac:dyDescent="0.25">
      <c r="A1067" s="20" t="s">
        <v>25</v>
      </c>
      <c r="B1067" s="42"/>
      <c r="C1067" s="43">
        <v>100000</v>
      </c>
      <c r="D1067" s="43">
        <v>25000</v>
      </c>
      <c r="E1067" s="43">
        <v>100000</v>
      </c>
      <c r="F1067" s="43">
        <v>0</v>
      </c>
      <c r="G1067" s="15">
        <f t="shared" si="393"/>
        <v>225000</v>
      </c>
      <c r="H1067" s="16">
        <v>5</v>
      </c>
      <c r="I1067" s="26">
        <f>[3]krnmei!$I$1069+150000</f>
        <v>400000</v>
      </c>
      <c r="J1067" s="26">
        <f t="shared" si="394"/>
        <v>12800000</v>
      </c>
      <c r="K1067" s="26">
        <f t="shared" si="399"/>
        <v>198000</v>
      </c>
      <c r="L1067" s="26"/>
      <c r="M1067" s="25"/>
      <c r="N1067" s="25">
        <v>1500000</v>
      </c>
      <c r="O1067" s="25">
        <v>1500000</v>
      </c>
      <c r="P1067" s="25"/>
      <c r="Q1067" s="25"/>
      <c r="R1067" s="27">
        <f t="shared" ref="R1067:R1069" si="400">K1067+I1067+G1067+P1067</f>
        <v>823000</v>
      </c>
    </row>
    <row r="1068" spans="1:18" x14ac:dyDescent="0.25">
      <c r="A1068" s="20" t="s">
        <v>26</v>
      </c>
      <c r="B1068" s="42"/>
      <c r="C1068" s="43">
        <v>100000</v>
      </c>
      <c r="D1068" s="43">
        <v>25000</v>
      </c>
      <c r="E1068" s="43">
        <v>100000</v>
      </c>
      <c r="F1068" s="43">
        <v>0</v>
      </c>
      <c r="G1068" s="15">
        <f t="shared" si="393"/>
        <v>225000</v>
      </c>
      <c r="H1068" s="16">
        <v>6</v>
      </c>
      <c r="I1068" s="26">
        <f>[3]krnmei!$I$1069+150000</f>
        <v>400000</v>
      </c>
      <c r="J1068" s="26">
        <f t="shared" si="394"/>
        <v>12400000</v>
      </c>
      <c r="K1068" s="26">
        <f t="shared" ref="K1068" si="401">0.015*J1067</f>
        <v>192000</v>
      </c>
      <c r="L1068" s="26"/>
      <c r="M1068" s="25">
        <v>1</v>
      </c>
      <c r="N1068" s="25">
        <v>1500000</v>
      </c>
      <c r="O1068" s="25">
        <f>O1067-N1068</f>
        <v>0</v>
      </c>
      <c r="P1068" s="26">
        <f>0.02*O1067</f>
        <v>30000</v>
      </c>
      <c r="Q1068" s="25"/>
      <c r="R1068" s="27">
        <f t="shared" si="400"/>
        <v>847000</v>
      </c>
    </row>
    <row r="1069" spans="1:18" ht="15.75" thickBot="1" x14ac:dyDescent="0.3">
      <c r="A1069" s="12" t="s">
        <v>15</v>
      </c>
      <c r="B1069" s="44"/>
      <c r="C1069" s="43">
        <v>100000</v>
      </c>
      <c r="D1069" s="43">
        <v>25000</v>
      </c>
      <c r="E1069" s="43">
        <v>100000</v>
      </c>
      <c r="F1069" s="43">
        <v>0</v>
      </c>
      <c r="G1069" s="15">
        <f t="shared" si="393"/>
        <v>225000</v>
      </c>
      <c r="H1069" s="16">
        <v>7</v>
      </c>
      <c r="I1069" s="26">
        <f>[3]krnmei!$I$1069+150000</f>
        <v>400000</v>
      </c>
      <c r="J1069" s="26">
        <f t="shared" si="394"/>
        <v>12000000</v>
      </c>
      <c r="K1069" s="26">
        <f t="shared" ref="K1069" si="402">0.015*J1068</f>
        <v>186000</v>
      </c>
      <c r="L1069" s="26"/>
      <c r="M1069" s="25"/>
      <c r="N1069" s="25"/>
      <c r="O1069" s="25"/>
      <c r="P1069" s="26">
        <f>0.02*O1068</f>
        <v>0</v>
      </c>
      <c r="Q1069" s="25"/>
      <c r="R1069" s="27">
        <f t="shared" si="400"/>
        <v>811000</v>
      </c>
    </row>
    <row r="1070" spans="1:18" ht="15.75" thickBot="1" x14ac:dyDescent="0.3">
      <c r="A1070" s="29" t="s">
        <v>0</v>
      </c>
      <c r="B1070" s="30">
        <f t="shared" ref="B1070:F1070" si="403">SUM(B1057:B1069)</f>
        <v>100000</v>
      </c>
      <c r="C1070" s="30">
        <f t="shared" si="403"/>
        <v>4850000</v>
      </c>
      <c r="D1070" s="30">
        <f t="shared" si="403"/>
        <v>1385000</v>
      </c>
      <c r="E1070" s="30">
        <f t="shared" si="403"/>
        <v>800000</v>
      </c>
      <c r="F1070" s="30">
        <f t="shared" si="403"/>
        <v>0</v>
      </c>
      <c r="G1070" s="15">
        <f t="shared" si="393"/>
        <v>7135000</v>
      </c>
      <c r="H1070" s="32"/>
      <c r="I1070" s="71" t="s">
        <v>27</v>
      </c>
      <c r="J1070" s="72"/>
      <c r="K1070" s="33">
        <f>SUM(K1057:K1069)</f>
        <v>1844250</v>
      </c>
      <c r="L1070" s="34"/>
      <c r="M1070" s="71" t="s">
        <v>28</v>
      </c>
      <c r="N1070" s="73"/>
      <c r="O1070" s="72"/>
      <c r="P1070" s="33">
        <f>SUM(P1057:P1069)</f>
        <v>30000</v>
      </c>
      <c r="Q1070" s="34"/>
      <c r="R1070" s="35"/>
    </row>
    <row r="1071" spans="1:18" ht="15.75" thickBot="1" x14ac:dyDescent="0.3"/>
    <row r="1072" spans="1:18" ht="19.5" thickBot="1" x14ac:dyDescent="0.35">
      <c r="A1072" s="67">
        <v>64</v>
      </c>
      <c r="B1072" s="81" t="s">
        <v>56</v>
      </c>
      <c r="C1072" s="82"/>
      <c r="D1072" s="82"/>
      <c r="E1072" s="82"/>
      <c r="F1072" s="83"/>
      <c r="G1072" s="3" t="s">
        <v>0</v>
      </c>
      <c r="H1072" s="77" t="s">
        <v>1</v>
      </c>
      <c r="I1072" s="78"/>
      <c r="J1072" s="78"/>
      <c r="K1072" s="78"/>
      <c r="L1072" s="79"/>
      <c r="M1072" s="80" t="s">
        <v>2</v>
      </c>
      <c r="N1072" s="78"/>
      <c r="O1072" s="78"/>
      <c r="P1072" s="78"/>
      <c r="Q1072" s="79"/>
      <c r="R1072" s="69" t="s">
        <v>29</v>
      </c>
    </row>
    <row r="1073" spans="1:18" x14ac:dyDescent="0.25">
      <c r="A1073" s="4" t="s">
        <v>4</v>
      </c>
      <c r="B1073" s="5" t="s">
        <v>5</v>
      </c>
      <c r="C1073" s="6" t="s">
        <v>6</v>
      </c>
      <c r="D1073" s="6" t="s">
        <v>7</v>
      </c>
      <c r="E1073" s="5" t="s">
        <v>8</v>
      </c>
      <c r="F1073" s="5" t="s">
        <v>9</v>
      </c>
      <c r="G1073" s="7" t="s">
        <v>10</v>
      </c>
      <c r="H1073" s="8" t="s">
        <v>11</v>
      </c>
      <c r="I1073" s="9" t="s">
        <v>0</v>
      </c>
      <c r="J1073" s="9" t="s">
        <v>12</v>
      </c>
      <c r="K1073" s="9" t="s">
        <v>13</v>
      </c>
      <c r="L1073" s="10" t="s">
        <v>14</v>
      </c>
      <c r="M1073" s="9" t="s">
        <v>11</v>
      </c>
      <c r="N1073" s="9" t="s">
        <v>0</v>
      </c>
      <c r="O1073" s="9" t="s">
        <v>12</v>
      </c>
      <c r="P1073" s="9" t="s">
        <v>13</v>
      </c>
      <c r="Q1073" s="10" t="s">
        <v>14</v>
      </c>
      <c r="R1073" s="70"/>
    </row>
    <row r="1074" spans="1:18" x14ac:dyDescent="0.25">
      <c r="A1074" s="12" t="s">
        <v>15</v>
      </c>
      <c r="B1074" s="41"/>
      <c r="C1074" s="41"/>
      <c r="D1074" s="41"/>
      <c r="E1074" s="41"/>
      <c r="F1074" s="41"/>
      <c r="G1074" s="15"/>
      <c r="H1074" s="16"/>
      <c r="I1074" s="17"/>
      <c r="J1074" s="18"/>
      <c r="K1074" s="17"/>
      <c r="L1074" s="17"/>
      <c r="M1074" s="17"/>
      <c r="N1074" s="17"/>
      <c r="O1074" s="17"/>
      <c r="P1074" s="17"/>
      <c r="Q1074" s="17"/>
      <c r="R1074" s="19"/>
    </row>
    <row r="1075" spans="1:18" x14ac:dyDescent="0.25">
      <c r="A1075" s="20" t="s">
        <v>16</v>
      </c>
      <c r="B1075" s="42"/>
      <c r="C1075" s="43"/>
      <c r="D1075" s="43"/>
      <c r="E1075" s="43"/>
      <c r="F1075" s="43"/>
      <c r="G1075" s="15">
        <f t="shared" ref="G1075:G1077" si="404">D1075+C1075+B1075+E1075</f>
        <v>0</v>
      </c>
      <c r="H1075" s="16"/>
      <c r="I1075" s="26"/>
      <c r="J1075" s="25"/>
      <c r="K1075" s="26"/>
      <c r="L1075" s="26"/>
      <c r="M1075" s="25"/>
      <c r="N1075" s="25"/>
      <c r="O1075" s="25"/>
      <c r="P1075" s="25"/>
      <c r="Q1075" s="25"/>
      <c r="R1075" s="27">
        <f t="shared" ref="R1075:R1080" si="405">G1075+I1075+K1075</f>
        <v>0</v>
      </c>
    </row>
    <row r="1076" spans="1:18" x14ac:dyDescent="0.25">
      <c r="A1076" s="20" t="s">
        <v>17</v>
      </c>
      <c r="B1076" s="42"/>
      <c r="C1076" s="43"/>
      <c r="D1076" s="43"/>
      <c r="E1076" s="43"/>
      <c r="F1076" s="43"/>
      <c r="G1076" s="15">
        <f t="shared" si="404"/>
        <v>0</v>
      </c>
      <c r="H1076" s="16"/>
      <c r="I1076" s="26"/>
      <c r="J1076" s="25"/>
      <c r="K1076" s="26"/>
      <c r="L1076" s="26"/>
      <c r="M1076" s="25"/>
      <c r="N1076" s="25"/>
      <c r="O1076" s="25"/>
      <c r="P1076" s="25"/>
      <c r="Q1076" s="25"/>
      <c r="R1076" s="27">
        <f t="shared" si="405"/>
        <v>0</v>
      </c>
    </row>
    <row r="1077" spans="1:18" x14ac:dyDescent="0.25">
      <c r="A1077" s="20" t="s">
        <v>18</v>
      </c>
      <c r="B1077" s="42"/>
      <c r="C1077" s="43"/>
      <c r="D1077" s="43"/>
      <c r="E1077" s="43"/>
      <c r="F1077" s="43"/>
      <c r="G1077" s="15">
        <f t="shared" si="404"/>
        <v>0</v>
      </c>
      <c r="H1077" s="16"/>
      <c r="I1077" s="26"/>
      <c r="J1077" s="25"/>
      <c r="K1077" s="26"/>
      <c r="L1077" s="26"/>
      <c r="M1077" s="25"/>
      <c r="N1077" s="25"/>
      <c r="O1077" s="25"/>
      <c r="P1077" s="25"/>
      <c r="Q1077" s="25"/>
      <c r="R1077" s="27">
        <f t="shared" si="405"/>
        <v>0</v>
      </c>
    </row>
    <row r="1078" spans="1:18" x14ac:dyDescent="0.25">
      <c r="A1078" s="20" t="s">
        <v>19</v>
      </c>
      <c r="B1078" s="42">
        <v>25000</v>
      </c>
      <c r="C1078" s="43">
        <v>15000</v>
      </c>
      <c r="D1078" s="43">
        <v>10000</v>
      </c>
      <c r="E1078" s="43">
        <v>25000</v>
      </c>
      <c r="F1078" s="43">
        <v>50000</v>
      </c>
      <c r="G1078" s="15">
        <f>D1078+C1078+B1078+E1078+F1078</f>
        <v>125000</v>
      </c>
      <c r="H1078" s="16"/>
      <c r="I1078" s="26"/>
      <c r="J1078" s="25"/>
      <c r="K1078" s="26"/>
      <c r="L1078" s="26"/>
      <c r="M1078" s="25"/>
      <c r="N1078" s="25"/>
      <c r="O1078" s="25"/>
      <c r="P1078" s="25"/>
      <c r="Q1078" s="25"/>
      <c r="R1078" s="27">
        <f t="shared" si="405"/>
        <v>125000</v>
      </c>
    </row>
    <row r="1079" spans="1:18" x14ac:dyDescent="0.25">
      <c r="A1079" s="20" t="s">
        <v>20</v>
      </c>
      <c r="B1079" s="41"/>
      <c r="C1079" s="43">
        <v>15000</v>
      </c>
      <c r="D1079" s="43">
        <v>10000</v>
      </c>
      <c r="E1079" s="43">
        <v>25000</v>
      </c>
      <c r="F1079" s="43">
        <v>50000</v>
      </c>
      <c r="G1079" s="15">
        <f t="shared" ref="G1079:G1086" si="406">D1079+C1079+B1079+E1079+F1079</f>
        <v>100000</v>
      </c>
      <c r="H1079" s="16"/>
      <c r="I1079" s="26"/>
      <c r="J1079" s="25"/>
      <c r="K1079" s="26"/>
      <c r="L1079" s="26"/>
      <c r="M1079" s="25"/>
      <c r="N1079" s="25"/>
      <c r="O1079" s="25"/>
      <c r="P1079" s="66"/>
      <c r="Q1079" s="25"/>
      <c r="R1079" s="27">
        <f t="shared" si="405"/>
        <v>100000</v>
      </c>
    </row>
    <row r="1080" spans="1:18" x14ac:dyDescent="0.25">
      <c r="A1080" s="20" t="s">
        <v>21</v>
      </c>
      <c r="B1080" s="42"/>
      <c r="C1080" s="43">
        <v>15000</v>
      </c>
      <c r="D1080" s="43">
        <v>10000</v>
      </c>
      <c r="E1080" s="43">
        <v>25000</v>
      </c>
      <c r="F1080" s="43">
        <v>50000</v>
      </c>
      <c r="G1080" s="15">
        <f t="shared" si="406"/>
        <v>100000</v>
      </c>
      <c r="H1080" s="16"/>
      <c r="I1080" s="26"/>
      <c r="J1080" s="25"/>
      <c r="K1080" s="26"/>
      <c r="L1080" s="26"/>
      <c r="M1080" s="25"/>
      <c r="N1080" s="25"/>
      <c r="O1080" s="25"/>
      <c r="P1080" s="66"/>
      <c r="Q1080" s="25"/>
      <c r="R1080" s="27">
        <f t="shared" si="405"/>
        <v>100000</v>
      </c>
    </row>
    <row r="1081" spans="1:18" x14ac:dyDescent="0.25">
      <c r="A1081" s="20" t="s">
        <v>22</v>
      </c>
      <c r="B1081" s="42"/>
      <c r="C1081" s="43">
        <v>15000</v>
      </c>
      <c r="D1081" s="43">
        <v>10000</v>
      </c>
      <c r="E1081" s="43">
        <v>25000</v>
      </c>
      <c r="F1081" s="43">
        <v>50000</v>
      </c>
      <c r="G1081" s="15">
        <f t="shared" si="406"/>
        <v>100000</v>
      </c>
      <c r="H1081" s="16"/>
      <c r="I1081" s="26"/>
      <c r="J1081" s="25"/>
      <c r="K1081" s="26"/>
      <c r="L1081" s="26"/>
      <c r="M1081" s="25"/>
      <c r="N1081" s="25"/>
      <c r="O1081" s="25"/>
      <c r="P1081" s="66"/>
      <c r="Q1081" s="25"/>
      <c r="R1081" s="27">
        <f t="shared" ref="R1081" si="407">G1081+I1081+K1081+P1081</f>
        <v>100000</v>
      </c>
    </row>
    <row r="1082" spans="1:18" x14ac:dyDescent="0.25">
      <c r="A1082" s="20" t="s">
        <v>23</v>
      </c>
      <c r="B1082" s="42"/>
      <c r="C1082" s="43">
        <v>15000</v>
      </c>
      <c r="D1082" s="43">
        <v>10000</v>
      </c>
      <c r="E1082" s="43">
        <v>25000</v>
      </c>
      <c r="F1082" s="43">
        <v>50000</v>
      </c>
      <c r="G1082" s="15">
        <f t="shared" si="406"/>
        <v>100000</v>
      </c>
      <c r="H1082" s="16"/>
      <c r="I1082" s="26"/>
      <c r="J1082" s="25"/>
      <c r="K1082" s="26"/>
      <c r="L1082" s="26"/>
      <c r="M1082" s="25"/>
      <c r="N1082" s="25"/>
      <c r="O1082" s="25"/>
      <c r="P1082" s="26"/>
      <c r="Q1082" s="25"/>
      <c r="R1082" s="27">
        <f t="shared" ref="R1082:R1086" si="408">G1082+I1082+K1082</f>
        <v>100000</v>
      </c>
    </row>
    <row r="1083" spans="1:18" x14ac:dyDescent="0.25">
      <c r="A1083" s="20" t="s">
        <v>24</v>
      </c>
      <c r="B1083" s="42"/>
      <c r="C1083" s="43">
        <v>15000</v>
      </c>
      <c r="D1083" s="43">
        <v>10000</v>
      </c>
      <c r="E1083" s="43">
        <v>25000</v>
      </c>
      <c r="F1083" s="43">
        <v>50000</v>
      </c>
      <c r="G1083" s="15">
        <f t="shared" si="406"/>
        <v>100000</v>
      </c>
      <c r="H1083" s="16"/>
      <c r="I1083" s="26"/>
      <c r="J1083" s="25"/>
      <c r="K1083" s="26"/>
      <c r="L1083" s="26"/>
      <c r="M1083" s="25"/>
      <c r="N1083" s="25"/>
      <c r="O1083" s="25"/>
      <c r="P1083" s="26"/>
      <c r="Q1083" s="25"/>
      <c r="R1083" s="27">
        <f t="shared" si="408"/>
        <v>100000</v>
      </c>
    </row>
    <row r="1084" spans="1:18" x14ac:dyDescent="0.25">
      <c r="A1084" s="20" t="s">
        <v>25</v>
      </c>
      <c r="B1084" s="42"/>
      <c r="C1084" s="43">
        <v>15000</v>
      </c>
      <c r="D1084" s="43">
        <v>10000</v>
      </c>
      <c r="E1084" s="43">
        <v>25000</v>
      </c>
      <c r="F1084" s="43">
        <v>50000</v>
      </c>
      <c r="G1084" s="15">
        <f t="shared" si="406"/>
        <v>100000</v>
      </c>
      <c r="H1084" s="16"/>
      <c r="I1084" s="26"/>
      <c r="J1084" s="25"/>
      <c r="K1084" s="26"/>
      <c r="L1084" s="26"/>
      <c r="M1084" s="25"/>
      <c r="N1084" s="25"/>
      <c r="O1084" s="25"/>
      <c r="P1084" s="26"/>
      <c r="Q1084" s="25"/>
      <c r="R1084" s="27">
        <f>G1084+I1084+K1084+P1084</f>
        <v>100000</v>
      </c>
    </row>
    <row r="1085" spans="1:18" x14ac:dyDescent="0.25">
      <c r="A1085" s="20" t="s">
        <v>26</v>
      </c>
      <c r="B1085" s="42"/>
      <c r="C1085" s="43">
        <v>15000</v>
      </c>
      <c r="D1085" s="43">
        <v>10000</v>
      </c>
      <c r="E1085" s="43">
        <v>25000</v>
      </c>
      <c r="F1085" s="43">
        <v>50000</v>
      </c>
      <c r="G1085" s="15">
        <f t="shared" si="406"/>
        <v>100000</v>
      </c>
      <c r="H1085" s="16"/>
      <c r="I1085" s="26"/>
      <c r="J1085" s="25"/>
      <c r="K1085" s="26"/>
      <c r="L1085" s="26"/>
      <c r="M1085" s="25"/>
      <c r="N1085" s="25"/>
      <c r="O1085" s="25"/>
      <c r="P1085" s="26"/>
      <c r="Q1085" s="25"/>
      <c r="R1085" s="27">
        <f>G1085+I1085+K1085+P1085</f>
        <v>100000</v>
      </c>
    </row>
    <row r="1086" spans="1:18" ht="15.75" thickBot="1" x14ac:dyDescent="0.3">
      <c r="A1086" s="12" t="s">
        <v>15</v>
      </c>
      <c r="B1086" s="44"/>
      <c r="C1086" s="43">
        <v>15000</v>
      </c>
      <c r="D1086" s="43">
        <v>10000</v>
      </c>
      <c r="E1086" s="43">
        <v>25000</v>
      </c>
      <c r="F1086" s="43">
        <v>50000</v>
      </c>
      <c r="G1086" s="15">
        <f t="shared" si="406"/>
        <v>100000</v>
      </c>
      <c r="H1086" s="16"/>
      <c r="I1086" s="26"/>
      <c r="J1086" s="25"/>
      <c r="K1086" s="26">
        <f t="shared" ref="K1086" si="409">0.015*J1085</f>
        <v>0</v>
      </c>
      <c r="L1086" s="26"/>
      <c r="M1086" s="25"/>
      <c r="N1086" s="25"/>
      <c r="O1086" s="25"/>
      <c r="P1086" s="26">
        <f t="shared" ref="P1086" si="410">0.02*O1085</f>
        <v>0</v>
      </c>
      <c r="Q1086" s="25"/>
      <c r="R1086" s="27">
        <f t="shared" si="408"/>
        <v>100000</v>
      </c>
    </row>
    <row r="1087" spans="1:18" ht="15.75" thickBot="1" x14ac:dyDescent="0.3">
      <c r="A1087" s="29" t="s">
        <v>0</v>
      </c>
      <c r="B1087" s="30">
        <f t="shared" ref="B1087:G1087" si="411">SUM(B1074:B1086)</f>
        <v>25000</v>
      </c>
      <c r="C1087" s="30">
        <f t="shared" si="411"/>
        <v>135000</v>
      </c>
      <c r="D1087" s="30">
        <f t="shared" si="411"/>
        <v>90000</v>
      </c>
      <c r="E1087" s="30">
        <f t="shared" si="411"/>
        <v>225000</v>
      </c>
      <c r="F1087" s="30">
        <f t="shared" si="411"/>
        <v>450000</v>
      </c>
      <c r="G1087" s="31">
        <f t="shared" si="411"/>
        <v>925000</v>
      </c>
      <c r="H1087" s="32"/>
      <c r="I1087" s="71" t="s">
        <v>27</v>
      </c>
      <c r="J1087" s="72"/>
      <c r="K1087" s="33">
        <f>SUM(K1074:K1086)</f>
        <v>0</v>
      </c>
      <c r="L1087" s="34"/>
      <c r="M1087" s="71" t="s">
        <v>28</v>
      </c>
      <c r="N1087" s="73"/>
      <c r="O1087" s="72"/>
      <c r="P1087" s="33">
        <f>SUM(P1074:P1086)</f>
        <v>0</v>
      </c>
      <c r="Q1087" s="34"/>
      <c r="R1087" s="35"/>
    </row>
    <row r="1088" spans="1:18" ht="15.75" thickBot="1" x14ac:dyDescent="0.3"/>
    <row r="1089" spans="1:18" ht="16.5" thickBot="1" x14ac:dyDescent="0.3">
      <c r="A1089" s="2">
        <f>A1072+1</f>
        <v>65</v>
      </c>
      <c r="B1089" s="81" t="s">
        <v>32</v>
      </c>
      <c r="C1089" s="82"/>
      <c r="D1089" s="82"/>
      <c r="E1089" s="82"/>
      <c r="F1089" s="83"/>
      <c r="G1089" s="3" t="s">
        <v>0</v>
      </c>
      <c r="H1089" s="77" t="s">
        <v>1</v>
      </c>
      <c r="I1089" s="78"/>
      <c r="J1089" s="78"/>
      <c r="K1089" s="78"/>
      <c r="L1089" s="79"/>
      <c r="M1089" s="80" t="s">
        <v>2</v>
      </c>
      <c r="N1089" s="78"/>
      <c r="O1089" s="78"/>
      <c r="P1089" s="78"/>
      <c r="Q1089" s="79"/>
      <c r="R1089" s="69" t="s">
        <v>29</v>
      </c>
    </row>
    <row r="1090" spans="1:18" x14ac:dyDescent="0.25">
      <c r="A1090" s="4" t="s">
        <v>4</v>
      </c>
      <c r="B1090" s="5" t="s">
        <v>5</v>
      </c>
      <c r="C1090" s="6" t="s">
        <v>6</v>
      </c>
      <c r="D1090" s="6" t="s">
        <v>7</v>
      </c>
      <c r="E1090" s="5" t="s">
        <v>8</v>
      </c>
      <c r="F1090" s="5" t="s">
        <v>9</v>
      </c>
      <c r="G1090" s="7" t="s">
        <v>10</v>
      </c>
      <c r="H1090" s="8" t="s">
        <v>11</v>
      </c>
      <c r="I1090" s="9" t="s">
        <v>0</v>
      </c>
      <c r="J1090" s="9" t="s">
        <v>12</v>
      </c>
      <c r="K1090" s="9" t="s">
        <v>13</v>
      </c>
      <c r="L1090" s="10" t="s">
        <v>14</v>
      </c>
      <c r="M1090" s="9" t="s">
        <v>11</v>
      </c>
      <c r="N1090" s="9" t="s">
        <v>0</v>
      </c>
      <c r="O1090" s="9" t="s">
        <v>12</v>
      </c>
      <c r="P1090" s="9" t="s">
        <v>13</v>
      </c>
      <c r="Q1090" s="10" t="s">
        <v>14</v>
      </c>
      <c r="R1090" s="70"/>
    </row>
    <row r="1091" spans="1:18" x14ac:dyDescent="0.25">
      <c r="A1091" s="12" t="s">
        <v>15</v>
      </c>
      <c r="B1091" s="41">
        <v>100000</v>
      </c>
      <c r="C1091" s="41">
        <v>3650000</v>
      </c>
      <c r="D1091" s="41">
        <v>1085000</v>
      </c>
      <c r="E1091" s="41">
        <v>0</v>
      </c>
      <c r="F1091" s="41">
        <v>3000000</v>
      </c>
      <c r="G1091" s="15">
        <f t="shared" ref="G1091" si="412">SUM(B1091:F1091)</f>
        <v>7835000</v>
      </c>
      <c r="H1091" s="16"/>
      <c r="I1091" s="17"/>
      <c r="J1091" s="18">
        <v>0</v>
      </c>
      <c r="K1091" s="17"/>
      <c r="L1091" s="17"/>
      <c r="M1091" s="17"/>
      <c r="N1091" s="17"/>
      <c r="O1091" s="17">
        <v>0</v>
      </c>
      <c r="P1091" s="17"/>
      <c r="Q1091" s="17"/>
      <c r="R1091" s="19"/>
    </row>
    <row r="1092" spans="1:18" x14ac:dyDescent="0.25">
      <c r="A1092" s="20" t="s">
        <v>16</v>
      </c>
      <c r="B1092" s="42"/>
      <c r="C1092" s="43">
        <v>100000</v>
      </c>
      <c r="D1092" s="43">
        <v>25000</v>
      </c>
      <c r="E1092" s="43">
        <v>0</v>
      </c>
      <c r="F1092" s="43">
        <v>150000</v>
      </c>
      <c r="G1092" s="15">
        <f>B1092+C1092+D1092+E1092+F1092</f>
        <v>275000</v>
      </c>
      <c r="H1092" s="16"/>
      <c r="I1092" s="26"/>
      <c r="J1092" s="25"/>
      <c r="K1092" s="26"/>
      <c r="L1092" s="26"/>
      <c r="M1092" s="25"/>
      <c r="N1092" s="25"/>
      <c r="O1092" s="25"/>
      <c r="P1092" s="25"/>
      <c r="Q1092" s="25"/>
      <c r="R1092" s="27">
        <f>G1092</f>
        <v>275000</v>
      </c>
    </row>
    <row r="1093" spans="1:18" x14ac:dyDescent="0.25">
      <c r="A1093" s="20" t="s">
        <v>17</v>
      </c>
      <c r="B1093" s="42"/>
      <c r="C1093" s="43">
        <v>100000</v>
      </c>
      <c r="D1093" s="43">
        <v>25000</v>
      </c>
      <c r="E1093" s="43">
        <v>0</v>
      </c>
      <c r="F1093" s="43">
        <v>150000</v>
      </c>
      <c r="G1093" s="15">
        <f t="shared" ref="G1093:G1103" si="413">B1093+C1093+D1093+E1093+F1093</f>
        <v>275000</v>
      </c>
      <c r="H1093" s="16"/>
      <c r="I1093" s="26"/>
      <c r="J1093" s="25"/>
      <c r="K1093" s="26"/>
      <c r="L1093" s="26"/>
      <c r="M1093" s="25"/>
      <c r="N1093" s="25"/>
      <c r="O1093" s="25"/>
      <c r="P1093" s="25"/>
      <c r="Q1093" s="25"/>
      <c r="R1093" s="27">
        <f t="shared" ref="R1093:R1103" si="414">G1093</f>
        <v>275000</v>
      </c>
    </row>
    <row r="1094" spans="1:18" x14ac:dyDescent="0.25">
      <c r="A1094" s="20" t="s">
        <v>18</v>
      </c>
      <c r="B1094" s="42"/>
      <c r="C1094" s="43">
        <v>100000</v>
      </c>
      <c r="D1094" s="43">
        <v>25000</v>
      </c>
      <c r="E1094" s="43">
        <v>0</v>
      </c>
      <c r="F1094" s="43">
        <v>150000</v>
      </c>
      <c r="G1094" s="15">
        <f>B1094+C1094+D1094+E1094+F1094</f>
        <v>275000</v>
      </c>
      <c r="H1094" s="16"/>
      <c r="I1094" s="26"/>
      <c r="J1094" s="25"/>
      <c r="K1094" s="26"/>
      <c r="L1094" s="26"/>
      <c r="M1094" s="25"/>
      <c r="N1094" s="25"/>
      <c r="O1094" s="25"/>
      <c r="P1094" s="25"/>
      <c r="Q1094" s="25"/>
      <c r="R1094" s="27">
        <f t="shared" si="414"/>
        <v>275000</v>
      </c>
    </row>
    <row r="1095" spans="1:18" x14ac:dyDescent="0.25">
      <c r="A1095" s="20" t="s">
        <v>19</v>
      </c>
      <c r="B1095" s="42"/>
      <c r="C1095" s="43">
        <v>100000</v>
      </c>
      <c r="D1095" s="43">
        <v>25000</v>
      </c>
      <c r="E1095" s="43">
        <v>0</v>
      </c>
      <c r="F1095" s="43">
        <v>150000</v>
      </c>
      <c r="G1095" s="15">
        <f t="shared" si="413"/>
        <v>275000</v>
      </c>
      <c r="H1095" s="16"/>
      <c r="I1095" s="26"/>
      <c r="J1095" s="25"/>
      <c r="K1095" s="26"/>
      <c r="L1095" s="26"/>
      <c r="M1095" s="25"/>
      <c r="N1095" s="25"/>
      <c r="O1095" s="25"/>
      <c r="P1095" s="25"/>
      <c r="Q1095" s="25"/>
      <c r="R1095" s="27">
        <f t="shared" si="414"/>
        <v>275000</v>
      </c>
    </row>
    <row r="1096" spans="1:18" x14ac:dyDescent="0.25">
      <c r="A1096" s="20" t="s">
        <v>20</v>
      </c>
      <c r="B1096" s="41"/>
      <c r="C1096" s="43">
        <v>100000</v>
      </c>
      <c r="D1096" s="43">
        <v>25000</v>
      </c>
      <c r="E1096" s="43">
        <v>200000</v>
      </c>
      <c r="F1096" s="43">
        <v>150000</v>
      </c>
      <c r="G1096" s="15">
        <f t="shared" si="413"/>
        <v>475000</v>
      </c>
      <c r="H1096" s="16"/>
      <c r="I1096" s="26"/>
      <c r="J1096" s="25"/>
      <c r="K1096" s="26"/>
      <c r="L1096" s="26"/>
      <c r="M1096" s="25"/>
      <c r="N1096" s="25"/>
      <c r="O1096" s="25"/>
      <c r="P1096" s="25"/>
      <c r="Q1096" s="25"/>
      <c r="R1096" s="27">
        <f t="shared" si="414"/>
        <v>475000</v>
      </c>
    </row>
    <row r="1097" spans="1:18" x14ac:dyDescent="0.25">
      <c r="A1097" s="20" t="s">
        <v>21</v>
      </c>
      <c r="B1097" s="42"/>
      <c r="C1097" s="43">
        <v>100000</v>
      </c>
      <c r="D1097" s="43">
        <v>25000</v>
      </c>
      <c r="E1097" s="43">
        <v>200000</v>
      </c>
      <c r="F1097" s="43">
        <v>150000</v>
      </c>
      <c r="G1097" s="15">
        <f t="shared" si="413"/>
        <v>475000</v>
      </c>
      <c r="H1097" s="16"/>
      <c r="I1097" s="26"/>
      <c r="J1097" s="25"/>
      <c r="K1097" s="26"/>
      <c r="L1097" s="26"/>
      <c r="M1097" s="25"/>
      <c r="N1097" s="25"/>
      <c r="O1097" s="25"/>
      <c r="P1097" s="25"/>
      <c r="Q1097" s="25"/>
      <c r="R1097" s="27">
        <f t="shared" si="414"/>
        <v>475000</v>
      </c>
    </row>
    <row r="1098" spans="1:18" x14ac:dyDescent="0.25">
      <c r="A1098" s="20" t="s">
        <v>22</v>
      </c>
      <c r="B1098" s="42"/>
      <c r="C1098" s="43">
        <v>100000</v>
      </c>
      <c r="D1098" s="43">
        <v>25000</v>
      </c>
      <c r="E1098" s="43">
        <v>200000</v>
      </c>
      <c r="F1098" s="43">
        <v>150000</v>
      </c>
      <c r="G1098" s="15">
        <f t="shared" si="413"/>
        <v>475000</v>
      </c>
      <c r="H1098" s="16"/>
      <c r="I1098" s="26"/>
      <c r="J1098" s="25"/>
      <c r="K1098" s="26"/>
      <c r="L1098" s="26"/>
      <c r="M1098" s="25"/>
      <c r="N1098" s="25"/>
      <c r="O1098" s="25"/>
      <c r="P1098" s="25"/>
      <c r="Q1098" s="25"/>
      <c r="R1098" s="27">
        <f t="shared" si="414"/>
        <v>475000</v>
      </c>
    </row>
    <row r="1099" spans="1:18" x14ac:dyDescent="0.25">
      <c r="A1099" s="20" t="s">
        <v>23</v>
      </c>
      <c r="B1099" s="42"/>
      <c r="C1099" s="43">
        <v>100000</v>
      </c>
      <c r="D1099" s="43">
        <v>25000</v>
      </c>
      <c r="E1099" s="43">
        <v>200000</v>
      </c>
      <c r="F1099" s="43">
        <v>150000</v>
      </c>
      <c r="G1099" s="15">
        <f t="shared" si="413"/>
        <v>475000</v>
      </c>
      <c r="H1099" s="16"/>
      <c r="I1099" s="26"/>
      <c r="J1099" s="25"/>
      <c r="K1099" s="26"/>
      <c r="L1099" s="26"/>
      <c r="M1099" s="25"/>
      <c r="N1099" s="25"/>
      <c r="O1099" s="25"/>
      <c r="P1099" s="25"/>
      <c r="Q1099" s="25"/>
      <c r="R1099" s="27">
        <f t="shared" si="414"/>
        <v>475000</v>
      </c>
    </row>
    <row r="1100" spans="1:18" x14ac:dyDescent="0.25">
      <c r="A1100" s="20" t="s">
        <v>24</v>
      </c>
      <c r="B1100" s="42"/>
      <c r="C1100" s="43">
        <v>100000</v>
      </c>
      <c r="D1100" s="43">
        <v>25000</v>
      </c>
      <c r="E1100" s="43">
        <v>200000</v>
      </c>
      <c r="F1100" s="43">
        <v>150000</v>
      </c>
      <c r="G1100" s="15">
        <f t="shared" si="413"/>
        <v>475000</v>
      </c>
      <c r="H1100" s="16"/>
      <c r="I1100" s="26"/>
      <c r="J1100" s="25"/>
      <c r="K1100" s="26"/>
      <c r="L1100" s="26"/>
      <c r="M1100" s="25"/>
      <c r="N1100" s="25"/>
      <c r="O1100" s="25"/>
      <c r="P1100" s="25"/>
      <c r="Q1100" s="25"/>
      <c r="R1100" s="27">
        <f t="shared" si="414"/>
        <v>475000</v>
      </c>
    </row>
    <row r="1101" spans="1:18" x14ac:dyDescent="0.25">
      <c r="A1101" s="20" t="s">
        <v>25</v>
      </c>
      <c r="B1101" s="42"/>
      <c r="C1101" s="43">
        <v>100000</v>
      </c>
      <c r="D1101" s="43">
        <v>25000</v>
      </c>
      <c r="E1101" s="43">
        <v>200000</v>
      </c>
      <c r="F1101" s="43">
        <v>150000</v>
      </c>
      <c r="G1101" s="15">
        <f t="shared" si="413"/>
        <v>475000</v>
      </c>
      <c r="H1101" s="16"/>
      <c r="I1101" s="26"/>
      <c r="J1101" s="25"/>
      <c r="K1101" s="26"/>
      <c r="L1101" s="26" t="s">
        <v>35</v>
      </c>
      <c r="M1101" s="25"/>
      <c r="N1101" s="25"/>
      <c r="O1101" s="25"/>
      <c r="P1101" s="25"/>
      <c r="Q1101" s="25"/>
      <c r="R1101" s="27">
        <f t="shared" si="414"/>
        <v>475000</v>
      </c>
    </row>
    <row r="1102" spans="1:18" x14ac:dyDescent="0.25">
      <c r="A1102" s="20" t="s">
        <v>26</v>
      </c>
      <c r="B1102" s="42"/>
      <c r="C1102" s="43">
        <v>100000</v>
      </c>
      <c r="D1102" s="43">
        <v>25000</v>
      </c>
      <c r="E1102" s="43">
        <v>200000</v>
      </c>
      <c r="F1102" s="43">
        <v>150000</v>
      </c>
      <c r="G1102" s="15">
        <f t="shared" si="413"/>
        <v>475000</v>
      </c>
      <c r="H1102" s="16"/>
      <c r="I1102" s="26"/>
      <c r="J1102" s="25"/>
      <c r="K1102" s="26"/>
      <c r="L1102" s="26"/>
      <c r="M1102" s="25"/>
      <c r="N1102" s="25"/>
      <c r="O1102" s="25"/>
      <c r="P1102" s="25"/>
      <c r="Q1102" s="25"/>
      <c r="R1102" s="27">
        <f t="shared" si="414"/>
        <v>475000</v>
      </c>
    </row>
    <row r="1103" spans="1:18" ht="15.75" thickBot="1" x14ac:dyDescent="0.3">
      <c r="A1103" s="12" t="s">
        <v>15</v>
      </c>
      <c r="B1103" s="44"/>
      <c r="C1103" s="43">
        <v>100000</v>
      </c>
      <c r="D1103" s="43">
        <v>25000</v>
      </c>
      <c r="E1103" s="43">
        <v>200000</v>
      </c>
      <c r="F1103" s="43">
        <v>150000</v>
      </c>
      <c r="G1103" s="15">
        <f t="shared" si="413"/>
        <v>475000</v>
      </c>
      <c r="H1103" s="16"/>
      <c r="I1103" s="26"/>
      <c r="J1103" s="25"/>
      <c r="K1103" s="26"/>
      <c r="L1103" s="26"/>
      <c r="M1103" s="25"/>
      <c r="N1103" s="25"/>
      <c r="O1103" s="25"/>
      <c r="P1103" s="25"/>
      <c r="Q1103" s="25"/>
      <c r="R1103" s="27">
        <f t="shared" si="414"/>
        <v>475000</v>
      </c>
    </row>
    <row r="1104" spans="1:18" ht="15.75" thickBot="1" x14ac:dyDescent="0.3">
      <c r="A1104" s="29" t="s">
        <v>0</v>
      </c>
      <c r="B1104" s="30">
        <f t="shared" ref="B1104:G1104" si="415">SUM(B1091:B1103)</f>
        <v>100000</v>
      </c>
      <c r="C1104" s="30">
        <f t="shared" si="415"/>
        <v>4850000</v>
      </c>
      <c r="D1104" s="30">
        <f t="shared" si="415"/>
        <v>1385000</v>
      </c>
      <c r="E1104" s="30">
        <f t="shared" si="415"/>
        <v>1600000</v>
      </c>
      <c r="F1104" s="30">
        <f t="shared" si="415"/>
        <v>4800000</v>
      </c>
      <c r="G1104" s="31">
        <f t="shared" si="415"/>
        <v>12735000</v>
      </c>
      <c r="H1104" s="32"/>
      <c r="I1104" s="71" t="s">
        <v>27</v>
      </c>
      <c r="J1104" s="72"/>
      <c r="K1104" s="33">
        <f>SUM(K1091:K1103)</f>
        <v>0</v>
      </c>
      <c r="L1104" s="34"/>
      <c r="M1104" s="71" t="s">
        <v>28</v>
      </c>
      <c r="N1104" s="73"/>
      <c r="O1104" s="72"/>
      <c r="P1104" s="33">
        <f>SUM(P1091:P1103)</f>
        <v>0</v>
      </c>
      <c r="Q1104" s="34"/>
      <c r="R1104" s="35"/>
    </row>
    <row r="1105" spans="1:18" ht="15.75" thickBot="1" x14ac:dyDescent="0.3"/>
    <row r="1106" spans="1:18" ht="15.75" thickBot="1" x14ac:dyDescent="0.3">
      <c r="A1106" s="2">
        <f>A1089+1</f>
        <v>66</v>
      </c>
      <c r="B1106" s="74" t="s">
        <v>33</v>
      </c>
      <c r="C1106" s="75"/>
      <c r="D1106" s="75"/>
      <c r="E1106" s="75"/>
      <c r="F1106" s="76"/>
      <c r="G1106" s="3" t="s">
        <v>0</v>
      </c>
      <c r="H1106" s="77" t="s">
        <v>1</v>
      </c>
      <c r="I1106" s="78"/>
      <c r="J1106" s="78"/>
      <c r="K1106" s="78"/>
      <c r="L1106" s="79"/>
      <c r="M1106" s="80" t="s">
        <v>2</v>
      </c>
      <c r="N1106" s="78"/>
      <c r="O1106" s="78"/>
      <c r="P1106" s="78"/>
      <c r="Q1106" s="79"/>
      <c r="R1106" s="69" t="s">
        <v>29</v>
      </c>
    </row>
    <row r="1107" spans="1:18" x14ac:dyDescent="0.25">
      <c r="A1107" s="4" t="s">
        <v>4</v>
      </c>
      <c r="B1107" s="5" t="s">
        <v>5</v>
      </c>
      <c r="C1107" s="6" t="s">
        <v>6</v>
      </c>
      <c r="D1107" s="6" t="s">
        <v>7</v>
      </c>
      <c r="E1107" s="5" t="s">
        <v>8</v>
      </c>
      <c r="F1107" s="5" t="s">
        <v>9</v>
      </c>
      <c r="G1107" s="7" t="s">
        <v>10</v>
      </c>
      <c r="H1107" s="8" t="s">
        <v>11</v>
      </c>
      <c r="I1107" s="9" t="s">
        <v>0</v>
      </c>
      <c r="J1107" s="9" t="s">
        <v>12</v>
      </c>
      <c r="K1107" s="9" t="s">
        <v>13</v>
      </c>
      <c r="L1107" s="10" t="s">
        <v>14</v>
      </c>
      <c r="M1107" s="9" t="s">
        <v>11</v>
      </c>
      <c r="N1107" s="9" t="s">
        <v>0</v>
      </c>
      <c r="O1107" s="9" t="s">
        <v>12</v>
      </c>
      <c r="P1107" s="9" t="s">
        <v>13</v>
      </c>
      <c r="Q1107" s="10" t="s">
        <v>14</v>
      </c>
      <c r="R1107" s="70"/>
    </row>
    <row r="1108" spans="1:18" x14ac:dyDescent="0.25">
      <c r="A1108" s="12" t="s">
        <v>15</v>
      </c>
      <c r="B1108" s="41">
        <v>100000</v>
      </c>
      <c r="C1108" s="41">
        <v>3650000</v>
      </c>
      <c r="D1108" s="41">
        <v>1085000</v>
      </c>
      <c r="E1108" s="41">
        <v>0</v>
      </c>
      <c r="F1108" s="41">
        <v>2500000</v>
      </c>
      <c r="G1108" s="15">
        <f t="shared" ref="G1108" si="416">SUM(B1108:F1108)</f>
        <v>7335000</v>
      </c>
      <c r="H1108" s="16"/>
      <c r="I1108" s="17"/>
      <c r="J1108" s="18">
        <v>0</v>
      </c>
      <c r="K1108" s="17"/>
      <c r="L1108" s="17"/>
      <c r="M1108" s="17"/>
      <c r="N1108" s="17"/>
      <c r="O1108" s="17">
        <v>0</v>
      </c>
      <c r="P1108" s="17"/>
      <c r="Q1108" s="17"/>
      <c r="R1108" s="19"/>
    </row>
    <row r="1109" spans="1:18" x14ac:dyDescent="0.25">
      <c r="A1109" s="20" t="s">
        <v>16</v>
      </c>
      <c r="B1109" s="42"/>
      <c r="C1109" s="43">
        <v>100000</v>
      </c>
      <c r="D1109" s="43">
        <v>25000</v>
      </c>
      <c r="E1109" s="43">
        <v>0</v>
      </c>
      <c r="F1109" s="43">
        <v>150000</v>
      </c>
      <c r="G1109" s="15">
        <f>B1109+C1109+D1109+E1109+F1109</f>
        <v>275000</v>
      </c>
      <c r="H1109" s="16"/>
      <c r="I1109" s="26"/>
      <c r="J1109" s="25">
        <v>8000000</v>
      </c>
      <c r="K1109" s="26">
        <f t="shared" ref="K1109:K1116" si="417">0.015*J1108</f>
        <v>0</v>
      </c>
      <c r="L1109" s="26"/>
      <c r="M1109" s="25"/>
      <c r="N1109" s="25"/>
      <c r="O1109" s="25"/>
      <c r="P1109" s="25"/>
      <c r="Q1109" s="25"/>
      <c r="R1109" s="27">
        <f>G1109</f>
        <v>275000</v>
      </c>
    </row>
    <row r="1110" spans="1:18" x14ac:dyDescent="0.25">
      <c r="A1110" s="20" t="s">
        <v>17</v>
      </c>
      <c r="B1110" s="42"/>
      <c r="C1110" s="43">
        <v>100000</v>
      </c>
      <c r="D1110" s="43">
        <v>25000</v>
      </c>
      <c r="E1110" s="43">
        <v>0</v>
      </c>
      <c r="F1110" s="43">
        <v>150000</v>
      </c>
      <c r="G1110" s="15">
        <f t="shared" ref="G1110:G1120" si="418">B1110+C1110+D1110+E1110+F1110</f>
        <v>275000</v>
      </c>
      <c r="H1110" s="16">
        <v>1</v>
      </c>
      <c r="I1110" s="26">
        <v>1000000</v>
      </c>
      <c r="J1110" s="25">
        <f>J1109-I1110</f>
        <v>7000000</v>
      </c>
      <c r="K1110" s="26">
        <f t="shared" si="417"/>
        <v>120000</v>
      </c>
      <c r="L1110" s="26"/>
      <c r="M1110" s="25"/>
      <c r="N1110" s="25"/>
      <c r="O1110" s="25"/>
      <c r="P1110" s="25"/>
      <c r="Q1110" s="25"/>
      <c r="R1110" s="27">
        <f>G1110+I1110+K1110</f>
        <v>1395000</v>
      </c>
    </row>
    <row r="1111" spans="1:18" x14ac:dyDescent="0.25">
      <c r="A1111" s="20" t="s">
        <v>18</v>
      </c>
      <c r="B1111" s="42"/>
      <c r="C1111" s="43">
        <v>100000</v>
      </c>
      <c r="D1111" s="43">
        <v>25000</v>
      </c>
      <c r="E1111" s="43">
        <v>0</v>
      </c>
      <c r="F1111" s="43">
        <v>150000</v>
      </c>
      <c r="G1111" s="15">
        <f t="shared" si="418"/>
        <v>275000</v>
      </c>
      <c r="H1111" s="16">
        <v>2</v>
      </c>
      <c r="I1111" s="26">
        <v>1000000</v>
      </c>
      <c r="J1111" s="25">
        <f>J1110-I1111</f>
        <v>6000000</v>
      </c>
      <c r="K1111" s="26">
        <f t="shared" si="417"/>
        <v>105000</v>
      </c>
      <c r="L1111" s="26"/>
      <c r="M1111" s="25"/>
      <c r="N1111" s="25"/>
      <c r="O1111" s="25"/>
      <c r="P1111" s="25"/>
      <c r="Q1111" s="25"/>
      <c r="R1111" s="27">
        <f t="shared" ref="R1111:R1118" si="419">G1111+I1111+K1111</f>
        <v>1380000</v>
      </c>
    </row>
    <row r="1112" spans="1:18" x14ac:dyDescent="0.25">
      <c r="A1112" s="20" t="s">
        <v>19</v>
      </c>
      <c r="B1112" s="42"/>
      <c r="C1112" s="43">
        <v>100000</v>
      </c>
      <c r="D1112" s="43">
        <v>25000</v>
      </c>
      <c r="E1112" s="43">
        <v>0</v>
      </c>
      <c r="F1112" s="43">
        <v>150000</v>
      </c>
      <c r="G1112" s="15">
        <f t="shared" si="418"/>
        <v>275000</v>
      </c>
      <c r="H1112" s="16">
        <v>3</v>
      </c>
      <c r="I1112" s="26">
        <v>5000000</v>
      </c>
      <c r="J1112" s="25">
        <f>J1111-I1112</f>
        <v>1000000</v>
      </c>
      <c r="K1112" s="26">
        <f t="shared" si="417"/>
        <v>90000</v>
      </c>
      <c r="L1112" s="26"/>
      <c r="M1112" s="25"/>
      <c r="N1112" s="25"/>
      <c r="O1112" s="25"/>
      <c r="P1112" s="25"/>
      <c r="Q1112" s="25"/>
      <c r="R1112" s="27">
        <f t="shared" si="419"/>
        <v>5365000</v>
      </c>
    </row>
    <row r="1113" spans="1:18" x14ac:dyDescent="0.25">
      <c r="A1113" s="20" t="s">
        <v>20</v>
      </c>
      <c r="B1113" s="41"/>
      <c r="C1113" s="43">
        <v>100000</v>
      </c>
      <c r="D1113" s="43">
        <v>25000</v>
      </c>
      <c r="E1113" s="43">
        <v>0</v>
      </c>
      <c r="F1113" s="43">
        <v>150000</v>
      </c>
      <c r="G1113" s="15">
        <f t="shared" si="418"/>
        <v>275000</v>
      </c>
      <c r="H1113" s="16">
        <v>4</v>
      </c>
      <c r="I1113" s="26">
        <v>1000000</v>
      </c>
      <c r="J1113" s="25">
        <f>J1112-I1113</f>
        <v>0</v>
      </c>
      <c r="K1113" s="26">
        <f t="shared" si="417"/>
        <v>15000</v>
      </c>
      <c r="L1113" s="26"/>
      <c r="M1113" s="25"/>
      <c r="N1113" s="25"/>
      <c r="O1113" s="25"/>
      <c r="P1113" s="25"/>
      <c r="Q1113" s="25"/>
      <c r="R1113" s="27">
        <f t="shared" si="419"/>
        <v>1290000</v>
      </c>
    </row>
    <row r="1114" spans="1:18" x14ac:dyDescent="0.25">
      <c r="A1114" s="20" t="s">
        <v>21</v>
      </c>
      <c r="B1114" s="42"/>
      <c r="C1114" s="43">
        <v>100000</v>
      </c>
      <c r="D1114" s="43">
        <v>25000</v>
      </c>
      <c r="E1114" s="43">
        <v>0</v>
      </c>
      <c r="F1114" s="43">
        <v>150000</v>
      </c>
      <c r="G1114" s="15">
        <f t="shared" si="418"/>
        <v>275000</v>
      </c>
      <c r="H1114" s="16"/>
      <c r="I1114" s="26"/>
      <c r="J1114" s="25">
        <f>J1113-I1114</f>
        <v>0</v>
      </c>
      <c r="K1114" s="26">
        <f t="shared" si="417"/>
        <v>0</v>
      </c>
      <c r="L1114" s="26"/>
      <c r="M1114" s="25"/>
      <c r="N1114" s="25"/>
      <c r="O1114" s="25"/>
      <c r="P1114" s="25"/>
      <c r="Q1114" s="25"/>
      <c r="R1114" s="27">
        <f t="shared" si="419"/>
        <v>275000</v>
      </c>
    </row>
    <row r="1115" spans="1:18" x14ac:dyDescent="0.25">
      <c r="A1115" s="20" t="s">
        <v>22</v>
      </c>
      <c r="B1115" s="42"/>
      <c r="C1115" s="43">
        <v>100000</v>
      </c>
      <c r="D1115" s="43">
        <v>25000</v>
      </c>
      <c r="E1115" s="43">
        <v>0</v>
      </c>
      <c r="F1115" s="43">
        <v>150000</v>
      </c>
      <c r="G1115" s="15">
        <f t="shared" si="418"/>
        <v>275000</v>
      </c>
      <c r="H1115" s="16"/>
      <c r="I1115" s="26"/>
      <c r="J1115" s="25"/>
      <c r="K1115" s="26">
        <f t="shared" si="417"/>
        <v>0</v>
      </c>
      <c r="L1115" s="26"/>
      <c r="M1115" s="25"/>
      <c r="N1115" s="25"/>
      <c r="O1115" s="25"/>
      <c r="P1115" s="25"/>
      <c r="Q1115" s="25"/>
      <c r="R1115" s="27">
        <f t="shared" si="419"/>
        <v>275000</v>
      </c>
    </row>
    <row r="1116" spans="1:18" x14ac:dyDescent="0.25">
      <c r="A1116" s="20" t="s">
        <v>23</v>
      </c>
      <c r="B1116" s="42"/>
      <c r="C1116" s="43">
        <v>100000</v>
      </c>
      <c r="D1116" s="43">
        <v>25000</v>
      </c>
      <c r="E1116" s="43">
        <v>0</v>
      </c>
      <c r="F1116" s="43">
        <v>150000</v>
      </c>
      <c r="G1116" s="15">
        <f t="shared" si="418"/>
        <v>275000</v>
      </c>
      <c r="H1116" s="16"/>
      <c r="I1116" s="26"/>
      <c r="J1116" s="25"/>
      <c r="K1116" s="26">
        <f t="shared" si="417"/>
        <v>0</v>
      </c>
      <c r="L1116" s="26"/>
      <c r="M1116" s="25"/>
      <c r="N1116" s="25"/>
      <c r="O1116" s="25"/>
      <c r="P1116" s="25"/>
      <c r="Q1116" s="25"/>
      <c r="R1116" s="27">
        <f t="shared" si="419"/>
        <v>275000</v>
      </c>
    </row>
    <row r="1117" spans="1:18" x14ac:dyDescent="0.25">
      <c r="A1117" s="20" t="s">
        <v>24</v>
      </c>
      <c r="B1117" s="42"/>
      <c r="C1117" s="43">
        <v>100000</v>
      </c>
      <c r="D1117" s="43">
        <v>25000</v>
      </c>
      <c r="E1117" s="43">
        <v>0</v>
      </c>
      <c r="F1117" s="43">
        <v>150000</v>
      </c>
      <c r="G1117" s="15">
        <f t="shared" si="418"/>
        <v>275000</v>
      </c>
      <c r="H1117" s="16"/>
      <c r="I1117" s="26"/>
      <c r="J1117" s="25"/>
      <c r="K1117" s="26"/>
      <c r="L1117" s="26"/>
      <c r="M1117" s="25"/>
      <c r="N1117" s="25"/>
      <c r="O1117" s="25"/>
      <c r="P1117" s="25"/>
      <c r="Q1117" s="25"/>
      <c r="R1117" s="27">
        <f t="shared" si="419"/>
        <v>275000</v>
      </c>
    </row>
    <row r="1118" spans="1:18" x14ac:dyDescent="0.25">
      <c r="A1118" s="20" t="s">
        <v>25</v>
      </c>
      <c r="B1118" s="42"/>
      <c r="C1118" s="43">
        <v>100000</v>
      </c>
      <c r="D1118" s="43">
        <v>25000</v>
      </c>
      <c r="E1118" s="43">
        <v>0</v>
      </c>
      <c r="F1118" s="43">
        <v>150000</v>
      </c>
      <c r="G1118" s="15">
        <f t="shared" si="418"/>
        <v>275000</v>
      </c>
      <c r="H1118" s="16"/>
      <c r="I1118" s="26"/>
      <c r="J1118" s="25"/>
      <c r="K1118" s="26"/>
      <c r="L1118" s="26"/>
      <c r="M1118" s="25"/>
      <c r="N1118" s="25"/>
      <c r="O1118" s="25"/>
      <c r="P1118" s="25"/>
      <c r="Q1118" s="25"/>
      <c r="R1118" s="27">
        <f t="shared" si="419"/>
        <v>275000</v>
      </c>
    </row>
    <row r="1119" spans="1:18" x14ac:dyDescent="0.25">
      <c r="A1119" s="20" t="s">
        <v>26</v>
      </c>
      <c r="B1119" s="42"/>
      <c r="C1119" s="43">
        <v>100000</v>
      </c>
      <c r="D1119" s="43">
        <v>25000</v>
      </c>
      <c r="E1119" s="43">
        <v>0</v>
      </c>
      <c r="F1119" s="43">
        <v>6150000</v>
      </c>
      <c r="G1119" s="15">
        <f t="shared" si="418"/>
        <v>6275000</v>
      </c>
      <c r="H1119" s="16"/>
      <c r="I1119" s="26"/>
      <c r="J1119" s="25"/>
      <c r="K1119" s="26"/>
      <c r="L1119" s="26"/>
      <c r="M1119" s="25"/>
      <c r="N1119" s="25"/>
      <c r="O1119" s="25"/>
      <c r="P1119" s="25"/>
      <c r="Q1119" s="25"/>
      <c r="R1119" s="27">
        <f t="shared" ref="R1119:R1120" si="420">G1119</f>
        <v>6275000</v>
      </c>
    </row>
    <row r="1120" spans="1:18" ht="15.75" thickBot="1" x14ac:dyDescent="0.3">
      <c r="A1120" s="12" t="s">
        <v>15</v>
      </c>
      <c r="B1120" s="44"/>
      <c r="C1120" s="43">
        <v>100000</v>
      </c>
      <c r="D1120" s="43">
        <v>25000</v>
      </c>
      <c r="E1120" s="43"/>
      <c r="F1120" s="43">
        <v>-9850000</v>
      </c>
      <c r="G1120" s="15">
        <f t="shared" si="418"/>
        <v>-9725000</v>
      </c>
      <c r="H1120" s="16"/>
      <c r="I1120" s="26">
        <v>20000000</v>
      </c>
      <c r="J1120" s="25"/>
      <c r="K1120" s="26"/>
      <c r="L1120" s="26"/>
      <c r="M1120" s="25"/>
      <c r="N1120" s="25"/>
      <c r="O1120" s="25"/>
      <c r="P1120" s="25"/>
      <c r="Q1120" s="25"/>
      <c r="R1120" s="27">
        <f t="shared" si="420"/>
        <v>-9725000</v>
      </c>
    </row>
    <row r="1121" spans="1:18" ht="15.75" thickBot="1" x14ac:dyDescent="0.3">
      <c r="A1121" s="29" t="s">
        <v>0</v>
      </c>
      <c r="B1121" s="30">
        <f t="shared" ref="B1121:G1121" si="421">SUM(B1108:B1120)</f>
        <v>100000</v>
      </c>
      <c r="C1121" s="30">
        <f t="shared" si="421"/>
        <v>4850000</v>
      </c>
      <c r="D1121" s="30">
        <f t="shared" si="421"/>
        <v>1385000</v>
      </c>
      <c r="E1121" s="30">
        <f t="shared" si="421"/>
        <v>0</v>
      </c>
      <c r="F1121" s="30">
        <f t="shared" si="421"/>
        <v>300000</v>
      </c>
      <c r="G1121" s="31">
        <f t="shared" si="421"/>
        <v>6635000</v>
      </c>
      <c r="H1121" s="32"/>
      <c r="I1121" s="71" t="s">
        <v>27</v>
      </c>
      <c r="J1121" s="72"/>
      <c r="K1121" s="33">
        <f>SUM(K1108:K1120)</f>
        <v>330000</v>
      </c>
      <c r="L1121" s="34"/>
      <c r="M1121" s="71" t="s">
        <v>28</v>
      </c>
      <c r="N1121" s="73"/>
      <c r="O1121" s="72"/>
      <c r="P1121" s="33">
        <f>SUM(P1108:P1120)</f>
        <v>0</v>
      </c>
      <c r="Q1121" s="34"/>
      <c r="R1121" s="35"/>
    </row>
    <row r="1122" spans="1:18" ht="15.75" thickBot="1" x14ac:dyDescent="0.3"/>
    <row r="1123" spans="1:18" ht="15.75" customHeight="1" thickBot="1" x14ac:dyDescent="0.3">
      <c r="A1123" s="2">
        <f>A1106+1</f>
        <v>67</v>
      </c>
      <c r="B1123" s="74" t="s">
        <v>34</v>
      </c>
      <c r="C1123" s="75"/>
      <c r="D1123" s="75"/>
      <c r="E1123" s="75"/>
      <c r="F1123" s="76"/>
      <c r="G1123" s="3" t="s">
        <v>0</v>
      </c>
      <c r="H1123" s="77" t="s">
        <v>1</v>
      </c>
      <c r="I1123" s="78"/>
      <c r="J1123" s="78"/>
      <c r="K1123" s="78"/>
      <c r="L1123" s="79"/>
      <c r="M1123" s="80" t="s">
        <v>2</v>
      </c>
      <c r="N1123" s="78"/>
      <c r="O1123" s="78"/>
      <c r="P1123" s="78"/>
      <c r="Q1123" s="79"/>
      <c r="R1123" s="69" t="s">
        <v>29</v>
      </c>
    </row>
    <row r="1124" spans="1:18" x14ac:dyDescent="0.25">
      <c r="A1124" s="4" t="s">
        <v>4</v>
      </c>
      <c r="B1124" s="5" t="s">
        <v>5</v>
      </c>
      <c r="C1124" s="6" t="s">
        <v>6</v>
      </c>
      <c r="D1124" s="6" t="s">
        <v>7</v>
      </c>
      <c r="E1124" s="5" t="s">
        <v>8</v>
      </c>
      <c r="F1124" s="5" t="s">
        <v>9</v>
      </c>
      <c r="G1124" s="7" t="s">
        <v>10</v>
      </c>
      <c r="H1124" s="8" t="s">
        <v>11</v>
      </c>
      <c r="I1124" s="9" t="s">
        <v>0</v>
      </c>
      <c r="J1124" s="9" t="s">
        <v>12</v>
      </c>
      <c r="K1124" s="9" t="s">
        <v>13</v>
      </c>
      <c r="L1124" s="10" t="s">
        <v>14</v>
      </c>
      <c r="M1124" s="9" t="s">
        <v>11</v>
      </c>
      <c r="N1124" s="9" t="s">
        <v>0</v>
      </c>
      <c r="O1124" s="9" t="s">
        <v>12</v>
      </c>
      <c r="P1124" s="9" t="s">
        <v>13</v>
      </c>
      <c r="Q1124" s="10" t="s">
        <v>14</v>
      </c>
      <c r="R1124" s="70"/>
    </row>
    <row r="1125" spans="1:18" x14ac:dyDescent="0.25">
      <c r="A1125" s="12" t="s">
        <v>15</v>
      </c>
      <c r="B1125" s="41">
        <v>25000</v>
      </c>
      <c r="C1125" s="41">
        <v>585000</v>
      </c>
      <c r="D1125" s="41">
        <v>390000</v>
      </c>
      <c r="E1125" s="41">
        <v>800000</v>
      </c>
      <c r="F1125" s="41">
        <v>1650000</v>
      </c>
      <c r="G1125" s="15">
        <f t="shared" ref="G1125" si="422">SUM(B1125:F1125)</f>
        <v>3450000</v>
      </c>
      <c r="H1125" s="16"/>
      <c r="I1125" s="17"/>
      <c r="J1125" s="18">
        <v>7000000</v>
      </c>
      <c r="K1125" s="17"/>
      <c r="L1125" s="17"/>
      <c r="M1125" s="17"/>
      <c r="N1125" s="17"/>
      <c r="O1125" s="17"/>
      <c r="P1125" s="17"/>
      <c r="Q1125" s="17"/>
      <c r="R1125" s="19"/>
    </row>
    <row r="1126" spans="1:18" x14ac:dyDescent="0.25">
      <c r="A1126" s="20" t="s">
        <v>16</v>
      </c>
      <c r="B1126" s="42"/>
      <c r="C1126" s="43">
        <v>15000</v>
      </c>
      <c r="D1126" s="43">
        <v>10000</v>
      </c>
      <c r="E1126" s="43">
        <v>100000</v>
      </c>
      <c r="F1126" s="43">
        <v>225000</v>
      </c>
      <c r="G1126" s="15">
        <f t="shared" ref="G1126:G1130" si="423">F1126+E1126+D1126+C1126+B1126</f>
        <v>350000</v>
      </c>
      <c r="H1126" s="16">
        <v>12</v>
      </c>
      <c r="I1126" s="26">
        <v>1000000</v>
      </c>
      <c r="J1126" s="25">
        <f>J1125-I1126</f>
        <v>6000000</v>
      </c>
      <c r="K1126" s="26">
        <f t="shared" ref="K1126:K1137" si="424">0.015*J1125</f>
        <v>105000</v>
      </c>
      <c r="L1126" s="26"/>
      <c r="M1126" s="25"/>
      <c r="N1126" s="25"/>
      <c r="O1126" s="25"/>
      <c r="P1126" s="26"/>
      <c r="Q1126" s="25"/>
      <c r="R1126" s="27">
        <f>G1126+I1126+K1126</f>
        <v>1455000</v>
      </c>
    </row>
    <row r="1127" spans="1:18" x14ac:dyDescent="0.25">
      <c r="A1127" s="20" t="s">
        <v>17</v>
      </c>
      <c r="B1127" s="42"/>
      <c r="C1127" s="43">
        <v>15000</v>
      </c>
      <c r="D1127" s="43">
        <v>10000</v>
      </c>
      <c r="E1127" s="43">
        <v>100000</v>
      </c>
      <c r="F1127" s="43">
        <v>5225000</v>
      </c>
      <c r="G1127" s="15">
        <f t="shared" si="423"/>
        <v>5350000</v>
      </c>
      <c r="H1127" s="16">
        <v>13</v>
      </c>
      <c r="I1127" s="26">
        <v>1000000</v>
      </c>
      <c r="J1127" s="25">
        <f>J1126-I1127+5000000</f>
        <v>10000000</v>
      </c>
      <c r="K1127" s="26">
        <f t="shared" si="424"/>
        <v>90000</v>
      </c>
      <c r="L1127" s="26"/>
      <c r="M1127" s="25"/>
      <c r="N1127" s="25"/>
      <c r="O1127" s="25"/>
      <c r="P1127" s="26"/>
      <c r="Q1127" s="25"/>
      <c r="R1127" s="27">
        <f t="shared" ref="R1127:R1137" si="425">G1127+I1127+K1127</f>
        <v>6440000</v>
      </c>
    </row>
    <row r="1128" spans="1:18" x14ac:dyDescent="0.25">
      <c r="A1128" s="20" t="s">
        <v>18</v>
      </c>
      <c r="B1128" s="42"/>
      <c r="C1128" s="43">
        <v>15000</v>
      </c>
      <c r="D1128" s="43">
        <v>10000</v>
      </c>
      <c r="E1128" s="43">
        <v>100000</v>
      </c>
      <c r="F1128" s="43">
        <v>225000</v>
      </c>
      <c r="G1128" s="15">
        <f t="shared" si="423"/>
        <v>350000</v>
      </c>
      <c r="H1128" s="16">
        <v>14</v>
      </c>
      <c r="I1128" s="26">
        <v>500000</v>
      </c>
      <c r="J1128" s="25">
        <f>J1127-I1128</f>
        <v>9500000</v>
      </c>
      <c r="K1128" s="26">
        <f t="shared" si="424"/>
        <v>150000</v>
      </c>
      <c r="L1128" s="26"/>
      <c r="M1128" s="25"/>
      <c r="N1128" s="25"/>
      <c r="O1128" s="25"/>
      <c r="P1128" s="25"/>
      <c r="Q1128" s="25"/>
      <c r="R1128" s="27">
        <f t="shared" si="425"/>
        <v>1000000</v>
      </c>
    </row>
    <row r="1129" spans="1:18" x14ac:dyDescent="0.25">
      <c r="A1129" s="20" t="s">
        <v>19</v>
      </c>
      <c r="B1129" s="42"/>
      <c r="C1129" s="43">
        <v>15000</v>
      </c>
      <c r="D1129" s="43">
        <v>10000</v>
      </c>
      <c r="E1129" s="43">
        <v>-1100000</v>
      </c>
      <c r="F1129" s="43">
        <v>225000</v>
      </c>
      <c r="G1129" s="15">
        <f t="shared" si="423"/>
        <v>-850000</v>
      </c>
      <c r="H1129" s="16">
        <v>15</v>
      </c>
      <c r="I1129" s="26">
        <v>500000</v>
      </c>
      <c r="J1129" s="25">
        <f>J1128-I1129</f>
        <v>9000000</v>
      </c>
      <c r="K1129" s="26">
        <f t="shared" si="424"/>
        <v>142500</v>
      </c>
      <c r="L1129" s="26"/>
      <c r="M1129" s="25"/>
      <c r="N1129" s="25"/>
      <c r="O1129" s="25"/>
      <c r="P1129" s="25"/>
      <c r="Q1129" s="25"/>
      <c r="R1129" s="27">
        <f t="shared" si="425"/>
        <v>-207500</v>
      </c>
    </row>
    <row r="1130" spans="1:18" x14ac:dyDescent="0.25">
      <c r="A1130" s="20" t="s">
        <v>20</v>
      </c>
      <c r="B1130" s="41"/>
      <c r="C1130" s="43">
        <v>15000</v>
      </c>
      <c r="D1130" s="43">
        <v>10000</v>
      </c>
      <c r="E1130" s="43">
        <v>100000</v>
      </c>
      <c r="F1130" s="43">
        <v>-7550000</v>
      </c>
      <c r="G1130" s="15">
        <f t="shared" si="423"/>
        <v>-7425000</v>
      </c>
      <c r="H1130" s="16">
        <v>16</v>
      </c>
      <c r="I1130" s="26">
        <v>500000</v>
      </c>
      <c r="J1130" s="25">
        <f>J1129-I1130</f>
        <v>8500000</v>
      </c>
      <c r="K1130" s="26">
        <f t="shared" si="424"/>
        <v>135000</v>
      </c>
      <c r="L1130" s="26"/>
      <c r="M1130" s="25"/>
      <c r="N1130" s="25"/>
      <c r="O1130" s="25"/>
      <c r="P1130" s="25"/>
      <c r="Q1130" s="25"/>
      <c r="R1130" s="27">
        <f t="shared" si="425"/>
        <v>-6790000</v>
      </c>
    </row>
    <row r="1131" spans="1:18" x14ac:dyDescent="0.25">
      <c r="A1131" s="20" t="s">
        <v>21</v>
      </c>
      <c r="B1131" s="42"/>
      <c r="C1131" s="43">
        <v>15000</v>
      </c>
      <c r="D1131" s="43">
        <v>10000</v>
      </c>
      <c r="E1131" s="43">
        <v>100000</v>
      </c>
      <c r="F1131" s="43">
        <v>225000</v>
      </c>
      <c r="G1131" s="15">
        <f t="shared" ref="G1131" si="426">F1131+E1131+D1131+C1131+B1131</f>
        <v>350000</v>
      </c>
      <c r="H1131" s="16">
        <v>17</v>
      </c>
      <c r="I1131" s="26">
        <v>500000</v>
      </c>
      <c r="J1131" s="25">
        <f>J1130-I1131+2225000</f>
        <v>10225000</v>
      </c>
      <c r="K1131" s="26">
        <f t="shared" si="424"/>
        <v>127500</v>
      </c>
      <c r="L1131" s="26"/>
      <c r="M1131" s="25"/>
      <c r="N1131" s="25"/>
      <c r="O1131" s="25"/>
      <c r="P1131" s="25"/>
      <c r="Q1131" s="25"/>
      <c r="R1131" s="27">
        <f t="shared" si="425"/>
        <v>977500</v>
      </c>
    </row>
    <row r="1132" spans="1:18" x14ac:dyDescent="0.25">
      <c r="A1132" s="20" t="s">
        <v>22</v>
      </c>
      <c r="B1132" s="42"/>
      <c r="C1132" s="43">
        <v>15000</v>
      </c>
      <c r="D1132" s="43">
        <v>10000</v>
      </c>
      <c r="E1132" s="43">
        <v>100000</v>
      </c>
      <c r="F1132" s="43">
        <v>225000</v>
      </c>
      <c r="G1132" s="15">
        <f t="shared" ref="G1132" si="427">F1132+E1132+D1132+C1132+B1132</f>
        <v>350000</v>
      </c>
      <c r="H1132" s="16">
        <v>18</v>
      </c>
      <c r="I1132" s="26">
        <v>500000</v>
      </c>
      <c r="J1132" s="25">
        <f t="shared" ref="J1132:J1137" si="428">J1131-I1132</f>
        <v>9725000</v>
      </c>
      <c r="K1132" s="26">
        <f t="shared" si="424"/>
        <v>153375</v>
      </c>
      <c r="L1132" s="26"/>
      <c r="M1132" s="25"/>
      <c r="N1132" s="25"/>
      <c r="O1132" s="25"/>
      <c r="P1132" s="25"/>
      <c r="Q1132" s="25"/>
      <c r="R1132" s="27">
        <f t="shared" si="425"/>
        <v>1003375</v>
      </c>
    </row>
    <row r="1133" spans="1:18" x14ac:dyDescent="0.25">
      <c r="A1133" s="20" t="s">
        <v>23</v>
      </c>
      <c r="B1133" s="42"/>
      <c r="C1133" s="43">
        <v>15000</v>
      </c>
      <c r="D1133" s="43">
        <v>10000</v>
      </c>
      <c r="E1133" s="43">
        <v>100000</v>
      </c>
      <c r="F1133" s="43">
        <v>225000</v>
      </c>
      <c r="G1133" s="15">
        <f t="shared" ref="G1133" si="429">F1133+E1133+D1133+C1133+B1133</f>
        <v>350000</v>
      </c>
      <c r="H1133" s="16">
        <v>19</v>
      </c>
      <c r="I1133" s="26">
        <v>500000</v>
      </c>
      <c r="J1133" s="25">
        <f t="shared" si="428"/>
        <v>9225000</v>
      </c>
      <c r="K1133" s="26">
        <f t="shared" si="424"/>
        <v>145875</v>
      </c>
      <c r="L1133" s="26"/>
      <c r="M1133" s="25"/>
      <c r="N1133" s="25"/>
      <c r="O1133" s="25"/>
      <c r="P1133" s="25"/>
      <c r="Q1133" s="25"/>
      <c r="R1133" s="27">
        <f t="shared" si="425"/>
        <v>995875</v>
      </c>
    </row>
    <row r="1134" spans="1:18" x14ac:dyDescent="0.25">
      <c r="A1134" s="20" t="s">
        <v>24</v>
      </c>
      <c r="B1134" s="42"/>
      <c r="C1134" s="43">
        <v>15000</v>
      </c>
      <c r="D1134" s="43">
        <v>10000</v>
      </c>
      <c r="E1134" s="43">
        <v>100000</v>
      </c>
      <c r="F1134" s="43">
        <v>225000</v>
      </c>
      <c r="G1134" s="15">
        <f t="shared" ref="G1134" si="430">F1134+E1134+D1134+C1134+B1134</f>
        <v>350000</v>
      </c>
      <c r="H1134" s="16">
        <v>20</v>
      </c>
      <c r="I1134" s="26">
        <v>500000</v>
      </c>
      <c r="J1134" s="25">
        <f t="shared" si="428"/>
        <v>8725000</v>
      </c>
      <c r="K1134" s="26">
        <f t="shared" si="424"/>
        <v>138375</v>
      </c>
      <c r="L1134" s="26"/>
      <c r="M1134" s="25"/>
      <c r="N1134" s="25"/>
      <c r="O1134" s="25"/>
      <c r="P1134" s="25"/>
      <c r="Q1134" s="25"/>
      <c r="R1134" s="27">
        <f t="shared" si="425"/>
        <v>988375</v>
      </c>
    </row>
    <row r="1135" spans="1:18" x14ac:dyDescent="0.25">
      <c r="A1135" s="20" t="s">
        <v>25</v>
      </c>
      <c r="B1135" s="42"/>
      <c r="C1135" s="43">
        <v>15000</v>
      </c>
      <c r="D1135" s="43">
        <v>10000</v>
      </c>
      <c r="E1135" s="43">
        <v>100000</v>
      </c>
      <c r="F1135" s="43">
        <v>225000</v>
      </c>
      <c r="G1135" s="15">
        <f t="shared" ref="G1135" si="431">F1135+E1135+D1135+C1135+B1135</f>
        <v>350000</v>
      </c>
      <c r="H1135" s="16">
        <v>21</v>
      </c>
      <c r="I1135" s="26">
        <v>500000</v>
      </c>
      <c r="J1135" s="25">
        <f t="shared" si="428"/>
        <v>8225000</v>
      </c>
      <c r="K1135" s="26">
        <f t="shared" si="424"/>
        <v>130875</v>
      </c>
      <c r="L1135" s="26"/>
      <c r="M1135" s="25"/>
      <c r="N1135" s="25"/>
      <c r="O1135" s="25"/>
      <c r="P1135" s="26"/>
      <c r="Q1135" s="25"/>
      <c r="R1135" s="27">
        <f t="shared" si="425"/>
        <v>980875</v>
      </c>
    </row>
    <row r="1136" spans="1:18" x14ac:dyDescent="0.25">
      <c r="A1136" s="20" t="s">
        <v>26</v>
      </c>
      <c r="B1136" s="42"/>
      <c r="C1136" s="43">
        <v>15000</v>
      </c>
      <c r="D1136" s="43">
        <v>10000</v>
      </c>
      <c r="E1136" s="43">
        <v>100000</v>
      </c>
      <c r="F1136" s="43">
        <v>225000</v>
      </c>
      <c r="G1136" s="15">
        <f t="shared" ref="G1136" si="432">F1136+E1136+D1136+C1136+B1136</f>
        <v>350000</v>
      </c>
      <c r="H1136" s="16">
        <v>22</v>
      </c>
      <c r="I1136" s="26">
        <v>500000</v>
      </c>
      <c r="J1136" s="25">
        <f t="shared" si="428"/>
        <v>7725000</v>
      </c>
      <c r="K1136" s="26">
        <f t="shared" si="424"/>
        <v>123375</v>
      </c>
      <c r="L1136" s="26"/>
      <c r="M1136" s="25"/>
      <c r="N1136" s="25"/>
      <c r="O1136" s="25"/>
      <c r="P1136" s="26"/>
      <c r="Q1136" s="25"/>
      <c r="R1136" s="27">
        <f t="shared" si="425"/>
        <v>973375</v>
      </c>
    </row>
    <row r="1137" spans="1:18" ht="15.75" thickBot="1" x14ac:dyDescent="0.3">
      <c r="A1137" s="12" t="s">
        <v>15</v>
      </c>
      <c r="B1137" s="44"/>
      <c r="C1137" s="43">
        <v>15000</v>
      </c>
      <c r="D1137" s="43">
        <v>10000</v>
      </c>
      <c r="E1137" s="43">
        <v>100000</v>
      </c>
      <c r="F1137" s="43">
        <v>225000</v>
      </c>
      <c r="G1137" s="15">
        <f t="shared" ref="G1137" si="433">F1137+E1137+D1137+C1137+B1137</f>
        <v>350000</v>
      </c>
      <c r="H1137" s="16">
        <v>23</v>
      </c>
      <c r="I1137" s="26">
        <v>500000</v>
      </c>
      <c r="J1137" s="25">
        <f t="shared" si="428"/>
        <v>7225000</v>
      </c>
      <c r="K1137" s="26">
        <f t="shared" si="424"/>
        <v>115875</v>
      </c>
      <c r="L1137" s="26"/>
      <c r="M1137" s="25"/>
      <c r="N1137" s="25"/>
      <c r="O1137" s="25"/>
      <c r="P1137" s="26"/>
      <c r="Q1137" s="25"/>
      <c r="R1137" s="27">
        <f t="shared" si="425"/>
        <v>965875</v>
      </c>
    </row>
    <row r="1138" spans="1:18" ht="15.75" thickBot="1" x14ac:dyDescent="0.3">
      <c r="A1138" s="29" t="s">
        <v>0</v>
      </c>
      <c r="B1138" s="30">
        <f t="shared" ref="B1138:G1138" si="434">SUM(B1125:B1137)</f>
        <v>25000</v>
      </c>
      <c r="C1138" s="30">
        <f t="shared" si="434"/>
        <v>765000</v>
      </c>
      <c r="D1138" s="30">
        <f t="shared" si="434"/>
        <v>510000</v>
      </c>
      <c r="E1138" s="30">
        <f t="shared" si="434"/>
        <v>800000</v>
      </c>
      <c r="F1138" s="30">
        <f t="shared" si="434"/>
        <v>1575000</v>
      </c>
      <c r="G1138" s="31">
        <f t="shared" si="434"/>
        <v>3675000</v>
      </c>
      <c r="H1138" s="32"/>
      <c r="I1138" s="71" t="s">
        <v>27</v>
      </c>
      <c r="J1138" s="72"/>
      <c r="K1138" s="33">
        <f>SUM(K1125:K1137)</f>
        <v>1557750</v>
      </c>
      <c r="L1138" s="34"/>
      <c r="M1138" s="71" t="s">
        <v>28</v>
      </c>
      <c r="N1138" s="73"/>
      <c r="O1138" s="72"/>
      <c r="P1138" s="33">
        <f>SUM(P1125:P1137)</f>
        <v>0</v>
      </c>
      <c r="Q1138" s="34"/>
      <c r="R1138" s="35"/>
    </row>
    <row r="1139" spans="1:18" ht="15.75" thickBot="1" x14ac:dyDescent="0.3"/>
    <row r="1140" spans="1:18" ht="15.75" thickBot="1" x14ac:dyDescent="0.3">
      <c r="A1140" s="2">
        <f>A1123+1</f>
        <v>68</v>
      </c>
      <c r="B1140" s="57" t="s">
        <v>36</v>
      </c>
      <c r="C1140" s="58"/>
      <c r="D1140" s="58"/>
      <c r="E1140" s="58"/>
      <c r="F1140" s="59"/>
      <c r="G1140" s="3" t="s">
        <v>0</v>
      </c>
      <c r="H1140" s="77" t="s">
        <v>1</v>
      </c>
      <c r="I1140" s="78"/>
      <c r="J1140" s="78"/>
      <c r="K1140" s="78"/>
      <c r="L1140" s="79"/>
      <c r="M1140" s="80" t="s">
        <v>2</v>
      </c>
      <c r="N1140" s="78"/>
      <c r="O1140" s="78"/>
      <c r="P1140" s="78"/>
      <c r="Q1140" s="79"/>
      <c r="R1140" s="69" t="s">
        <v>29</v>
      </c>
    </row>
    <row r="1141" spans="1:18" x14ac:dyDescent="0.25">
      <c r="A1141" s="4" t="s">
        <v>4</v>
      </c>
      <c r="B1141" s="5" t="s">
        <v>5</v>
      </c>
      <c r="C1141" s="6" t="s">
        <v>6</v>
      </c>
      <c r="D1141" s="6" t="s">
        <v>7</v>
      </c>
      <c r="E1141" s="5" t="s">
        <v>8</v>
      </c>
      <c r="F1141" s="5" t="s">
        <v>9</v>
      </c>
      <c r="G1141" s="7" t="s">
        <v>10</v>
      </c>
      <c r="H1141" s="8" t="s">
        <v>11</v>
      </c>
      <c r="I1141" s="9" t="s">
        <v>0</v>
      </c>
      <c r="J1141" s="9" t="s">
        <v>12</v>
      </c>
      <c r="K1141" s="9" t="s">
        <v>13</v>
      </c>
      <c r="L1141" s="10" t="s">
        <v>14</v>
      </c>
      <c r="M1141" s="9" t="s">
        <v>11</v>
      </c>
      <c r="N1141" s="9" t="s">
        <v>0</v>
      </c>
      <c r="O1141" s="9" t="s">
        <v>12</v>
      </c>
      <c r="P1141" s="9" t="s">
        <v>13</v>
      </c>
      <c r="Q1141" s="10" t="s">
        <v>14</v>
      </c>
      <c r="R1141" s="70"/>
    </row>
    <row r="1142" spans="1:18" x14ac:dyDescent="0.25">
      <c r="A1142" s="12" t="s">
        <v>15</v>
      </c>
      <c r="B1142" s="41">
        <v>100000</v>
      </c>
      <c r="C1142" s="41">
        <v>3500000</v>
      </c>
      <c r="D1142" s="41">
        <v>2400000</v>
      </c>
      <c r="E1142" s="41">
        <v>2600000</v>
      </c>
      <c r="F1142" s="41">
        <v>1700000</v>
      </c>
      <c r="G1142" s="15">
        <f t="shared" ref="G1142" si="435">SUM(B1142:F1142)</f>
        <v>10300000</v>
      </c>
      <c r="H1142" s="16"/>
      <c r="I1142" s="17"/>
      <c r="J1142" s="18">
        <v>7000000</v>
      </c>
      <c r="K1142" s="17"/>
      <c r="L1142" s="17"/>
      <c r="M1142" s="17"/>
      <c r="N1142" s="17"/>
      <c r="O1142" s="17">
        <v>0</v>
      </c>
      <c r="P1142" s="17"/>
      <c r="Q1142" s="17"/>
      <c r="R1142" s="19"/>
    </row>
    <row r="1143" spans="1:18" x14ac:dyDescent="0.25">
      <c r="A1143" s="20" t="s">
        <v>16</v>
      </c>
      <c r="B1143" s="42"/>
      <c r="C1143" s="43">
        <v>100000</v>
      </c>
      <c r="D1143" s="43">
        <v>100000</v>
      </c>
      <c r="E1143" s="43">
        <v>-2600000</v>
      </c>
      <c r="F1143" s="43">
        <v>-1700000</v>
      </c>
      <c r="G1143" s="15">
        <f>C1143+E1143+F1143+D1143</f>
        <v>-4100000</v>
      </c>
      <c r="H1143" s="16">
        <v>7</v>
      </c>
      <c r="I1143" s="26">
        <v>500000</v>
      </c>
      <c r="J1143" s="25">
        <f t="shared" ref="J1143:J1154" si="436">J1142-I1143</f>
        <v>6500000</v>
      </c>
      <c r="K1143" s="26">
        <f t="shared" ref="K1143:K1154" si="437">0.015*J1142</f>
        <v>105000</v>
      </c>
      <c r="L1143" s="26"/>
      <c r="M1143" s="25"/>
      <c r="N1143" s="25"/>
      <c r="O1143" s="25"/>
      <c r="P1143" s="25"/>
      <c r="Q1143" s="25"/>
      <c r="R1143" s="27">
        <f>G1143+I1143+K1143</f>
        <v>-3495000</v>
      </c>
    </row>
    <row r="1144" spans="1:18" x14ac:dyDescent="0.25">
      <c r="A1144" s="20" t="s">
        <v>17</v>
      </c>
      <c r="B1144" s="41"/>
      <c r="C1144" s="43">
        <v>100000</v>
      </c>
      <c r="D1144" s="43">
        <v>100000</v>
      </c>
      <c r="E1144" s="43">
        <v>300000</v>
      </c>
      <c r="F1144" s="43">
        <v>50000</v>
      </c>
      <c r="G1144" s="15">
        <f>F1144+E1144+D1144+C1144+B1144</f>
        <v>550000</v>
      </c>
      <c r="H1144" s="16">
        <v>8</v>
      </c>
      <c r="I1144" s="26">
        <v>500000</v>
      </c>
      <c r="J1144" s="25">
        <f t="shared" si="436"/>
        <v>6000000</v>
      </c>
      <c r="K1144" s="26">
        <f t="shared" si="437"/>
        <v>97500</v>
      </c>
      <c r="L1144" s="26"/>
      <c r="M1144" s="25"/>
      <c r="N1144" s="25"/>
      <c r="O1144" s="25"/>
      <c r="P1144" s="25"/>
      <c r="Q1144" s="25"/>
      <c r="R1144" s="27">
        <f t="shared" ref="R1144:R1154" si="438">G1144+I1144+K1144</f>
        <v>1147500</v>
      </c>
    </row>
    <row r="1145" spans="1:18" x14ac:dyDescent="0.25">
      <c r="A1145" s="20" t="s">
        <v>18</v>
      </c>
      <c r="B1145" s="41"/>
      <c r="C1145" s="43">
        <v>100000</v>
      </c>
      <c r="D1145" s="43">
        <v>100000</v>
      </c>
      <c r="E1145" s="43">
        <v>300000</v>
      </c>
      <c r="F1145" s="43">
        <v>50000</v>
      </c>
      <c r="G1145" s="15">
        <f t="shared" ref="G1145:G1146" si="439">F1145+E1145+D1145+C1145+B1145</f>
        <v>550000</v>
      </c>
      <c r="H1145" s="16">
        <v>9</v>
      </c>
      <c r="I1145" s="26">
        <v>500000</v>
      </c>
      <c r="J1145" s="25">
        <f t="shared" si="436"/>
        <v>5500000</v>
      </c>
      <c r="K1145" s="26">
        <f t="shared" si="437"/>
        <v>90000</v>
      </c>
      <c r="L1145" s="26"/>
      <c r="M1145" s="25"/>
      <c r="N1145" s="25"/>
      <c r="O1145" s="25"/>
      <c r="P1145" s="25"/>
      <c r="Q1145" s="25"/>
      <c r="R1145" s="27">
        <f t="shared" si="438"/>
        <v>1140000</v>
      </c>
    </row>
    <row r="1146" spans="1:18" x14ac:dyDescent="0.25">
      <c r="A1146" s="20" t="s">
        <v>19</v>
      </c>
      <c r="B1146" s="42"/>
      <c r="C1146" s="43">
        <v>100000</v>
      </c>
      <c r="D1146" s="43">
        <v>100000</v>
      </c>
      <c r="E1146" s="43">
        <v>300000</v>
      </c>
      <c r="F1146" s="43">
        <v>50000</v>
      </c>
      <c r="G1146" s="15">
        <f t="shared" si="439"/>
        <v>550000</v>
      </c>
      <c r="H1146" s="16">
        <v>10</v>
      </c>
      <c r="I1146" s="26">
        <v>500000</v>
      </c>
      <c r="J1146" s="25">
        <f t="shared" si="436"/>
        <v>5000000</v>
      </c>
      <c r="K1146" s="26">
        <f t="shared" si="437"/>
        <v>82500</v>
      </c>
      <c r="L1146" s="26"/>
      <c r="M1146" s="25"/>
      <c r="N1146" s="25"/>
      <c r="O1146" s="25"/>
      <c r="P1146" s="25"/>
      <c r="Q1146" s="25"/>
      <c r="R1146" s="27">
        <f t="shared" si="438"/>
        <v>1132500</v>
      </c>
    </row>
    <row r="1147" spans="1:18" x14ac:dyDescent="0.25">
      <c r="A1147" s="20" t="s">
        <v>20</v>
      </c>
      <c r="B1147" s="41"/>
      <c r="C1147" s="43">
        <v>100000</v>
      </c>
      <c r="D1147" s="43">
        <v>100000</v>
      </c>
      <c r="E1147" s="43">
        <v>300000</v>
      </c>
      <c r="F1147" s="43">
        <v>50000</v>
      </c>
      <c r="G1147" s="15">
        <f t="shared" ref="G1147" si="440">F1147+E1147+D1147+C1147+B1147</f>
        <v>550000</v>
      </c>
      <c r="H1147" s="16">
        <v>11</v>
      </c>
      <c r="I1147" s="26">
        <v>500000</v>
      </c>
      <c r="J1147" s="25">
        <f t="shared" si="436"/>
        <v>4500000</v>
      </c>
      <c r="K1147" s="26">
        <f t="shared" si="437"/>
        <v>75000</v>
      </c>
      <c r="L1147" s="26"/>
      <c r="M1147" s="25"/>
      <c r="N1147" s="25"/>
      <c r="O1147" s="25"/>
      <c r="P1147" s="25"/>
      <c r="Q1147" s="25"/>
      <c r="R1147" s="27">
        <f t="shared" si="438"/>
        <v>1125000</v>
      </c>
    </row>
    <row r="1148" spans="1:18" x14ac:dyDescent="0.25">
      <c r="A1148" s="20" t="s">
        <v>21</v>
      </c>
      <c r="B1148" s="42"/>
      <c r="C1148" s="43">
        <v>100000</v>
      </c>
      <c r="D1148" s="43">
        <v>100000</v>
      </c>
      <c r="E1148" s="43">
        <v>300000</v>
      </c>
      <c r="F1148" s="43">
        <v>50000</v>
      </c>
      <c r="G1148" s="15">
        <f t="shared" ref="G1148" si="441">F1148+E1148+D1148+C1148+B1148</f>
        <v>550000</v>
      </c>
      <c r="H1148" s="16">
        <v>12</v>
      </c>
      <c r="I1148" s="26">
        <v>500000</v>
      </c>
      <c r="J1148" s="25">
        <f t="shared" si="436"/>
        <v>4000000</v>
      </c>
      <c r="K1148" s="26">
        <f t="shared" si="437"/>
        <v>67500</v>
      </c>
      <c r="L1148" s="26"/>
      <c r="M1148" s="25"/>
      <c r="N1148" s="25"/>
      <c r="O1148" s="25"/>
      <c r="P1148" s="25"/>
      <c r="Q1148" s="25"/>
      <c r="R1148" s="27">
        <f t="shared" si="438"/>
        <v>1117500</v>
      </c>
    </row>
    <row r="1149" spans="1:18" x14ac:dyDescent="0.25">
      <c r="A1149" s="20" t="s">
        <v>22</v>
      </c>
      <c r="B1149" s="42"/>
      <c r="C1149" s="43">
        <v>100000</v>
      </c>
      <c r="D1149" s="43">
        <v>100000</v>
      </c>
      <c r="E1149" s="43">
        <v>300000</v>
      </c>
      <c r="F1149" s="43">
        <v>50000</v>
      </c>
      <c r="G1149" s="15">
        <f t="shared" ref="G1149" si="442">F1149+E1149+D1149+C1149+B1149</f>
        <v>550000</v>
      </c>
      <c r="H1149" s="16">
        <v>13</v>
      </c>
      <c r="I1149" s="26">
        <v>500000</v>
      </c>
      <c r="J1149" s="25">
        <f t="shared" si="436"/>
        <v>3500000</v>
      </c>
      <c r="K1149" s="26">
        <f t="shared" si="437"/>
        <v>60000</v>
      </c>
      <c r="L1149" s="26"/>
      <c r="M1149" s="25"/>
      <c r="N1149" s="25"/>
      <c r="O1149" s="25"/>
      <c r="P1149" s="26"/>
      <c r="Q1149" s="25"/>
      <c r="R1149" s="27">
        <f t="shared" si="438"/>
        <v>1110000</v>
      </c>
    </row>
    <row r="1150" spans="1:18" x14ac:dyDescent="0.25">
      <c r="A1150" s="20" t="s">
        <v>23</v>
      </c>
      <c r="B1150" s="42"/>
      <c r="C1150" s="43">
        <v>100000</v>
      </c>
      <c r="D1150" s="43">
        <v>100000</v>
      </c>
      <c r="E1150" s="43">
        <v>300000</v>
      </c>
      <c r="F1150" s="43">
        <v>50000</v>
      </c>
      <c r="G1150" s="15">
        <f t="shared" ref="G1150" si="443">F1150+E1150+D1150+C1150+B1150</f>
        <v>550000</v>
      </c>
      <c r="H1150" s="16">
        <v>14</v>
      </c>
      <c r="I1150" s="26">
        <v>500000</v>
      </c>
      <c r="J1150" s="25">
        <f t="shared" si="436"/>
        <v>3000000</v>
      </c>
      <c r="K1150" s="26">
        <f t="shared" si="437"/>
        <v>52500</v>
      </c>
      <c r="L1150" s="26"/>
      <c r="M1150" s="25"/>
      <c r="N1150" s="25"/>
      <c r="O1150" s="25"/>
      <c r="P1150" s="26"/>
      <c r="Q1150" s="25"/>
      <c r="R1150" s="27">
        <f t="shared" si="438"/>
        <v>1102500</v>
      </c>
    </row>
    <row r="1151" spans="1:18" x14ac:dyDescent="0.25">
      <c r="A1151" s="20" t="s">
        <v>24</v>
      </c>
      <c r="B1151" s="42"/>
      <c r="C1151" s="43">
        <v>100000</v>
      </c>
      <c r="D1151" s="43">
        <v>100000</v>
      </c>
      <c r="E1151" s="43">
        <v>300000</v>
      </c>
      <c r="F1151" s="43">
        <v>50000</v>
      </c>
      <c r="G1151" s="15">
        <f t="shared" ref="G1151" si="444">F1151+E1151+D1151+C1151+B1151</f>
        <v>550000</v>
      </c>
      <c r="H1151" s="16">
        <v>15</v>
      </c>
      <c r="I1151" s="26">
        <v>500000</v>
      </c>
      <c r="J1151" s="25">
        <f t="shared" si="436"/>
        <v>2500000</v>
      </c>
      <c r="K1151" s="26">
        <f t="shared" si="437"/>
        <v>45000</v>
      </c>
      <c r="L1151" s="26"/>
      <c r="M1151" s="25"/>
      <c r="N1151" s="25"/>
      <c r="O1151" s="25"/>
      <c r="P1151" s="26"/>
      <c r="Q1151" s="25"/>
      <c r="R1151" s="27">
        <f t="shared" si="438"/>
        <v>1095000</v>
      </c>
    </row>
    <row r="1152" spans="1:18" x14ac:dyDescent="0.25">
      <c r="A1152" s="20" t="s">
        <v>25</v>
      </c>
      <c r="B1152" s="42"/>
      <c r="C1152" s="43">
        <v>100000</v>
      </c>
      <c r="D1152" s="43">
        <v>100000</v>
      </c>
      <c r="E1152" s="43">
        <v>300000</v>
      </c>
      <c r="F1152" s="43">
        <v>50000</v>
      </c>
      <c r="G1152" s="15">
        <f t="shared" ref="G1152" si="445">F1152+E1152+D1152+C1152+B1152</f>
        <v>550000</v>
      </c>
      <c r="H1152" s="16">
        <v>16</v>
      </c>
      <c r="I1152" s="26">
        <v>500000</v>
      </c>
      <c r="J1152" s="25">
        <f t="shared" si="436"/>
        <v>2000000</v>
      </c>
      <c r="K1152" s="26">
        <f t="shared" si="437"/>
        <v>37500</v>
      </c>
      <c r="L1152" s="26"/>
      <c r="M1152" s="25"/>
      <c r="N1152" s="25"/>
      <c r="O1152" s="26"/>
      <c r="P1152" s="26"/>
      <c r="Q1152" s="25"/>
      <c r="R1152" s="27">
        <f t="shared" si="438"/>
        <v>1087500</v>
      </c>
    </row>
    <row r="1153" spans="1:18" x14ac:dyDescent="0.25">
      <c r="A1153" s="20" t="s">
        <v>26</v>
      </c>
      <c r="B1153" s="42"/>
      <c r="C1153" s="43">
        <v>100000</v>
      </c>
      <c r="D1153" s="43">
        <v>100000</v>
      </c>
      <c r="E1153" s="43">
        <v>300000</v>
      </c>
      <c r="F1153" s="43">
        <v>50000</v>
      </c>
      <c r="G1153" s="15">
        <f t="shared" ref="G1153" si="446">F1153+E1153+D1153+C1153+B1153</f>
        <v>550000</v>
      </c>
      <c r="H1153" s="16">
        <v>17</v>
      </c>
      <c r="I1153" s="26">
        <v>500000</v>
      </c>
      <c r="J1153" s="25">
        <f t="shared" si="436"/>
        <v>1500000</v>
      </c>
      <c r="K1153" s="26">
        <f t="shared" si="437"/>
        <v>30000</v>
      </c>
      <c r="L1153" s="26"/>
      <c r="M1153" s="25"/>
      <c r="N1153" s="25"/>
      <c r="O1153" s="25"/>
      <c r="P1153" s="25"/>
      <c r="Q1153" s="25"/>
      <c r="R1153" s="27">
        <f t="shared" si="438"/>
        <v>1080000</v>
      </c>
    </row>
    <row r="1154" spans="1:18" ht="15.75" thickBot="1" x14ac:dyDescent="0.3">
      <c r="A1154" s="12" t="s">
        <v>15</v>
      </c>
      <c r="B1154" s="44"/>
      <c r="C1154" s="43">
        <v>100000</v>
      </c>
      <c r="D1154" s="43">
        <v>100000</v>
      </c>
      <c r="E1154" s="43">
        <v>-3000000</v>
      </c>
      <c r="F1154" s="43">
        <v>-500000</v>
      </c>
      <c r="G1154" s="15">
        <f t="shared" ref="G1154" si="447">F1154+E1154+D1154+C1154+B1154</f>
        <v>-3300000</v>
      </c>
      <c r="H1154" s="16">
        <v>18</v>
      </c>
      <c r="I1154" s="26">
        <v>500000</v>
      </c>
      <c r="J1154" s="25">
        <f t="shared" si="436"/>
        <v>1000000</v>
      </c>
      <c r="K1154" s="26">
        <f t="shared" si="437"/>
        <v>22500</v>
      </c>
      <c r="L1154" s="26"/>
      <c r="M1154" s="25"/>
      <c r="N1154" s="25"/>
      <c r="O1154" s="25"/>
      <c r="P1154" s="25"/>
      <c r="Q1154" s="25"/>
      <c r="R1154" s="27">
        <f t="shared" si="438"/>
        <v>-2777500</v>
      </c>
    </row>
    <row r="1155" spans="1:18" ht="15.75" thickBot="1" x14ac:dyDescent="0.3">
      <c r="A1155" s="29" t="s">
        <v>0</v>
      </c>
      <c r="B1155" s="30">
        <f t="shared" ref="B1155:G1155" si="448">SUM(B1142:B1154)</f>
        <v>100000</v>
      </c>
      <c r="C1155" s="30">
        <f t="shared" si="448"/>
        <v>4700000</v>
      </c>
      <c r="D1155" s="30">
        <f t="shared" si="448"/>
        <v>3600000</v>
      </c>
      <c r="E1155" s="30">
        <f t="shared" si="448"/>
        <v>0</v>
      </c>
      <c r="F1155" s="30">
        <f t="shared" si="448"/>
        <v>0</v>
      </c>
      <c r="G1155" s="31">
        <f t="shared" si="448"/>
        <v>8400000</v>
      </c>
      <c r="H1155" s="32"/>
      <c r="I1155" s="71" t="s">
        <v>27</v>
      </c>
      <c r="J1155" s="72"/>
      <c r="K1155" s="33">
        <f>SUM(K1142:K1154)</f>
        <v>765000</v>
      </c>
      <c r="L1155" s="34"/>
      <c r="M1155" s="71" t="s">
        <v>28</v>
      </c>
      <c r="N1155" s="73"/>
      <c r="O1155" s="72"/>
      <c r="P1155" s="33">
        <f>SUM(P1142:P1154)</f>
        <v>0</v>
      </c>
      <c r="Q1155" s="34"/>
      <c r="R1155" s="35"/>
    </row>
    <row r="1156" spans="1:18" ht="15.75" thickBot="1" x14ac:dyDescent="0.3"/>
    <row r="1157" spans="1:18" ht="15.75" thickBot="1" x14ac:dyDescent="0.3">
      <c r="A1157" s="2">
        <f>A1140+1</f>
        <v>69</v>
      </c>
      <c r="B1157" s="57" t="s">
        <v>37</v>
      </c>
      <c r="C1157" s="58"/>
      <c r="D1157" s="58"/>
      <c r="E1157" s="58"/>
      <c r="F1157" s="59"/>
      <c r="G1157" s="3" t="s">
        <v>0</v>
      </c>
      <c r="H1157" s="77" t="s">
        <v>1</v>
      </c>
      <c r="I1157" s="78"/>
      <c r="J1157" s="78"/>
      <c r="K1157" s="78"/>
      <c r="L1157" s="79"/>
      <c r="M1157" s="80" t="s">
        <v>2</v>
      </c>
      <c r="N1157" s="78"/>
      <c r="O1157" s="78"/>
      <c r="P1157" s="78"/>
      <c r="Q1157" s="79"/>
      <c r="R1157" s="69" t="s">
        <v>29</v>
      </c>
    </row>
    <row r="1158" spans="1:18" x14ac:dyDescent="0.25">
      <c r="A1158" s="4" t="s">
        <v>4</v>
      </c>
      <c r="B1158" s="5" t="s">
        <v>5</v>
      </c>
      <c r="C1158" s="6" t="s">
        <v>6</v>
      </c>
      <c r="D1158" s="6" t="s">
        <v>7</v>
      </c>
      <c r="E1158" s="5" t="s">
        <v>8</v>
      </c>
      <c r="F1158" s="5" t="s">
        <v>9</v>
      </c>
      <c r="G1158" s="7" t="s">
        <v>10</v>
      </c>
      <c r="H1158" s="8" t="s">
        <v>11</v>
      </c>
      <c r="I1158" s="9" t="s">
        <v>0</v>
      </c>
      <c r="J1158" s="9" t="s">
        <v>12</v>
      </c>
      <c r="K1158" s="9" t="s">
        <v>13</v>
      </c>
      <c r="L1158" s="10" t="s">
        <v>14</v>
      </c>
      <c r="M1158" s="9" t="s">
        <v>11</v>
      </c>
      <c r="N1158" s="9" t="s">
        <v>0</v>
      </c>
      <c r="O1158" s="9" t="s">
        <v>12</v>
      </c>
      <c r="P1158" s="9" t="s">
        <v>13</v>
      </c>
      <c r="Q1158" s="10" t="s">
        <v>14</v>
      </c>
      <c r="R1158" s="70"/>
    </row>
    <row r="1159" spans="1:18" x14ac:dyDescent="0.25">
      <c r="A1159" s="12" t="s">
        <v>15</v>
      </c>
      <c r="B1159" s="41">
        <v>100000</v>
      </c>
      <c r="C1159" s="41">
        <v>3500000</v>
      </c>
      <c r="D1159" s="41">
        <v>0</v>
      </c>
      <c r="E1159" s="41">
        <v>400000</v>
      </c>
      <c r="F1159" s="41">
        <v>1700000</v>
      </c>
      <c r="G1159" s="15">
        <f t="shared" ref="G1159" si="449">SUM(B1159:F1159)</f>
        <v>5700000</v>
      </c>
      <c r="H1159" s="16"/>
      <c r="I1159" s="17"/>
      <c r="J1159" s="18"/>
      <c r="K1159" s="17"/>
      <c r="L1159" s="17"/>
      <c r="M1159" s="17"/>
      <c r="N1159" s="17"/>
      <c r="O1159" s="17"/>
      <c r="P1159" s="17"/>
      <c r="Q1159" s="17"/>
      <c r="R1159" s="60"/>
    </row>
    <row r="1160" spans="1:18" x14ac:dyDescent="0.25">
      <c r="A1160" s="20" t="s">
        <v>16</v>
      </c>
      <c r="B1160" s="42"/>
      <c r="C1160" s="43">
        <v>100000</v>
      </c>
      <c r="D1160" s="43">
        <v>100000</v>
      </c>
      <c r="E1160" s="43">
        <v>50000</v>
      </c>
      <c r="F1160" s="43">
        <v>50000</v>
      </c>
      <c r="G1160" s="15">
        <f>C1160+E1160+F1160+D1160</f>
        <v>300000</v>
      </c>
      <c r="H1160" s="16"/>
      <c r="I1160" s="26"/>
      <c r="J1160" s="25"/>
      <c r="K1160" s="26"/>
      <c r="L1160" s="26"/>
      <c r="M1160" s="25"/>
      <c r="N1160" s="25"/>
      <c r="O1160" s="17"/>
      <c r="P1160" s="26"/>
      <c r="Q1160" s="25"/>
      <c r="R1160" s="25">
        <f>G1160+I1160+K1160+P1160</f>
        <v>300000</v>
      </c>
    </row>
    <row r="1161" spans="1:18" x14ac:dyDescent="0.25">
      <c r="A1161" s="20" t="s">
        <v>17</v>
      </c>
      <c r="B1161" s="41"/>
      <c r="C1161" s="43">
        <v>100000</v>
      </c>
      <c r="D1161" s="43">
        <v>100000</v>
      </c>
      <c r="E1161" s="43">
        <v>50000</v>
      </c>
      <c r="F1161" s="43">
        <v>50000</v>
      </c>
      <c r="G1161" s="15">
        <f t="shared" ref="G1161:G1171" si="450">C1161+E1161+F1161+D1161</f>
        <v>300000</v>
      </c>
      <c r="H1161" s="16"/>
      <c r="I1161" s="26"/>
      <c r="J1161" s="25"/>
      <c r="K1161" s="26"/>
      <c r="L1161" s="26"/>
      <c r="M1161" s="25"/>
      <c r="N1161" s="25">
        <v>3000000</v>
      </c>
      <c r="O1161" s="17">
        <v>3000000</v>
      </c>
      <c r="P1161" s="26"/>
      <c r="Q1161" s="25"/>
      <c r="R1161" s="25">
        <f>G1161+I1161+K1161+P1161</f>
        <v>300000</v>
      </c>
    </row>
    <row r="1162" spans="1:18" x14ac:dyDescent="0.25">
      <c r="A1162" s="20" t="s">
        <v>18</v>
      </c>
      <c r="B1162" s="41"/>
      <c r="C1162" s="43">
        <v>100000</v>
      </c>
      <c r="D1162" s="43">
        <v>100000</v>
      </c>
      <c r="E1162" s="43">
        <v>50000</v>
      </c>
      <c r="F1162" s="43">
        <v>50000</v>
      </c>
      <c r="G1162" s="15">
        <f t="shared" si="450"/>
        <v>300000</v>
      </c>
      <c r="H1162" s="16"/>
      <c r="I1162" s="26"/>
      <c r="J1162" s="25"/>
      <c r="K1162" s="26"/>
      <c r="L1162" s="26"/>
      <c r="M1162" s="25"/>
      <c r="N1162" s="25"/>
      <c r="O1162" s="17">
        <f>O1161+N1162</f>
        <v>3000000</v>
      </c>
      <c r="P1162" s="26">
        <f>0.02*O1161</f>
        <v>60000</v>
      </c>
      <c r="Q1162" s="25"/>
      <c r="R1162" s="25">
        <f>G1162+I1162+K1162+P1162</f>
        <v>360000</v>
      </c>
    </row>
    <row r="1163" spans="1:18" x14ac:dyDescent="0.25">
      <c r="A1163" s="20" t="s">
        <v>19</v>
      </c>
      <c r="B1163" s="42"/>
      <c r="C1163" s="43">
        <v>100000</v>
      </c>
      <c r="D1163" s="43">
        <v>100000</v>
      </c>
      <c r="E1163" s="43">
        <v>-550000</v>
      </c>
      <c r="F1163" s="43">
        <v>50000</v>
      </c>
      <c r="G1163" s="15">
        <f>C1164+E1163+F1163+D1164</f>
        <v>-300000</v>
      </c>
      <c r="H1163" s="16"/>
      <c r="I1163" s="26"/>
      <c r="J1163" s="25"/>
      <c r="K1163" s="26"/>
      <c r="L1163" s="26"/>
      <c r="M1163" s="25"/>
      <c r="N1163" s="25"/>
      <c r="O1163" s="17">
        <v>3000000</v>
      </c>
      <c r="P1163" s="26">
        <f t="shared" ref="P1163:P1170" si="451">0.02*O1162</f>
        <v>60000</v>
      </c>
      <c r="Q1163" s="25"/>
      <c r="R1163" s="25">
        <f>G1163+I1163+K1163+P1163</f>
        <v>-240000</v>
      </c>
    </row>
    <row r="1164" spans="1:18" x14ac:dyDescent="0.25">
      <c r="A1164" s="20" t="s">
        <v>20</v>
      </c>
      <c r="B1164" s="41"/>
      <c r="C1164" s="43">
        <v>100000</v>
      </c>
      <c r="D1164" s="43">
        <v>100000</v>
      </c>
      <c r="E1164" s="43">
        <v>50000</v>
      </c>
      <c r="F1164" s="43">
        <v>50000</v>
      </c>
      <c r="G1164" s="15">
        <f t="shared" si="450"/>
        <v>300000</v>
      </c>
      <c r="H1164" s="16"/>
      <c r="I1164" s="26"/>
      <c r="J1164" s="25"/>
      <c r="K1164" s="26"/>
      <c r="L1164" s="26"/>
      <c r="M1164" s="25"/>
      <c r="N1164" s="25"/>
      <c r="O1164" s="17">
        <v>3000000</v>
      </c>
      <c r="P1164" s="26">
        <f t="shared" si="451"/>
        <v>60000</v>
      </c>
      <c r="Q1164" s="25"/>
      <c r="R1164" s="25">
        <f t="shared" ref="R1164:R1171" si="452">G1164+I1164+K1164+P1164</f>
        <v>360000</v>
      </c>
    </row>
    <row r="1165" spans="1:18" x14ac:dyDescent="0.25">
      <c r="A1165" s="20" t="s">
        <v>21</v>
      </c>
      <c r="B1165" s="42"/>
      <c r="C1165" s="43">
        <v>100000</v>
      </c>
      <c r="D1165" s="43">
        <v>100000</v>
      </c>
      <c r="E1165" s="43">
        <v>50000</v>
      </c>
      <c r="F1165" s="43">
        <v>50000</v>
      </c>
      <c r="G1165" s="15">
        <f t="shared" si="450"/>
        <v>300000</v>
      </c>
      <c r="H1165" s="16"/>
      <c r="I1165" s="26"/>
      <c r="J1165" s="25"/>
      <c r="K1165" s="26"/>
      <c r="L1165" s="26"/>
      <c r="M1165" s="25"/>
      <c r="N1165" s="25"/>
      <c r="O1165" s="17">
        <v>3000000</v>
      </c>
      <c r="P1165" s="26">
        <f t="shared" si="451"/>
        <v>60000</v>
      </c>
      <c r="Q1165" s="25"/>
      <c r="R1165" s="25">
        <f t="shared" si="452"/>
        <v>360000</v>
      </c>
    </row>
    <row r="1166" spans="1:18" x14ac:dyDescent="0.25">
      <c r="A1166" s="20" t="s">
        <v>22</v>
      </c>
      <c r="B1166" s="42"/>
      <c r="C1166" s="43">
        <v>100000</v>
      </c>
      <c r="D1166" s="43">
        <v>100000</v>
      </c>
      <c r="E1166" s="43">
        <v>50000</v>
      </c>
      <c r="F1166" s="43">
        <v>50000</v>
      </c>
      <c r="G1166" s="15">
        <f t="shared" si="450"/>
        <v>300000</v>
      </c>
      <c r="H1166" s="16"/>
      <c r="I1166" s="26"/>
      <c r="J1166" s="25"/>
      <c r="K1166" s="26"/>
      <c r="L1166" s="26"/>
      <c r="M1166" s="25"/>
      <c r="N1166" s="25"/>
      <c r="O1166" s="17">
        <v>3000000</v>
      </c>
      <c r="P1166" s="26">
        <f t="shared" si="451"/>
        <v>60000</v>
      </c>
      <c r="Q1166" s="25"/>
      <c r="R1166" s="25">
        <f t="shared" si="452"/>
        <v>360000</v>
      </c>
    </row>
    <row r="1167" spans="1:18" x14ac:dyDescent="0.25">
      <c r="A1167" s="20" t="s">
        <v>23</v>
      </c>
      <c r="B1167" s="42"/>
      <c r="C1167" s="43">
        <v>100000</v>
      </c>
      <c r="D1167" s="43">
        <v>100000</v>
      </c>
      <c r="E1167" s="43">
        <v>50000</v>
      </c>
      <c r="F1167" s="43">
        <v>50000</v>
      </c>
      <c r="G1167" s="15">
        <f t="shared" si="450"/>
        <v>300000</v>
      </c>
      <c r="H1167" s="16"/>
      <c r="I1167" s="26"/>
      <c r="J1167" s="25"/>
      <c r="K1167" s="26"/>
      <c r="L1167" s="26"/>
      <c r="M1167" s="25"/>
      <c r="N1167" s="25"/>
      <c r="O1167" s="17">
        <v>3000000</v>
      </c>
      <c r="P1167" s="26">
        <f t="shared" si="451"/>
        <v>60000</v>
      </c>
      <c r="Q1167" s="25"/>
      <c r="R1167" s="25">
        <f t="shared" si="452"/>
        <v>360000</v>
      </c>
    </row>
    <row r="1168" spans="1:18" x14ac:dyDescent="0.25">
      <c r="A1168" s="20" t="s">
        <v>24</v>
      </c>
      <c r="B1168" s="42"/>
      <c r="C1168" s="43">
        <v>100000</v>
      </c>
      <c r="D1168" s="43">
        <v>100000</v>
      </c>
      <c r="E1168" s="43">
        <v>50000</v>
      </c>
      <c r="F1168" s="43">
        <v>50000</v>
      </c>
      <c r="G1168" s="15">
        <f t="shared" si="450"/>
        <v>300000</v>
      </c>
      <c r="H1168" s="16"/>
      <c r="I1168" s="26"/>
      <c r="J1168" s="25"/>
      <c r="K1168" s="26"/>
      <c r="L1168" s="26"/>
      <c r="M1168" s="25"/>
      <c r="N1168" s="25"/>
      <c r="O1168" s="17">
        <v>3000000</v>
      </c>
      <c r="P1168" s="26">
        <f t="shared" si="451"/>
        <v>60000</v>
      </c>
      <c r="Q1168" s="25"/>
      <c r="R1168" s="25">
        <f t="shared" si="452"/>
        <v>360000</v>
      </c>
    </row>
    <row r="1169" spans="1:18" x14ac:dyDescent="0.25">
      <c r="A1169" s="20" t="s">
        <v>25</v>
      </c>
      <c r="B1169" s="42"/>
      <c r="C1169" s="43">
        <v>100000</v>
      </c>
      <c r="D1169" s="43">
        <v>100000</v>
      </c>
      <c r="E1169" s="43">
        <v>50000</v>
      </c>
      <c r="F1169" s="43">
        <v>50000</v>
      </c>
      <c r="G1169" s="15">
        <f t="shared" si="450"/>
        <v>300000</v>
      </c>
      <c r="H1169" s="16"/>
      <c r="I1169" s="26"/>
      <c r="J1169" s="25">
        <f>J1168-I1169</f>
        <v>0</v>
      </c>
      <c r="K1169" s="26">
        <f t="shared" ref="K1169:K1171" si="453">0.015*J1168</f>
        <v>0</v>
      </c>
      <c r="L1169" s="26"/>
      <c r="M1169" s="25"/>
      <c r="N1169" s="25"/>
      <c r="O1169" s="17">
        <v>3000000</v>
      </c>
      <c r="P1169" s="26">
        <f t="shared" si="451"/>
        <v>60000</v>
      </c>
      <c r="Q1169" s="25"/>
      <c r="R1169" s="25">
        <f t="shared" si="452"/>
        <v>360000</v>
      </c>
    </row>
    <row r="1170" spans="1:18" x14ac:dyDescent="0.25">
      <c r="A1170" s="20" t="s">
        <v>26</v>
      </c>
      <c r="B1170" s="42"/>
      <c r="C1170" s="43">
        <v>100000</v>
      </c>
      <c r="D1170" s="43">
        <v>100000</v>
      </c>
      <c r="E1170" s="43">
        <v>50000</v>
      </c>
      <c r="F1170" s="43">
        <v>50000</v>
      </c>
      <c r="G1170" s="15">
        <f t="shared" si="450"/>
        <v>300000</v>
      </c>
      <c r="H1170" s="16"/>
      <c r="I1170" s="26"/>
      <c r="J1170" s="25"/>
      <c r="K1170" s="26">
        <f t="shared" si="453"/>
        <v>0</v>
      </c>
      <c r="L1170" s="26"/>
      <c r="M1170" s="25"/>
      <c r="N1170" s="25">
        <v>5000000</v>
      </c>
      <c r="O1170" s="25">
        <f>O1169+N1170</f>
        <v>8000000</v>
      </c>
      <c r="P1170" s="26">
        <f t="shared" si="451"/>
        <v>60000</v>
      </c>
      <c r="Q1170" s="25"/>
      <c r="R1170" s="25">
        <f t="shared" si="452"/>
        <v>360000</v>
      </c>
    </row>
    <row r="1171" spans="1:18" ht="15.75" thickBot="1" x14ac:dyDescent="0.3">
      <c r="A1171" s="12" t="s">
        <v>15</v>
      </c>
      <c r="B1171" s="44"/>
      <c r="C1171" s="43">
        <v>100000</v>
      </c>
      <c r="D1171" s="43">
        <v>100000</v>
      </c>
      <c r="E1171" s="43">
        <v>50000</v>
      </c>
      <c r="F1171" s="43">
        <v>50000</v>
      </c>
      <c r="G1171" s="15">
        <f t="shared" si="450"/>
        <v>300000</v>
      </c>
      <c r="H1171" s="16"/>
      <c r="I1171" s="26"/>
      <c r="J1171" s="25"/>
      <c r="K1171" s="26">
        <f t="shared" si="453"/>
        <v>0</v>
      </c>
      <c r="L1171" s="26"/>
      <c r="M1171" s="25"/>
      <c r="N1171" s="25"/>
      <c r="O1171" s="25">
        <f>O1170+N1171</f>
        <v>8000000</v>
      </c>
      <c r="P1171" s="26">
        <f t="shared" ref="P1171" si="454">0.02*O1170</f>
        <v>160000</v>
      </c>
      <c r="Q1171" s="25"/>
      <c r="R1171" s="25">
        <f t="shared" si="452"/>
        <v>460000</v>
      </c>
    </row>
    <row r="1172" spans="1:18" ht="15.75" thickBot="1" x14ac:dyDescent="0.3">
      <c r="A1172" s="29" t="s">
        <v>0</v>
      </c>
      <c r="B1172" s="30">
        <f t="shared" ref="B1172:G1172" si="455">SUM(B1159:B1171)</f>
        <v>100000</v>
      </c>
      <c r="C1172" s="30">
        <f t="shared" si="455"/>
        <v>4700000</v>
      </c>
      <c r="D1172" s="30">
        <f t="shared" si="455"/>
        <v>1200000</v>
      </c>
      <c r="E1172" s="30">
        <f t="shared" si="455"/>
        <v>400000</v>
      </c>
      <c r="F1172" s="30">
        <f t="shared" si="455"/>
        <v>2300000</v>
      </c>
      <c r="G1172" s="31">
        <f t="shared" si="455"/>
        <v>8700000</v>
      </c>
      <c r="H1172" s="32"/>
      <c r="I1172" s="71" t="s">
        <v>27</v>
      </c>
      <c r="J1172" s="72"/>
      <c r="K1172" s="33">
        <f>SUM(K1159:K1171)</f>
        <v>0</v>
      </c>
      <c r="L1172" s="34"/>
      <c r="M1172" s="71" t="s">
        <v>28</v>
      </c>
      <c r="N1172" s="73"/>
      <c r="O1172" s="72"/>
      <c r="P1172" s="33">
        <f>SUM(P1159:P1171)</f>
        <v>700000</v>
      </c>
      <c r="Q1172" s="34"/>
      <c r="R1172" s="60"/>
    </row>
    <row r="1173" spans="1:18" ht="15.75" thickBot="1" x14ac:dyDescent="0.3"/>
    <row r="1174" spans="1:18" ht="15.75" thickBot="1" x14ac:dyDescent="0.3">
      <c r="A1174" s="2">
        <f>A1157+1</f>
        <v>70</v>
      </c>
      <c r="B1174" s="57" t="s">
        <v>38</v>
      </c>
      <c r="C1174" s="58"/>
      <c r="D1174" s="58"/>
      <c r="E1174" s="58"/>
      <c r="F1174" s="59"/>
      <c r="G1174" s="3" t="s">
        <v>0</v>
      </c>
      <c r="H1174" s="77" t="s">
        <v>1</v>
      </c>
      <c r="I1174" s="78"/>
      <c r="J1174" s="78"/>
      <c r="K1174" s="78"/>
      <c r="L1174" s="79"/>
      <c r="M1174" s="80" t="s">
        <v>2</v>
      </c>
      <c r="N1174" s="78"/>
      <c r="O1174" s="78"/>
      <c r="P1174" s="78"/>
      <c r="Q1174" s="79"/>
      <c r="R1174" s="69" t="s">
        <v>29</v>
      </c>
    </row>
    <row r="1175" spans="1:18" x14ac:dyDescent="0.25">
      <c r="A1175" s="4" t="s">
        <v>4</v>
      </c>
      <c r="B1175" s="5" t="s">
        <v>5</v>
      </c>
      <c r="C1175" s="6" t="s">
        <v>6</v>
      </c>
      <c r="D1175" s="6" t="s">
        <v>7</v>
      </c>
      <c r="E1175" s="5" t="s">
        <v>8</v>
      </c>
      <c r="F1175" s="5" t="s">
        <v>9</v>
      </c>
      <c r="G1175" s="7" t="s">
        <v>10</v>
      </c>
      <c r="H1175" s="8" t="s">
        <v>11</v>
      </c>
      <c r="I1175" s="9" t="s">
        <v>0</v>
      </c>
      <c r="J1175" s="9" t="s">
        <v>12</v>
      </c>
      <c r="K1175" s="9" t="s">
        <v>13</v>
      </c>
      <c r="L1175" s="10" t="s">
        <v>14</v>
      </c>
      <c r="M1175" s="9" t="s">
        <v>11</v>
      </c>
      <c r="N1175" s="9" t="s">
        <v>0</v>
      </c>
      <c r="O1175" s="9" t="s">
        <v>12</v>
      </c>
      <c r="P1175" s="9" t="s">
        <v>13</v>
      </c>
      <c r="Q1175" s="10" t="s">
        <v>14</v>
      </c>
      <c r="R1175" s="70"/>
    </row>
    <row r="1176" spans="1:18" x14ac:dyDescent="0.25">
      <c r="A1176" s="12" t="s">
        <v>15</v>
      </c>
      <c r="B1176" s="41">
        <v>100000</v>
      </c>
      <c r="C1176" s="41">
        <v>3600000</v>
      </c>
      <c r="D1176" s="41">
        <v>900000</v>
      </c>
      <c r="E1176" s="41">
        <v>1400000</v>
      </c>
      <c r="F1176" s="41">
        <v>900000</v>
      </c>
      <c r="G1176" s="15">
        <f t="shared" ref="G1176" si="456">SUM(B1176:F1176)</f>
        <v>6900000</v>
      </c>
      <c r="H1176" s="16"/>
      <c r="I1176" s="17"/>
      <c r="J1176" s="18">
        <v>0</v>
      </c>
      <c r="K1176" s="17"/>
      <c r="L1176" s="17"/>
      <c r="M1176" s="17"/>
      <c r="N1176" s="17"/>
      <c r="O1176" s="17">
        <v>0</v>
      </c>
      <c r="P1176" s="17"/>
      <c r="Q1176" s="17"/>
      <c r="R1176" s="60"/>
    </row>
    <row r="1177" spans="1:18" x14ac:dyDescent="0.25">
      <c r="A1177" s="20" t="s">
        <v>16</v>
      </c>
      <c r="B1177" s="41"/>
      <c r="C1177" s="43">
        <v>100000</v>
      </c>
      <c r="D1177" s="43">
        <v>25000</v>
      </c>
      <c r="E1177" s="43">
        <v>100000</v>
      </c>
      <c r="F1177" s="43">
        <v>25000</v>
      </c>
      <c r="G1177" s="15">
        <f t="shared" ref="G1177:G1188" si="457">SUM(B1177:F1177)</f>
        <v>250000</v>
      </c>
      <c r="H1177" s="16"/>
      <c r="I1177" s="26"/>
      <c r="J1177" s="25"/>
      <c r="K1177" s="26"/>
      <c r="L1177" s="26"/>
      <c r="M1177" s="25"/>
      <c r="N1177" s="25"/>
      <c r="O1177" s="25"/>
      <c r="P1177" s="25"/>
      <c r="Q1177" s="25"/>
      <c r="R1177" s="60">
        <f>G1177</f>
        <v>250000</v>
      </c>
    </row>
    <row r="1178" spans="1:18" x14ac:dyDescent="0.25">
      <c r="A1178" s="20" t="s">
        <v>17</v>
      </c>
      <c r="B1178" s="42" t="s">
        <v>35</v>
      </c>
      <c r="C1178" s="43">
        <v>100000</v>
      </c>
      <c r="D1178" s="43">
        <v>25000</v>
      </c>
      <c r="E1178" s="43">
        <v>100000</v>
      </c>
      <c r="F1178" s="43">
        <v>25000</v>
      </c>
      <c r="G1178" s="15">
        <f t="shared" si="457"/>
        <v>250000</v>
      </c>
      <c r="H1178" s="16" t="s">
        <v>35</v>
      </c>
      <c r="I1178" s="26"/>
      <c r="J1178" s="25"/>
      <c r="K1178" s="26"/>
      <c r="L1178" s="26"/>
      <c r="M1178" s="25"/>
      <c r="N1178" s="25"/>
      <c r="O1178" s="25"/>
      <c r="P1178" s="25"/>
      <c r="Q1178" s="25"/>
      <c r="R1178" s="60">
        <f t="shared" ref="R1178:R1188" si="458">G1178</f>
        <v>250000</v>
      </c>
    </row>
    <row r="1179" spans="1:18" x14ac:dyDescent="0.25">
      <c r="A1179" s="20" t="s">
        <v>18</v>
      </c>
      <c r="B1179" s="42"/>
      <c r="C1179" s="43">
        <v>100000</v>
      </c>
      <c r="D1179" s="43">
        <v>25000</v>
      </c>
      <c r="E1179" s="43">
        <v>100000</v>
      </c>
      <c r="F1179" s="43">
        <v>25000</v>
      </c>
      <c r="G1179" s="15">
        <f t="shared" si="457"/>
        <v>250000</v>
      </c>
      <c r="H1179" s="16"/>
      <c r="I1179" s="26"/>
      <c r="J1179" s="25"/>
      <c r="K1179" s="26"/>
      <c r="L1179" s="26"/>
      <c r="M1179" s="25"/>
      <c r="N1179" s="25"/>
      <c r="O1179" s="25"/>
      <c r="P1179" s="25"/>
      <c r="Q1179" s="25"/>
      <c r="R1179" s="60">
        <f t="shared" si="458"/>
        <v>250000</v>
      </c>
    </row>
    <row r="1180" spans="1:18" x14ac:dyDescent="0.25">
      <c r="A1180" s="20" t="s">
        <v>19</v>
      </c>
      <c r="B1180" s="42"/>
      <c r="C1180" s="43">
        <v>100000</v>
      </c>
      <c r="D1180" s="43">
        <v>25000</v>
      </c>
      <c r="E1180" s="43">
        <v>100000</v>
      </c>
      <c r="F1180" s="43">
        <v>25000</v>
      </c>
      <c r="G1180" s="15">
        <f t="shared" si="457"/>
        <v>250000</v>
      </c>
      <c r="H1180" s="16"/>
      <c r="I1180" s="26"/>
      <c r="J1180" s="25"/>
      <c r="K1180" s="26"/>
      <c r="L1180" s="26"/>
      <c r="M1180" s="25"/>
      <c r="N1180" s="25"/>
      <c r="O1180" s="25"/>
      <c r="P1180" s="25"/>
      <c r="Q1180" s="25"/>
      <c r="R1180" s="60">
        <f t="shared" si="458"/>
        <v>250000</v>
      </c>
    </row>
    <row r="1181" spans="1:18" x14ac:dyDescent="0.25">
      <c r="A1181" s="20" t="s">
        <v>20</v>
      </c>
      <c r="B1181" s="41"/>
      <c r="C1181" s="43">
        <v>100000</v>
      </c>
      <c r="D1181" s="43">
        <v>25000</v>
      </c>
      <c r="E1181" s="43">
        <v>100000</v>
      </c>
      <c r="F1181" s="43">
        <v>25000</v>
      </c>
      <c r="G1181" s="15">
        <f t="shared" si="457"/>
        <v>250000</v>
      </c>
      <c r="H1181" s="16"/>
      <c r="I1181" s="26"/>
      <c r="J1181" s="25"/>
      <c r="K1181" s="26"/>
      <c r="L1181" s="26"/>
      <c r="M1181" s="25"/>
      <c r="N1181" s="25"/>
      <c r="O1181" s="25"/>
      <c r="P1181" s="25"/>
      <c r="Q1181" s="25"/>
      <c r="R1181" s="60">
        <f t="shared" si="458"/>
        <v>250000</v>
      </c>
    </row>
    <row r="1182" spans="1:18" x14ac:dyDescent="0.25">
      <c r="A1182" s="20" t="s">
        <v>21</v>
      </c>
      <c r="B1182" s="42"/>
      <c r="C1182" s="43">
        <v>100000</v>
      </c>
      <c r="D1182" s="43">
        <v>25000</v>
      </c>
      <c r="E1182" s="43">
        <v>100000</v>
      </c>
      <c r="F1182" s="43">
        <v>25000</v>
      </c>
      <c r="G1182" s="15">
        <f t="shared" si="457"/>
        <v>250000</v>
      </c>
      <c r="H1182" s="16"/>
      <c r="I1182" s="26"/>
      <c r="J1182" s="25"/>
      <c r="K1182" s="26"/>
      <c r="L1182" s="26"/>
      <c r="M1182" s="25"/>
      <c r="N1182" s="25"/>
      <c r="O1182" s="25"/>
      <c r="P1182" s="25"/>
      <c r="Q1182" s="25"/>
      <c r="R1182" s="60">
        <f t="shared" si="458"/>
        <v>250000</v>
      </c>
    </row>
    <row r="1183" spans="1:18" x14ac:dyDescent="0.25">
      <c r="A1183" s="20" t="s">
        <v>22</v>
      </c>
      <c r="B1183" s="42"/>
      <c r="C1183" s="43">
        <v>100000</v>
      </c>
      <c r="D1183" s="43">
        <v>25000</v>
      </c>
      <c r="E1183" s="43">
        <v>100000</v>
      </c>
      <c r="F1183" s="43">
        <v>25000</v>
      </c>
      <c r="G1183" s="15">
        <f t="shared" si="457"/>
        <v>250000</v>
      </c>
      <c r="H1183" s="16"/>
      <c r="I1183" s="26"/>
      <c r="J1183" s="25"/>
      <c r="K1183" s="26"/>
      <c r="L1183" s="26"/>
      <c r="M1183" s="25"/>
      <c r="N1183" s="25"/>
      <c r="O1183" s="25"/>
      <c r="P1183" s="25"/>
      <c r="Q1183" s="25"/>
      <c r="R1183" s="60">
        <f t="shared" si="458"/>
        <v>250000</v>
      </c>
    </row>
    <row r="1184" spans="1:18" x14ac:dyDescent="0.25">
      <c r="A1184" s="20" t="s">
        <v>23</v>
      </c>
      <c r="B1184" s="42"/>
      <c r="C1184" s="43">
        <v>100000</v>
      </c>
      <c r="D1184" s="43">
        <v>25000</v>
      </c>
      <c r="E1184" s="43">
        <v>100000</v>
      </c>
      <c r="F1184" s="43">
        <v>25000</v>
      </c>
      <c r="G1184" s="15">
        <f t="shared" si="457"/>
        <v>250000</v>
      </c>
      <c r="H1184" s="16"/>
      <c r="I1184" s="26"/>
      <c r="J1184" s="25"/>
      <c r="K1184" s="26"/>
      <c r="L1184" s="26"/>
      <c r="M1184" s="25"/>
      <c r="N1184" s="25"/>
      <c r="O1184" s="25"/>
      <c r="P1184" s="25"/>
      <c r="Q1184" s="25"/>
      <c r="R1184" s="60">
        <f t="shared" si="458"/>
        <v>250000</v>
      </c>
    </row>
    <row r="1185" spans="1:18" x14ac:dyDescent="0.25">
      <c r="A1185" s="20" t="s">
        <v>24</v>
      </c>
      <c r="B1185" s="42"/>
      <c r="C1185" s="43">
        <v>100000</v>
      </c>
      <c r="D1185" s="43">
        <v>25000</v>
      </c>
      <c r="E1185" s="43">
        <v>100000</v>
      </c>
      <c r="F1185" s="43">
        <v>25000</v>
      </c>
      <c r="G1185" s="15">
        <f t="shared" si="457"/>
        <v>250000</v>
      </c>
      <c r="H1185" s="16"/>
      <c r="I1185" s="26"/>
      <c r="J1185" s="25"/>
      <c r="K1185" s="26"/>
      <c r="L1185" s="26"/>
      <c r="M1185" s="25"/>
      <c r="N1185" s="25"/>
      <c r="O1185" s="25"/>
      <c r="P1185" s="25"/>
      <c r="Q1185" s="25"/>
      <c r="R1185" s="60">
        <f t="shared" si="458"/>
        <v>250000</v>
      </c>
    </row>
    <row r="1186" spans="1:18" x14ac:dyDescent="0.25">
      <c r="A1186" s="20" t="s">
        <v>25</v>
      </c>
      <c r="B1186" s="42"/>
      <c r="C1186" s="43">
        <v>100000</v>
      </c>
      <c r="D1186" s="43">
        <v>25000</v>
      </c>
      <c r="E1186" s="43">
        <v>100000</v>
      </c>
      <c r="F1186" s="43">
        <v>25000</v>
      </c>
      <c r="G1186" s="15">
        <f t="shared" si="457"/>
        <v>250000</v>
      </c>
      <c r="H1186" s="16"/>
      <c r="I1186" s="26"/>
      <c r="J1186" s="25"/>
      <c r="K1186" s="26"/>
      <c r="L1186" s="26"/>
      <c r="M1186" s="25"/>
      <c r="N1186" s="25"/>
      <c r="O1186" s="25"/>
      <c r="P1186" s="25"/>
      <c r="Q1186" s="25"/>
      <c r="R1186" s="60">
        <f t="shared" si="458"/>
        <v>250000</v>
      </c>
    </row>
    <row r="1187" spans="1:18" x14ac:dyDescent="0.25">
      <c r="A1187" s="20" t="s">
        <v>26</v>
      </c>
      <c r="B1187" s="42"/>
      <c r="C1187" s="43">
        <v>100000</v>
      </c>
      <c r="D1187" s="43">
        <v>25000</v>
      </c>
      <c r="E1187" s="43">
        <v>100000</v>
      </c>
      <c r="F1187" s="43">
        <v>25000</v>
      </c>
      <c r="G1187" s="15">
        <f t="shared" si="457"/>
        <v>250000</v>
      </c>
      <c r="H1187" s="16"/>
      <c r="I1187" s="26"/>
      <c r="J1187" s="25"/>
      <c r="K1187" s="26"/>
      <c r="L1187" s="26"/>
      <c r="M1187" s="25"/>
      <c r="N1187" s="25"/>
      <c r="O1187" s="25"/>
      <c r="P1187" s="25"/>
      <c r="Q1187" s="25"/>
      <c r="R1187" s="60">
        <f t="shared" si="458"/>
        <v>250000</v>
      </c>
    </row>
    <row r="1188" spans="1:18" ht="15.75" thickBot="1" x14ac:dyDescent="0.3">
      <c r="A1188" s="12" t="s">
        <v>15</v>
      </c>
      <c r="B1188" s="44"/>
      <c r="C1188" s="43">
        <v>100000</v>
      </c>
      <c r="D1188" s="43">
        <v>25000</v>
      </c>
      <c r="E1188" s="43">
        <v>100000</v>
      </c>
      <c r="F1188" s="43">
        <v>25000</v>
      </c>
      <c r="G1188" s="15">
        <f t="shared" si="457"/>
        <v>250000</v>
      </c>
      <c r="H1188" s="16"/>
      <c r="I1188" s="26"/>
      <c r="J1188" s="25"/>
      <c r="K1188" s="26"/>
      <c r="L1188" s="26"/>
      <c r="M1188" s="25"/>
      <c r="N1188" s="25"/>
      <c r="O1188" s="25"/>
      <c r="P1188" s="25"/>
      <c r="Q1188" s="25"/>
      <c r="R1188" s="60">
        <f t="shared" si="458"/>
        <v>250000</v>
      </c>
    </row>
    <row r="1189" spans="1:18" ht="15.75" thickBot="1" x14ac:dyDescent="0.3">
      <c r="A1189" s="29" t="s">
        <v>0</v>
      </c>
      <c r="B1189" s="30">
        <f t="shared" ref="B1189:G1189" si="459">SUM(B1176:B1188)</f>
        <v>100000</v>
      </c>
      <c r="C1189" s="30">
        <f t="shared" si="459"/>
        <v>4800000</v>
      </c>
      <c r="D1189" s="30">
        <f t="shared" si="459"/>
        <v>1200000</v>
      </c>
      <c r="E1189" s="30">
        <f t="shared" si="459"/>
        <v>2600000</v>
      </c>
      <c r="F1189" s="30">
        <f t="shared" si="459"/>
        <v>1200000</v>
      </c>
      <c r="G1189" s="31">
        <f t="shared" si="459"/>
        <v>9900000</v>
      </c>
      <c r="H1189" s="32"/>
      <c r="I1189" s="71" t="s">
        <v>27</v>
      </c>
      <c r="J1189" s="72"/>
      <c r="K1189" s="33">
        <f>SUM(K1176:K1188)</f>
        <v>0</v>
      </c>
      <c r="L1189" s="34"/>
      <c r="M1189" s="71" t="s">
        <v>28</v>
      </c>
      <c r="N1189" s="73"/>
      <c r="O1189" s="72"/>
      <c r="P1189" s="33">
        <f>SUM(P1176:P1188)</f>
        <v>0</v>
      </c>
      <c r="Q1189" s="34"/>
      <c r="R1189" s="65"/>
    </row>
    <row r="1190" spans="1:18" ht="15.75" thickBot="1" x14ac:dyDescent="0.3"/>
    <row r="1191" spans="1:18" ht="15.75" thickBot="1" x14ac:dyDescent="0.3">
      <c r="A1191" s="2">
        <f>A1174+1</f>
        <v>71</v>
      </c>
      <c r="B1191" s="57" t="s">
        <v>41</v>
      </c>
      <c r="C1191" s="58"/>
      <c r="D1191" s="58"/>
      <c r="E1191" s="58"/>
      <c r="F1191" s="59"/>
      <c r="G1191" s="3" t="s">
        <v>0</v>
      </c>
      <c r="H1191" s="77" t="s">
        <v>1</v>
      </c>
      <c r="I1191" s="78"/>
      <c r="J1191" s="78"/>
      <c r="K1191" s="78"/>
      <c r="L1191" s="79"/>
      <c r="M1191" s="80" t="s">
        <v>2</v>
      </c>
      <c r="N1191" s="78"/>
      <c r="O1191" s="78"/>
      <c r="P1191" s="78"/>
      <c r="Q1191" s="79"/>
      <c r="R1191" s="69" t="s">
        <v>29</v>
      </c>
    </row>
    <row r="1192" spans="1:18" x14ac:dyDescent="0.25">
      <c r="A1192" s="4" t="s">
        <v>4</v>
      </c>
      <c r="B1192" s="5" t="s">
        <v>5</v>
      </c>
      <c r="C1192" s="6" t="s">
        <v>6</v>
      </c>
      <c r="D1192" s="6" t="s">
        <v>7</v>
      </c>
      <c r="E1192" s="5" t="s">
        <v>8</v>
      </c>
      <c r="F1192" s="5" t="s">
        <v>9</v>
      </c>
      <c r="G1192" s="7" t="s">
        <v>10</v>
      </c>
      <c r="H1192" s="8" t="s">
        <v>11</v>
      </c>
      <c r="I1192" s="9" t="s">
        <v>0</v>
      </c>
      <c r="J1192" s="9" t="s">
        <v>12</v>
      </c>
      <c r="K1192" s="9" t="s">
        <v>13</v>
      </c>
      <c r="L1192" s="10" t="s">
        <v>14</v>
      </c>
      <c r="M1192" s="9" t="s">
        <v>11</v>
      </c>
      <c r="N1192" s="9" t="s">
        <v>0</v>
      </c>
      <c r="O1192" s="9" t="s">
        <v>12</v>
      </c>
      <c r="P1192" s="9" t="s">
        <v>13</v>
      </c>
      <c r="Q1192" s="10" t="s">
        <v>14</v>
      </c>
      <c r="R1192" s="70"/>
    </row>
    <row r="1193" spans="1:18" x14ac:dyDescent="0.25">
      <c r="A1193" s="12" t="s">
        <v>15</v>
      </c>
      <c r="B1193" s="41">
        <v>25000</v>
      </c>
      <c r="C1193" s="41">
        <v>165000</v>
      </c>
      <c r="D1193" s="41">
        <v>550000</v>
      </c>
      <c r="E1193" s="41">
        <v>55000</v>
      </c>
      <c r="F1193" s="41">
        <v>605000</v>
      </c>
      <c r="G1193" s="15">
        <v>1400000</v>
      </c>
      <c r="H1193" s="16"/>
      <c r="I1193" s="17"/>
      <c r="J1193" s="18">
        <v>0</v>
      </c>
      <c r="K1193" s="17"/>
      <c r="L1193" s="17"/>
      <c r="M1193" s="17"/>
      <c r="N1193" s="17"/>
      <c r="O1193" s="17">
        <v>0</v>
      </c>
      <c r="P1193" s="17"/>
      <c r="Q1193" s="17"/>
      <c r="R1193" s="60"/>
    </row>
    <row r="1194" spans="1:18" x14ac:dyDescent="0.25">
      <c r="A1194" s="20" t="s">
        <v>16</v>
      </c>
      <c r="B1194" s="41"/>
      <c r="C1194" s="43">
        <v>15000</v>
      </c>
      <c r="D1194" s="43">
        <v>50000</v>
      </c>
      <c r="E1194" s="43">
        <v>5000</v>
      </c>
      <c r="F1194" s="43">
        <v>55000</v>
      </c>
      <c r="G1194" s="15">
        <f t="shared" ref="G1194:G1205" si="460">SUM(B1194:F1194)</f>
        <v>125000</v>
      </c>
      <c r="H1194" s="16"/>
      <c r="I1194" s="26"/>
      <c r="J1194" s="25"/>
      <c r="K1194" s="26"/>
      <c r="L1194" s="26"/>
      <c r="M1194" s="25"/>
      <c r="N1194" s="25"/>
      <c r="O1194" s="25"/>
      <c r="P1194" s="25"/>
      <c r="Q1194" s="25"/>
      <c r="R1194" s="60">
        <f>G1194</f>
        <v>125000</v>
      </c>
    </row>
    <row r="1195" spans="1:18" x14ac:dyDescent="0.25">
      <c r="A1195" s="20" t="s">
        <v>17</v>
      </c>
      <c r="B1195" s="42"/>
      <c r="C1195" s="43">
        <v>15000</v>
      </c>
      <c r="D1195" s="43">
        <v>50000</v>
      </c>
      <c r="E1195" s="43">
        <v>5000</v>
      </c>
      <c r="F1195" s="43">
        <v>55000</v>
      </c>
      <c r="G1195" s="15">
        <f t="shared" si="460"/>
        <v>125000</v>
      </c>
      <c r="H1195" s="16" t="s">
        <v>35</v>
      </c>
      <c r="I1195" s="26"/>
      <c r="J1195" s="25"/>
      <c r="K1195" s="26"/>
      <c r="L1195" s="26"/>
      <c r="M1195" s="25"/>
      <c r="N1195" s="25"/>
      <c r="O1195" s="25"/>
      <c r="P1195" s="25"/>
      <c r="Q1195" s="25"/>
      <c r="R1195" s="60">
        <f t="shared" ref="R1195:R1205" si="461">G1195</f>
        <v>125000</v>
      </c>
    </row>
    <row r="1196" spans="1:18" x14ac:dyDescent="0.25">
      <c r="A1196" s="20" t="s">
        <v>18</v>
      </c>
      <c r="B1196" s="42"/>
      <c r="C1196" s="43">
        <v>15000</v>
      </c>
      <c r="D1196" s="43">
        <v>50000</v>
      </c>
      <c r="E1196" s="43">
        <v>5000</v>
      </c>
      <c r="F1196" s="43">
        <v>55000</v>
      </c>
      <c r="G1196" s="15">
        <f t="shared" si="460"/>
        <v>125000</v>
      </c>
      <c r="H1196" s="16"/>
      <c r="I1196" s="26"/>
      <c r="J1196" s="25"/>
      <c r="K1196" s="26"/>
      <c r="L1196" s="26"/>
      <c r="M1196" s="25"/>
      <c r="N1196" s="25"/>
      <c r="O1196" s="25"/>
      <c r="P1196" s="25"/>
      <c r="Q1196" s="25"/>
      <c r="R1196" s="60">
        <f t="shared" si="461"/>
        <v>125000</v>
      </c>
    </row>
    <row r="1197" spans="1:18" x14ac:dyDescent="0.25">
      <c r="A1197" s="20" t="s">
        <v>19</v>
      </c>
      <c r="B1197" s="42"/>
      <c r="C1197" s="43">
        <v>15000</v>
      </c>
      <c r="D1197" s="43">
        <v>50000</v>
      </c>
      <c r="E1197" s="43">
        <v>80000</v>
      </c>
      <c r="F1197" s="43">
        <v>55000</v>
      </c>
      <c r="G1197" s="15">
        <f t="shared" si="460"/>
        <v>200000</v>
      </c>
      <c r="H1197" s="16"/>
      <c r="I1197" s="26"/>
      <c r="J1197" s="25"/>
      <c r="K1197" s="26"/>
      <c r="L1197" s="26"/>
      <c r="M1197" s="25"/>
      <c r="N1197" s="25"/>
      <c r="O1197" s="25"/>
      <c r="P1197" s="25"/>
      <c r="Q1197" s="25"/>
      <c r="R1197" s="60">
        <f t="shared" si="461"/>
        <v>200000</v>
      </c>
    </row>
    <row r="1198" spans="1:18" x14ac:dyDescent="0.25">
      <c r="A1198" s="20" t="s">
        <v>20</v>
      </c>
      <c r="B1198" s="41"/>
      <c r="C1198" s="43">
        <v>15000</v>
      </c>
      <c r="D1198" s="43">
        <v>50000</v>
      </c>
      <c r="E1198" s="43">
        <v>80000</v>
      </c>
      <c r="F1198" s="43">
        <v>55000</v>
      </c>
      <c r="G1198" s="15">
        <f t="shared" si="460"/>
        <v>200000</v>
      </c>
      <c r="H1198" s="16"/>
      <c r="I1198" s="26"/>
      <c r="J1198" s="25"/>
      <c r="K1198" s="26"/>
      <c r="L1198" s="26"/>
      <c r="M1198" s="25"/>
      <c r="N1198" s="25"/>
      <c r="O1198" s="25"/>
      <c r="P1198" s="25"/>
      <c r="Q1198" s="25"/>
      <c r="R1198" s="60">
        <f t="shared" si="461"/>
        <v>200000</v>
      </c>
    </row>
    <row r="1199" spans="1:18" x14ac:dyDescent="0.25">
      <c r="A1199" s="20" t="s">
        <v>21</v>
      </c>
      <c r="B1199" s="42"/>
      <c r="C1199" s="43">
        <v>15000</v>
      </c>
      <c r="D1199" s="43">
        <v>50000</v>
      </c>
      <c r="E1199" s="43">
        <v>80000</v>
      </c>
      <c r="F1199" s="43">
        <v>55000</v>
      </c>
      <c r="G1199" s="15">
        <f t="shared" si="460"/>
        <v>200000</v>
      </c>
      <c r="H1199" s="16"/>
      <c r="I1199" s="26"/>
      <c r="J1199" s="25"/>
      <c r="K1199" s="26"/>
      <c r="L1199" s="26"/>
      <c r="M1199" s="25"/>
      <c r="N1199" s="25"/>
      <c r="O1199" s="25"/>
      <c r="P1199" s="25"/>
      <c r="Q1199" s="25"/>
      <c r="R1199" s="60">
        <f t="shared" si="461"/>
        <v>200000</v>
      </c>
    </row>
    <row r="1200" spans="1:18" x14ac:dyDescent="0.25">
      <c r="A1200" s="20" t="s">
        <v>22</v>
      </c>
      <c r="B1200" s="42"/>
      <c r="C1200" s="43">
        <v>15000</v>
      </c>
      <c r="D1200" s="43">
        <v>50000</v>
      </c>
      <c r="E1200" s="43">
        <v>80000</v>
      </c>
      <c r="F1200" s="43">
        <v>55000</v>
      </c>
      <c r="G1200" s="15">
        <f t="shared" si="460"/>
        <v>200000</v>
      </c>
      <c r="H1200" s="16"/>
      <c r="I1200" s="26"/>
      <c r="J1200" s="25"/>
      <c r="K1200" s="26"/>
      <c r="L1200" s="26"/>
      <c r="M1200" s="25"/>
      <c r="N1200" s="25"/>
      <c r="O1200" s="25"/>
      <c r="P1200" s="25"/>
      <c r="Q1200" s="25"/>
      <c r="R1200" s="60">
        <f t="shared" si="461"/>
        <v>200000</v>
      </c>
    </row>
    <row r="1201" spans="1:18" x14ac:dyDescent="0.25">
      <c r="A1201" s="20" t="s">
        <v>23</v>
      </c>
      <c r="B1201" s="42"/>
      <c r="C1201" s="43">
        <v>15000</v>
      </c>
      <c r="D1201" s="43">
        <v>50000</v>
      </c>
      <c r="E1201" s="43">
        <v>80000</v>
      </c>
      <c r="F1201" s="43">
        <v>55000</v>
      </c>
      <c r="G1201" s="15">
        <f t="shared" si="460"/>
        <v>200000</v>
      </c>
      <c r="H1201" s="16"/>
      <c r="I1201" s="26"/>
      <c r="J1201" s="25"/>
      <c r="K1201" s="26"/>
      <c r="L1201" s="26"/>
      <c r="M1201" s="25"/>
      <c r="N1201" s="25"/>
      <c r="O1201" s="25"/>
      <c r="P1201" s="25"/>
      <c r="Q1201" s="25"/>
      <c r="R1201" s="60">
        <f t="shared" si="461"/>
        <v>200000</v>
      </c>
    </row>
    <row r="1202" spans="1:18" x14ac:dyDescent="0.25">
      <c r="A1202" s="20" t="s">
        <v>24</v>
      </c>
      <c r="B1202" s="42"/>
      <c r="C1202" s="43">
        <v>15000</v>
      </c>
      <c r="D1202" s="43">
        <v>50000</v>
      </c>
      <c r="E1202" s="43">
        <v>80000</v>
      </c>
      <c r="F1202" s="43">
        <v>55000</v>
      </c>
      <c r="G1202" s="15">
        <f t="shared" si="460"/>
        <v>200000</v>
      </c>
      <c r="H1202" s="16"/>
      <c r="I1202" s="26"/>
      <c r="J1202" s="25"/>
      <c r="K1202" s="26"/>
      <c r="L1202" s="26"/>
      <c r="M1202" s="25"/>
      <c r="N1202" s="25"/>
      <c r="O1202" s="25"/>
      <c r="P1202" s="25"/>
      <c r="Q1202" s="25"/>
      <c r="R1202" s="60">
        <f t="shared" si="461"/>
        <v>200000</v>
      </c>
    </row>
    <row r="1203" spans="1:18" x14ac:dyDescent="0.25">
      <c r="A1203" s="20" t="s">
        <v>25</v>
      </c>
      <c r="B1203" s="42"/>
      <c r="C1203" s="43">
        <v>15000</v>
      </c>
      <c r="D1203" s="43">
        <v>50000</v>
      </c>
      <c r="E1203" s="43">
        <v>80000</v>
      </c>
      <c r="F1203" s="43">
        <v>55000</v>
      </c>
      <c r="G1203" s="15">
        <f t="shared" si="460"/>
        <v>200000</v>
      </c>
      <c r="H1203" s="16"/>
      <c r="I1203" s="26"/>
      <c r="J1203" s="25"/>
      <c r="K1203" s="26"/>
      <c r="L1203" s="26"/>
      <c r="M1203" s="25"/>
      <c r="N1203" s="25"/>
      <c r="O1203" s="25"/>
      <c r="P1203" s="25"/>
      <c r="Q1203" s="25"/>
      <c r="R1203" s="60">
        <f t="shared" si="461"/>
        <v>200000</v>
      </c>
    </row>
    <row r="1204" spans="1:18" x14ac:dyDescent="0.25">
      <c r="A1204" s="20" t="s">
        <v>26</v>
      </c>
      <c r="B1204" s="42"/>
      <c r="C1204" s="43">
        <v>15000</v>
      </c>
      <c r="D1204" s="43">
        <v>50000</v>
      </c>
      <c r="E1204" s="43">
        <v>80000</v>
      </c>
      <c r="F1204" s="43">
        <v>55000</v>
      </c>
      <c r="G1204" s="15">
        <f t="shared" si="460"/>
        <v>200000</v>
      </c>
      <c r="H1204" s="16"/>
      <c r="I1204" s="26"/>
      <c r="J1204" s="25"/>
      <c r="K1204" s="26"/>
      <c r="L1204" s="26"/>
      <c r="M1204" s="25"/>
      <c r="N1204" s="25"/>
      <c r="O1204" s="25"/>
      <c r="P1204" s="25"/>
      <c r="Q1204" s="25"/>
      <c r="R1204" s="60">
        <f t="shared" si="461"/>
        <v>200000</v>
      </c>
    </row>
    <row r="1205" spans="1:18" ht="15.75" thickBot="1" x14ac:dyDescent="0.3">
      <c r="A1205" s="12" t="s">
        <v>15</v>
      </c>
      <c r="B1205" s="44"/>
      <c r="C1205" s="43">
        <v>15000</v>
      </c>
      <c r="D1205" s="43">
        <v>50000</v>
      </c>
      <c r="E1205" s="43">
        <v>80000</v>
      </c>
      <c r="F1205" s="43">
        <v>55000</v>
      </c>
      <c r="G1205" s="15">
        <f t="shared" si="460"/>
        <v>200000</v>
      </c>
      <c r="H1205" s="16"/>
      <c r="I1205" s="26"/>
      <c r="J1205" s="25"/>
      <c r="K1205" s="26"/>
      <c r="L1205" s="26"/>
      <c r="M1205" s="25"/>
      <c r="N1205" s="25"/>
      <c r="O1205" s="25"/>
      <c r="P1205" s="25"/>
      <c r="Q1205" s="25"/>
      <c r="R1205" s="60">
        <f t="shared" si="461"/>
        <v>200000</v>
      </c>
    </row>
    <row r="1206" spans="1:18" ht="15.75" thickBot="1" x14ac:dyDescent="0.3">
      <c r="A1206" s="29" t="s">
        <v>0</v>
      </c>
      <c r="B1206" s="30">
        <f t="shared" ref="B1206:G1206" si="462">SUM(B1193:B1205)</f>
        <v>25000</v>
      </c>
      <c r="C1206" s="30">
        <f t="shared" si="462"/>
        <v>345000</v>
      </c>
      <c r="D1206" s="30">
        <f t="shared" si="462"/>
        <v>1150000</v>
      </c>
      <c r="E1206" s="30">
        <f t="shared" si="462"/>
        <v>790000</v>
      </c>
      <c r="F1206" s="30">
        <f t="shared" si="462"/>
        <v>1265000</v>
      </c>
      <c r="G1206" s="31">
        <f t="shared" si="462"/>
        <v>3575000</v>
      </c>
      <c r="H1206" s="32"/>
      <c r="I1206" s="71" t="s">
        <v>27</v>
      </c>
      <c r="J1206" s="72"/>
      <c r="K1206" s="33">
        <f>SUM(K1193:K1205)</f>
        <v>0</v>
      </c>
      <c r="L1206" s="34"/>
      <c r="M1206" s="71" t="s">
        <v>28</v>
      </c>
      <c r="N1206" s="73"/>
      <c r="O1206" s="72"/>
      <c r="P1206" s="33">
        <f>SUM(P1193:P1205)</f>
        <v>0</v>
      </c>
      <c r="Q1206" s="34"/>
      <c r="R1206" s="65"/>
    </row>
    <row r="1207" spans="1:18" ht="15.75" thickBot="1" x14ac:dyDescent="0.3"/>
    <row r="1208" spans="1:18" ht="15.75" thickBot="1" x14ac:dyDescent="0.3">
      <c r="A1208" s="2">
        <f>A1191+1</f>
        <v>72</v>
      </c>
      <c r="B1208" s="74" t="s">
        <v>42</v>
      </c>
      <c r="C1208" s="75"/>
      <c r="D1208" s="75"/>
      <c r="E1208" s="75"/>
      <c r="F1208" s="76"/>
      <c r="G1208" s="3" t="s">
        <v>0</v>
      </c>
      <c r="H1208" s="77" t="s">
        <v>1</v>
      </c>
      <c r="I1208" s="78"/>
      <c r="J1208" s="78"/>
      <c r="K1208" s="78"/>
      <c r="L1208" s="79"/>
      <c r="M1208" s="80" t="s">
        <v>2</v>
      </c>
      <c r="N1208" s="78"/>
      <c r="O1208" s="78"/>
      <c r="P1208" s="78"/>
      <c r="Q1208" s="79"/>
      <c r="R1208" s="69" t="s">
        <v>29</v>
      </c>
    </row>
    <row r="1209" spans="1:18" x14ac:dyDescent="0.25">
      <c r="A1209" s="4" t="s">
        <v>4</v>
      </c>
      <c r="B1209" s="5" t="s">
        <v>5</v>
      </c>
      <c r="C1209" s="6" t="s">
        <v>6</v>
      </c>
      <c r="D1209" s="6" t="s">
        <v>7</v>
      </c>
      <c r="E1209" s="5" t="s">
        <v>8</v>
      </c>
      <c r="F1209" s="5" t="s">
        <v>9</v>
      </c>
      <c r="G1209" s="7" t="s">
        <v>10</v>
      </c>
      <c r="H1209" s="8" t="s">
        <v>11</v>
      </c>
      <c r="I1209" s="9" t="s">
        <v>0</v>
      </c>
      <c r="J1209" s="9" t="s">
        <v>12</v>
      </c>
      <c r="K1209" s="9" t="s">
        <v>13</v>
      </c>
      <c r="L1209" s="10" t="s">
        <v>14</v>
      </c>
      <c r="M1209" s="9" t="s">
        <v>11</v>
      </c>
      <c r="N1209" s="9" t="s">
        <v>0</v>
      </c>
      <c r="O1209" s="9" t="s">
        <v>12</v>
      </c>
      <c r="P1209" s="9" t="s">
        <v>13</v>
      </c>
      <c r="Q1209" s="10" t="s">
        <v>14</v>
      </c>
      <c r="R1209" s="70"/>
    </row>
    <row r="1210" spans="1:18" x14ac:dyDescent="0.25">
      <c r="A1210" s="12" t="s">
        <v>15</v>
      </c>
      <c r="B1210" s="41">
        <v>25000</v>
      </c>
      <c r="C1210" s="41">
        <v>120000</v>
      </c>
      <c r="D1210" s="41">
        <v>80000</v>
      </c>
      <c r="E1210" s="41">
        <v>600000</v>
      </c>
      <c r="F1210" s="41">
        <v>0</v>
      </c>
      <c r="G1210" s="15">
        <v>825000</v>
      </c>
      <c r="H1210" s="16"/>
      <c r="I1210" s="17"/>
      <c r="J1210" s="18">
        <v>0</v>
      </c>
      <c r="K1210" s="17"/>
      <c r="L1210" s="17"/>
      <c r="M1210" s="17"/>
      <c r="N1210" s="17"/>
      <c r="O1210" s="17">
        <v>0</v>
      </c>
      <c r="P1210" s="17"/>
      <c r="Q1210" s="17"/>
      <c r="R1210" s="60"/>
    </row>
    <row r="1211" spans="1:18" x14ac:dyDescent="0.25">
      <c r="A1211" s="20" t="s">
        <v>16</v>
      </c>
      <c r="B1211" s="41"/>
      <c r="C1211" s="43">
        <v>15000</v>
      </c>
      <c r="D1211" s="43">
        <v>10000</v>
      </c>
      <c r="E1211" s="43">
        <v>75000</v>
      </c>
      <c r="F1211" s="43">
        <v>0</v>
      </c>
      <c r="G1211" s="15">
        <f t="shared" ref="G1211:G1222" si="463">SUM(B1211:F1211)</f>
        <v>100000</v>
      </c>
      <c r="H1211" s="16"/>
      <c r="I1211" s="26"/>
      <c r="J1211" s="25"/>
      <c r="K1211" s="26"/>
      <c r="L1211" s="26"/>
      <c r="M1211" s="25"/>
      <c r="N1211" s="25"/>
      <c r="O1211" s="25"/>
      <c r="P1211" s="25"/>
      <c r="Q1211" s="25"/>
      <c r="R1211" s="60">
        <f>G1211</f>
        <v>100000</v>
      </c>
    </row>
    <row r="1212" spans="1:18" x14ac:dyDescent="0.25">
      <c r="A1212" s="20" t="s">
        <v>17</v>
      </c>
      <c r="B1212" s="42"/>
      <c r="C1212" s="43">
        <v>15000</v>
      </c>
      <c r="D1212" s="43">
        <v>10000</v>
      </c>
      <c r="E1212" s="43">
        <v>75000</v>
      </c>
      <c r="F1212" s="43">
        <v>0</v>
      </c>
      <c r="G1212" s="15">
        <f t="shared" si="463"/>
        <v>100000</v>
      </c>
      <c r="H1212" s="16" t="s">
        <v>35</v>
      </c>
      <c r="I1212" s="26"/>
      <c r="J1212" s="25"/>
      <c r="K1212" s="26"/>
      <c r="L1212" s="26"/>
      <c r="M1212" s="25"/>
      <c r="N1212" s="25"/>
      <c r="O1212" s="25"/>
      <c r="P1212" s="25"/>
      <c r="Q1212" s="25"/>
      <c r="R1212" s="60">
        <f t="shared" ref="R1212:R1222" si="464">G1212</f>
        <v>100000</v>
      </c>
    </row>
    <row r="1213" spans="1:18" x14ac:dyDescent="0.25">
      <c r="A1213" s="20" t="s">
        <v>18</v>
      </c>
      <c r="B1213" s="42"/>
      <c r="C1213" s="43">
        <v>15000</v>
      </c>
      <c r="D1213" s="43">
        <v>10000</v>
      </c>
      <c r="E1213" s="43">
        <v>75000</v>
      </c>
      <c r="F1213" s="43">
        <v>0</v>
      </c>
      <c r="G1213" s="15">
        <f t="shared" si="463"/>
        <v>100000</v>
      </c>
      <c r="H1213" s="16"/>
      <c r="I1213" s="26"/>
      <c r="J1213" s="25"/>
      <c r="K1213" s="26"/>
      <c r="L1213" s="26"/>
      <c r="M1213" s="25"/>
      <c r="N1213" s="25"/>
      <c r="O1213" s="25"/>
      <c r="P1213" s="25"/>
      <c r="Q1213" s="25"/>
      <c r="R1213" s="60">
        <f t="shared" si="464"/>
        <v>100000</v>
      </c>
    </row>
    <row r="1214" spans="1:18" x14ac:dyDescent="0.25">
      <c r="A1214" s="20" t="s">
        <v>19</v>
      </c>
      <c r="B1214" s="42"/>
      <c r="C1214" s="43">
        <v>15000</v>
      </c>
      <c r="D1214" s="43">
        <v>10000</v>
      </c>
      <c r="E1214" s="43">
        <v>-825000</v>
      </c>
      <c r="F1214" s="43">
        <v>0</v>
      </c>
      <c r="G1214" s="15">
        <f t="shared" si="463"/>
        <v>-800000</v>
      </c>
      <c r="H1214" s="16"/>
      <c r="I1214" s="26"/>
      <c r="J1214" s="25"/>
      <c r="K1214" s="26"/>
      <c r="L1214" s="26"/>
      <c r="M1214" s="25"/>
      <c r="N1214" s="25"/>
      <c r="O1214" s="25"/>
      <c r="P1214" s="25"/>
      <c r="Q1214" s="25"/>
      <c r="R1214" s="60">
        <f t="shared" si="464"/>
        <v>-800000</v>
      </c>
    </row>
    <row r="1215" spans="1:18" x14ac:dyDescent="0.25">
      <c r="A1215" s="20" t="s">
        <v>20</v>
      </c>
      <c r="B1215" s="42"/>
      <c r="C1215" s="43">
        <v>15000</v>
      </c>
      <c r="D1215" s="43">
        <v>10000</v>
      </c>
      <c r="E1215" s="43">
        <v>75000</v>
      </c>
      <c r="F1215" s="43">
        <v>0</v>
      </c>
      <c r="G1215" s="15">
        <f t="shared" si="463"/>
        <v>100000</v>
      </c>
      <c r="H1215" s="16"/>
      <c r="I1215" s="26"/>
      <c r="J1215" s="25"/>
      <c r="K1215" s="26"/>
      <c r="L1215" s="26"/>
      <c r="M1215" s="25"/>
      <c r="N1215" s="25"/>
      <c r="O1215" s="25"/>
      <c r="P1215" s="25"/>
      <c r="Q1215" s="25"/>
      <c r="R1215" s="60">
        <f t="shared" si="464"/>
        <v>100000</v>
      </c>
    </row>
    <row r="1216" spans="1:18" x14ac:dyDescent="0.25">
      <c r="A1216" s="20" t="s">
        <v>21</v>
      </c>
      <c r="B1216" s="42"/>
      <c r="C1216" s="43">
        <v>15000</v>
      </c>
      <c r="D1216" s="43">
        <v>10000</v>
      </c>
      <c r="E1216" s="43">
        <v>75000</v>
      </c>
      <c r="F1216" s="43">
        <v>0</v>
      </c>
      <c r="G1216" s="15">
        <f t="shared" si="463"/>
        <v>100000</v>
      </c>
      <c r="H1216" s="16"/>
      <c r="I1216" s="26"/>
      <c r="J1216" s="25"/>
      <c r="K1216" s="26"/>
      <c r="L1216" s="26"/>
      <c r="M1216" s="25"/>
      <c r="N1216" s="25"/>
      <c r="O1216" s="25"/>
      <c r="P1216" s="25"/>
      <c r="Q1216" s="25"/>
      <c r="R1216" s="60">
        <f t="shared" si="464"/>
        <v>100000</v>
      </c>
    </row>
    <row r="1217" spans="1:18" x14ac:dyDescent="0.25">
      <c r="A1217" s="20" t="s">
        <v>22</v>
      </c>
      <c r="B1217" s="42">
        <v>-25000</v>
      </c>
      <c r="C1217" s="43">
        <v>-210000</v>
      </c>
      <c r="D1217" s="43">
        <v>-140000</v>
      </c>
      <c r="E1217" s="43">
        <v>-150000</v>
      </c>
      <c r="F1217" s="43">
        <v>0</v>
      </c>
      <c r="G1217" s="15">
        <f t="shared" si="463"/>
        <v>-525000</v>
      </c>
      <c r="H1217" s="16"/>
      <c r="I1217" s="26"/>
      <c r="J1217" s="25"/>
      <c r="K1217" s="26"/>
      <c r="L1217" s="26"/>
      <c r="M1217" s="25"/>
      <c r="N1217" s="25"/>
      <c r="O1217" s="25"/>
      <c r="P1217" s="25"/>
      <c r="Q1217" s="25"/>
      <c r="R1217" s="60">
        <f t="shared" si="464"/>
        <v>-525000</v>
      </c>
    </row>
    <row r="1218" spans="1:18" x14ac:dyDescent="0.25">
      <c r="A1218" s="20" t="s">
        <v>23</v>
      </c>
      <c r="B1218" s="42"/>
      <c r="C1218" s="43" t="s">
        <v>57</v>
      </c>
      <c r="D1218" s="43"/>
      <c r="E1218" s="43"/>
      <c r="F1218" s="43">
        <v>0</v>
      </c>
      <c r="G1218" s="15">
        <f t="shared" si="463"/>
        <v>0</v>
      </c>
      <c r="H1218" s="16"/>
      <c r="I1218" s="26"/>
      <c r="J1218" s="25"/>
      <c r="K1218" s="26"/>
      <c r="L1218" s="26"/>
      <c r="M1218" s="25"/>
      <c r="N1218" s="25"/>
      <c r="O1218" s="25"/>
      <c r="P1218" s="25"/>
      <c r="Q1218" s="25"/>
      <c r="R1218" s="60">
        <f t="shared" si="464"/>
        <v>0</v>
      </c>
    </row>
    <row r="1219" spans="1:18" x14ac:dyDescent="0.25">
      <c r="A1219" s="20" t="s">
        <v>24</v>
      </c>
      <c r="B1219" s="42"/>
      <c r="C1219" s="43"/>
      <c r="D1219" s="43"/>
      <c r="E1219" s="43"/>
      <c r="F1219" s="43">
        <v>0</v>
      </c>
      <c r="G1219" s="15">
        <f t="shared" si="463"/>
        <v>0</v>
      </c>
      <c r="H1219" s="16"/>
      <c r="I1219" s="26"/>
      <c r="J1219" s="25"/>
      <c r="K1219" s="26"/>
      <c r="L1219" s="26"/>
      <c r="M1219" s="25"/>
      <c r="N1219" s="25"/>
      <c r="O1219" s="25"/>
      <c r="P1219" s="25"/>
      <c r="Q1219" s="25"/>
      <c r="R1219" s="60">
        <f t="shared" si="464"/>
        <v>0</v>
      </c>
    </row>
    <row r="1220" spans="1:18" x14ac:dyDescent="0.25">
      <c r="A1220" s="20" t="s">
        <v>25</v>
      </c>
      <c r="B1220" s="42"/>
      <c r="C1220" s="43"/>
      <c r="D1220" s="43"/>
      <c r="E1220" s="43"/>
      <c r="F1220" s="43">
        <v>0</v>
      </c>
      <c r="G1220" s="15">
        <f t="shared" si="463"/>
        <v>0</v>
      </c>
      <c r="H1220" s="16"/>
      <c r="I1220" s="26"/>
      <c r="J1220" s="25"/>
      <c r="K1220" s="26"/>
      <c r="L1220" s="26"/>
      <c r="M1220" s="25"/>
      <c r="N1220" s="25"/>
      <c r="O1220" s="25"/>
      <c r="P1220" s="25"/>
      <c r="Q1220" s="25"/>
      <c r="R1220" s="60">
        <f t="shared" si="464"/>
        <v>0</v>
      </c>
    </row>
    <row r="1221" spans="1:18" x14ac:dyDescent="0.25">
      <c r="A1221" s="20" t="s">
        <v>26</v>
      </c>
      <c r="B1221" s="42"/>
      <c r="C1221" s="43"/>
      <c r="D1221" s="43"/>
      <c r="E1221" s="43"/>
      <c r="F1221" s="43">
        <v>0</v>
      </c>
      <c r="G1221" s="15">
        <f t="shared" si="463"/>
        <v>0</v>
      </c>
      <c r="H1221" s="16"/>
      <c r="I1221" s="26"/>
      <c r="J1221" s="25"/>
      <c r="K1221" s="26"/>
      <c r="L1221" s="26"/>
      <c r="M1221" s="25"/>
      <c r="N1221" s="25"/>
      <c r="O1221" s="25"/>
      <c r="P1221" s="25"/>
      <c r="Q1221" s="25"/>
      <c r="R1221" s="60">
        <f t="shared" si="464"/>
        <v>0</v>
      </c>
    </row>
    <row r="1222" spans="1:18" ht="15.75" thickBot="1" x14ac:dyDescent="0.3">
      <c r="A1222" s="12" t="s">
        <v>15</v>
      </c>
      <c r="B1222" s="44"/>
      <c r="C1222" s="43"/>
      <c r="D1222" s="43"/>
      <c r="E1222" s="43"/>
      <c r="F1222" s="43">
        <v>0</v>
      </c>
      <c r="G1222" s="15">
        <f t="shared" si="463"/>
        <v>0</v>
      </c>
      <c r="H1222" s="16"/>
      <c r="I1222" s="26"/>
      <c r="J1222" s="25"/>
      <c r="K1222" s="26"/>
      <c r="L1222" s="26"/>
      <c r="M1222" s="25"/>
      <c r="N1222" s="25"/>
      <c r="O1222" s="25"/>
      <c r="P1222" s="25"/>
      <c r="Q1222" s="25"/>
      <c r="R1222" s="60">
        <f t="shared" si="464"/>
        <v>0</v>
      </c>
    </row>
    <row r="1223" spans="1:18" ht="15.75" thickBot="1" x14ac:dyDescent="0.3">
      <c r="A1223" s="29" t="s">
        <v>0</v>
      </c>
      <c r="B1223" s="30">
        <f t="shared" ref="B1223:G1223" si="465">SUM(B1210:B1222)</f>
        <v>0</v>
      </c>
      <c r="C1223" s="30">
        <f t="shared" si="465"/>
        <v>0</v>
      </c>
      <c r="D1223" s="30">
        <f t="shared" si="465"/>
        <v>0</v>
      </c>
      <c r="E1223" s="30">
        <f t="shared" si="465"/>
        <v>0</v>
      </c>
      <c r="F1223" s="30">
        <f t="shared" si="465"/>
        <v>0</v>
      </c>
      <c r="G1223" s="31">
        <f t="shared" si="465"/>
        <v>0</v>
      </c>
      <c r="H1223" s="32"/>
      <c r="I1223" s="71" t="s">
        <v>27</v>
      </c>
      <c r="J1223" s="72"/>
      <c r="K1223" s="33">
        <f>SUM(K1210:K1222)</f>
        <v>0</v>
      </c>
      <c r="L1223" s="34"/>
      <c r="M1223" s="71" t="s">
        <v>28</v>
      </c>
      <c r="N1223" s="73"/>
      <c r="O1223" s="72"/>
      <c r="P1223" s="33">
        <f>SUM(P1210:P1222)</f>
        <v>0</v>
      </c>
      <c r="Q1223" s="34"/>
      <c r="R1223" s="65"/>
    </row>
    <row r="1224" spans="1:18" ht="15.75" thickBot="1" x14ac:dyDescent="0.3"/>
    <row r="1225" spans="1:18" ht="15.75" thickBot="1" x14ac:dyDescent="0.3">
      <c r="A1225" s="2">
        <f>A1208+1</f>
        <v>73</v>
      </c>
      <c r="B1225" s="74" t="s">
        <v>43</v>
      </c>
      <c r="C1225" s="75"/>
      <c r="D1225" s="75"/>
      <c r="E1225" s="75"/>
      <c r="F1225" s="76"/>
      <c r="G1225" s="3" t="s">
        <v>0</v>
      </c>
      <c r="H1225" s="77" t="s">
        <v>1</v>
      </c>
      <c r="I1225" s="78"/>
      <c r="J1225" s="78"/>
      <c r="K1225" s="78"/>
      <c r="L1225" s="79"/>
      <c r="M1225" s="80" t="s">
        <v>2</v>
      </c>
      <c r="N1225" s="78"/>
      <c r="O1225" s="78"/>
      <c r="P1225" s="78"/>
      <c r="Q1225" s="79"/>
      <c r="R1225" s="69" t="s">
        <v>29</v>
      </c>
    </row>
    <row r="1226" spans="1:18" x14ac:dyDescent="0.25">
      <c r="A1226" s="4" t="s">
        <v>4</v>
      </c>
      <c r="B1226" s="5" t="s">
        <v>5</v>
      </c>
      <c r="C1226" s="6" t="s">
        <v>6</v>
      </c>
      <c r="D1226" s="6" t="s">
        <v>7</v>
      </c>
      <c r="E1226" s="5" t="s">
        <v>8</v>
      </c>
      <c r="F1226" s="5" t="s">
        <v>9</v>
      </c>
      <c r="G1226" s="7" t="s">
        <v>10</v>
      </c>
      <c r="H1226" s="8" t="s">
        <v>11</v>
      </c>
      <c r="I1226" s="9" t="s">
        <v>0</v>
      </c>
      <c r="J1226" s="9" t="s">
        <v>12</v>
      </c>
      <c r="K1226" s="9" t="s">
        <v>13</v>
      </c>
      <c r="L1226" s="10" t="s">
        <v>14</v>
      </c>
      <c r="M1226" s="9" t="s">
        <v>11</v>
      </c>
      <c r="N1226" s="9" t="s">
        <v>0</v>
      </c>
      <c r="O1226" s="9" t="s">
        <v>12</v>
      </c>
      <c r="P1226" s="9" t="s">
        <v>13</v>
      </c>
      <c r="Q1226" s="10" t="s">
        <v>14</v>
      </c>
      <c r="R1226" s="70"/>
    </row>
    <row r="1227" spans="1:18" x14ac:dyDescent="0.25">
      <c r="A1227" s="12" t="s">
        <v>15</v>
      </c>
      <c r="B1227" s="41">
        <v>25000</v>
      </c>
      <c r="C1227" s="41">
        <v>120000</v>
      </c>
      <c r="D1227" s="41">
        <v>80000</v>
      </c>
      <c r="E1227" s="41">
        <v>550000</v>
      </c>
      <c r="F1227" s="41">
        <v>0</v>
      </c>
      <c r="G1227" s="15">
        <v>775000</v>
      </c>
      <c r="H1227" s="16"/>
      <c r="I1227" s="17"/>
      <c r="J1227" s="18">
        <v>2650000</v>
      </c>
      <c r="K1227" s="17"/>
      <c r="L1227" s="17"/>
      <c r="M1227" s="17"/>
      <c r="N1227" s="17"/>
      <c r="O1227" s="17">
        <v>0</v>
      </c>
      <c r="P1227" s="17"/>
      <c r="Q1227" s="17"/>
      <c r="R1227" s="60"/>
    </row>
    <row r="1228" spans="1:18" x14ac:dyDescent="0.25">
      <c r="A1228" s="20" t="s">
        <v>16</v>
      </c>
      <c r="B1228" s="41"/>
      <c r="C1228" s="43">
        <v>15000</v>
      </c>
      <c r="D1228" s="43">
        <v>10000</v>
      </c>
      <c r="E1228" s="43">
        <v>50000</v>
      </c>
      <c r="F1228" s="43">
        <v>0</v>
      </c>
      <c r="G1228" s="15">
        <f t="shared" ref="G1228:G1239" si="466">SUM(B1228:F1228)</f>
        <v>75000</v>
      </c>
      <c r="H1228" s="16">
        <v>6</v>
      </c>
      <c r="I1228" s="26">
        <v>200000</v>
      </c>
      <c r="J1228" s="25">
        <f t="shared" ref="J1228:J1234" si="467">J1227-I1228</f>
        <v>2450000</v>
      </c>
      <c r="K1228" s="26">
        <f t="shared" ref="K1228:K1239" si="468">0.015*J1227</f>
        <v>39750</v>
      </c>
      <c r="L1228" s="26"/>
      <c r="M1228" s="25"/>
      <c r="N1228" s="25"/>
      <c r="O1228" s="25"/>
      <c r="P1228" s="25"/>
      <c r="Q1228" s="25"/>
      <c r="R1228" s="60">
        <f t="shared" ref="R1228:R1239" si="469">G1228+I1228+K1228</f>
        <v>314750</v>
      </c>
    </row>
    <row r="1229" spans="1:18" x14ac:dyDescent="0.25">
      <c r="A1229" s="20" t="s">
        <v>17</v>
      </c>
      <c r="B1229" s="42"/>
      <c r="C1229" s="43">
        <v>15000</v>
      </c>
      <c r="D1229" s="43">
        <v>10000</v>
      </c>
      <c r="E1229" s="43">
        <v>50000</v>
      </c>
      <c r="F1229" s="43">
        <v>0</v>
      </c>
      <c r="G1229" s="15">
        <f t="shared" si="466"/>
        <v>75000</v>
      </c>
      <c r="H1229" s="16">
        <v>7</v>
      </c>
      <c r="I1229" s="26">
        <v>200000</v>
      </c>
      <c r="J1229" s="25">
        <f t="shared" si="467"/>
        <v>2250000</v>
      </c>
      <c r="K1229" s="26">
        <f t="shared" si="468"/>
        <v>36750</v>
      </c>
      <c r="L1229" s="26"/>
      <c r="M1229" s="25"/>
      <c r="N1229" s="25"/>
      <c r="O1229" s="25"/>
      <c r="P1229" s="25"/>
      <c r="Q1229" s="25"/>
      <c r="R1229" s="60">
        <f t="shared" si="469"/>
        <v>311750</v>
      </c>
    </row>
    <row r="1230" spans="1:18" x14ac:dyDescent="0.25">
      <c r="A1230" s="20" t="s">
        <v>18</v>
      </c>
      <c r="B1230" s="42"/>
      <c r="C1230" s="43">
        <v>15000</v>
      </c>
      <c r="D1230" s="43">
        <v>10000</v>
      </c>
      <c r="E1230" s="43">
        <v>50000</v>
      </c>
      <c r="F1230" s="43">
        <v>0</v>
      </c>
      <c r="G1230" s="15">
        <f t="shared" si="466"/>
        <v>75000</v>
      </c>
      <c r="H1230" s="16">
        <v>8</v>
      </c>
      <c r="I1230" s="26">
        <v>200000</v>
      </c>
      <c r="J1230" s="25">
        <f t="shared" si="467"/>
        <v>2050000</v>
      </c>
      <c r="K1230" s="26">
        <f t="shared" si="468"/>
        <v>33750</v>
      </c>
      <c r="L1230" s="26"/>
      <c r="M1230" s="25"/>
      <c r="N1230" s="25"/>
      <c r="O1230" s="25"/>
      <c r="P1230" s="25"/>
      <c r="Q1230" s="25"/>
      <c r="R1230" s="60">
        <f t="shared" si="469"/>
        <v>308750</v>
      </c>
    </row>
    <row r="1231" spans="1:18" x14ac:dyDescent="0.25">
      <c r="A1231" s="20" t="s">
        <v>19</v>
      </c>
      <c r="B1231" s="42"/>
      <c r="C1231" s="43">
        <v>15000</v>
      </c>
      <c r="D1231" s="43">
        <v>10000</v>
      </c>
      <c r="E1231" s="43">
        <v>-700000</v>
      </c>
      <c r="F1231" s="43">
        <v>0</v>
      </c>
      <c r="G1231" s="15">
        <f t="shared" si="466"/>
        <v>-675000</v>
      </c>
      <c r="H1231" s="16">
        <v>9</v>
      </c>
      <c r="I1231" s="26">
        <v>200000</v>
      </c>
      <c r="J1231" s="25">
        <f t="shared" si="467"/>
        <v>1850000</v>
      </c>
      <c r="K1231" s="26">
        <f t="shared" si="468"/>
        <v>30750</v>
      </c>
      <c r="L1231" s="26"/>
      <c r="M1231" s="25"/>
      <c r="N1231" s="25"/>
      <c r="O1231" s="25"/>
      <c r="P1231" s="25"/>
      <c r="Q1231" s="25"/>
      <c r="R1231" s="60">
        <f t="shared" si="469"/>
        <v>-444250</v>
      </c>
    </row>
    <row r="1232" spans="1:18" x14ac:dyDescent="0.25">
      <c r="A1232" s="20" t="s">
        <v>20</v>
      </c>
      <c r="B1232" s="42"/>
      <c r="C1232" s="43">
        <v>15000</v>
      </c>
      <c r="D1232" s="43">
        <v>10000</v>
      </c>
      <c r="E1232" s="43">
        <v>50000</v>
      </c>
      <c r="F1232" s="43">
        <v>0</v>
      </c>
      <c r="G1232" s="15">
        <f t="shared" si="466"/>
        <v>75000</v>
      </c>
      <c r="H1232" s="16">
        <v>10</v>
      </c>
      <c r="I1232" s="26">
        <v>200000</v>
      </c>
      <c r="J1232" s="25">
        <f t="shared" si="467"/>
        <v>1650000</v>
      </c>
      <c r="K1232" s="26">
        <f t="shared" si="468"/>
        <v>27750</v>
      </c>
      <c r="L1232" s="26"/>
      <c r="M1232" s="25"/>
      <c r="N1232" s="25"/>
      <c r="O1232" s="25"/>
      <c r="P1232" s="25"/>
      <c r="Q1232" s="25"/>
      <c r="R1232" s="60">
        <f t="shared" si="469"/>
        <v>302750</v>
      </c>
    </row>
    <row r="1233" spans="1:18" x14ac:dyDescent="0.25">
      <c r="A1233" s="20" t="s">
        <v>21</v>
      </c>
      <c r="B1233" s="42"/>
      <c r="C1233" s="43">
        <v>15000</v>
      </c>
      <c r="D1233" s="43">
        <v>10000</v>
      </c>
      <c r="E1233" s="43">
        <v>50000</v>
      </c>
      <c r="F1233" s="43">
        <v>0</v>
      </c>
      <c r="G1233" s="15">
        <f t="shared" si="466"/>
        <v>75000</v>
      </c>
      <c r="H1233" s="16">
        <v>11</v>
      </c>
      <c r="I1233" s="26">
        <v>200000</v>
      </c>
      <c r="J1233" s="25">
        <f t="shared" si="467"/>
        <v>1450000</v>
      </c>
      <c r="K1233" s="26">
        <f t="shared" si="468"/>
        <v>24750</v>
      </c>
      <c r="L1233" s="26"/>
      <c r="M1233" s="25"/>
      <c r="N1233" s="25"/>
      <c r="O1233" s="25"/>
      <c r="P1233" s="25"/>
      <c r="Q1233" s="25"/>
      <c r="R1233" s="60">
        <f t="shared" si="469"/>
        <v>299750</v>
      </c>
    </row>
    <row r="1234" spans="1:18" x14ac:dyDescent="0.25">
      <c r="A1234" s="20" t="s">
        <v>22</v>
      </c>
      <c r="B1234" s="42"/>
      <c r="C1234" s="43">
        <v>15000</v>
      </c>
      <c r="D1234" s="43">
        <v>10000</v>
      </c>
      <c r="E1234" s="43">
        <v>50000</v>
      </c>
      <c r="F1234" s="43">
        <v>0</v>
      </c>
      <c r="G1234" s="15">
        <f t="shared" si="466"/>
        <v>75000</v>
      </c>
      <c r="H1234" s="16">
        <v>12</v>
      </c>
      <c r="I1234" s="26">
        <v>200000</v>
      </c>
      <c r="J1234" s="25">
        <f t="shared" si="467"/>
        <v>1250000</v>
      </c>
      <c r="K1234" s="26">
        <f t="shared" si="468"/>
        <v>21750</v>
      </c>
      <c r="L1234" s="26"/>
      <c r="M1234" s="25"/>
      <c r="N1234" s="25"/>
      <c r="O1234" s="25"/>
      <c r="P1234" s="25"/>
      <c r="Q1234" s="25"/>
      <c r="R1234" s="60">
        <f t="shared" si="469"/>
        <v>296750</v>
      </c>
    </row>
    <row r="1235" spans="1:18" x14ac:dyDescent="0.25">
      <c r="A1235" s="20" t="s">
        <v>23</v>
      </c>
      <c r="B1235" s="42"/>
      <c r="C1235" s="43">
        <v>15000</v>
      </c>
      <c r="D1235" s="43">
        <v>10000</v>
      </c>
      <c r="E1235" s="43">
        <v>50000</v>
      </c>
      <c r="F1235" s="43">
        <v>0</v>
      </c>
      <c r="G1235" s="15">
        <f t="shared" si="466"/>
        <v>75000</v>
      </c>
      <c r="H1235" s="16">
        <v>13</v>
      </c>
      <c r="I1235" s="26">
        <v>200000</v>
      </c>
      <c r="J1235" s="25">
        <f>J1234-I1235+4000000</f>
        <v>5050000</v>
      </c>
      <c r="K1235" s="26">
        <f t="shared" si="468"/>
        <v>18750</v>
      </c>
      <c r="L1235" s="26"/>
      <c r="M1235" s="25"/>
      <c r="N1235" s="25"/>
      <c r="O1235" s="25"/>
      <c r="P1235" s="25"/>
      <c r="Q1235" s="25"/>
      <c r="R1235" s="60">
        <f t="shared" si="469"/>
        <v>293750</v>
      </c>
    </row>
    <row r="1236" spans="1:18" x14ac:dyDescent="0.25">
      <c r="A1236" s="20" t="s">
        <v>24</v>
      </c>
      <c r="B1236" s="42"/>
      <c r="C1236" s="43">
        <v>15000</v>
      </c>
      <c r="D1236" s="43">
        <v>10000</v>
      </c>
      <c r="E1236" s="43">
        <v>50000</v>
      </c>
      <c r="F1236" s="43">
        <v>0</v>
      </c>
      <c r="G1236" s="15">
        <f t="shared" si="466"/>
        <v>75000</v>
      </c>
      <c r="H1236" s="16">
        <v>14</v>
      </c>
      <c r="I1236" s="26">
        <v>400000</v>
      </c>
      <c r="J1236" s="25">
        <f>J1235-I1236</f>
        <v>4650000</v>
      </c>
      <c r="K1236" s="26">
        <f t="shared" si="468"/>
        <v>75750</v>
      </c>
      <c r="L1236" s="26"/>
      <c r="M1236" s="25"/>
      <c r="N1236" s="25"/>
      <c r="O1236" s="25"/>
      <c r="P1236" s="25"/>
      <c r="Q1236" s="25"/>
      <c r="R1236" s="60">
        <f t="shared" si="469"/>
        <v>550750</v>
      </c>
    </row>
    <row r="1237" spans="1:18" x14ac:dyDescent="0.25">
      <c r="A1237" s="20" t="s">
        <v>25</v>
      </c>
      <c r="B1237" s="42"/>
      <c r="C1237" s="43">
        <v>15000</v>
      </c>
      <c r="D1237" s="43">
        <v>10000</v>
      </c>
      <c r="E1237" s="43">
        <v>50000</v>
      </c>
      <c r="F1237" s="43">
        <v>0</v>
      </c>
      <c r="G1237" s="15">
        <f t="shared" si="466"/>
        <v>75000</v>
      </c>
      <c r="H1237" s="16">
        <v>15</v>
      </c>
      <c r="I1237" s="26">
        <v>400000</v>
      </c>
      <c r="J1237" s="25">
        <f>J1236-I1237</f>
        <v>4250000</v>
      </c>
      <c r="K1237" s="26">
        <f t="shared" si="468"/>
        <v>69750</v>
      </c>
      <c r="L1237" s="26"/>
      <c r="M1237" s="25"/>
      <c r="N1237" s="25"/>
      <c r="O1237" s="25"/>
      <c r="P1237" s="25"/>
      <c r="Q1237" s="25"/>
      <c r="R1237" s="60">
        <f t="shared" si="469"/>
        <v>544750</v>
      </c>
    </row>
    <row r="1238" spans="1:18" x14ac:dyDescent="0.25">
      <c r="A1238" s="20" t="s">
        <v>26</v>
      </c>
      <c r="B1238" s="42"/>
      <c r="C1238" s="43">
        <v>15000</v>
      </c>
      <c r="D1238" s="43">
        <v>10000</v>
      </c>
      <c r="E1238" s="43">
        <v>50000</v>
      </c>
      <c r="F1238" s="43">
        <v>0</v>
      </c>
      <c r="G1238" s="15">
        <f t="shared" si="466"/>
        <v>75000</v>
      </c>
      <c r="H1238" s="16">
        <v>16</v>
      </c>
      <c r="I1238" s="26">
        <v>400000</v>
      </c>
      <c r="J1238" s="25">
        <f>J1237-I1238</f>
        <v>3850000</v>
      </c>
      <c r="K1238" s="26">
        <f t="shared" si="468"/>
        <v>63750</v>
      </c>
      <c r="L1238" s="26"/>
      <c r="M1238" s="25"/>
      <c r="N1238" s="25"/>
      <c r="O1238" s="25"/>
      <c r="P1238" s="25"/>
      <c r="Q1238" s="25"/>
      <c r="R1238" s="60">
        <f t="shared" si="469"/>
        <v>538750</v>
      </c>
    </row>
    <row r="1239" spans="1:18" ht="15.75" thickBot="1" x14ac:dyDescent="0.3">
      <c r="A1239" s="12" t="s">
        <v>15</v>
      </c>
      <c r="B1239" s="44"/>
      <c r="C1239" s="43">
        <v>15000</v>
      </c>
      <c r="D1239" s="43">
        <v>10000</v>
      </c>
      <c r="E1239" s="43">
        <v>50000</v>
      </c>
      <c r="F1239" s="43">
        <v>0</v>
      </c>
      <c r="G1239" s="15">
        <f t="shared" si="466"/>
        <v>75000</v>
      </c>
      <c r="H1239" s="16">
        <v>17</v>
      </c>
      <c r="I1239" s="26">
        <v>400000</v>
      </c>
      <c r="J1239" s="25">
        <f>J1238-I1239</f>
        <v>3450000</v>
      </c>
      <c r="K1239" s="26">
        <f t="shared" si="468"/>
        <v>57750</v>
      </c>
      <c r="L1239" s="26"/>
      <c r="M1239" s="25"/>
      <c r="N1239" s="25"/>
      <c r="O1239" s="25"/>
      <c r="P1239" s="25"/>
      <c r="Q1239" s="25"/>
      <c r="R1239" s="60">
        <f t="shared" si="469"/>
        <v>532750</v>
      </c>
    </row>
    <row r="1240" spans="1:18" ht="15.75" thickBot="1" x14ac:dyDescent="0.3">
      <c r="A1240" s="29" t="s">
        <v>0</v>
      </c>
      <c r="B1240" s="30">
        <f t="shared" ref="B1240:G1240" si="470">SUM(B1227:B1239)</f>
        <v>25000</v>
      </c>
      <c r="C1240" s="30">
        <f t="shared" si="470"/>
        <v>300000</v>
      </c>
      <c r="D1240" s="30">
        <f t="shared" si="470"/>
        <v>200000</v>
      </c>
      <c r="E1240" s="30">
        <f t="shared" si="470"/>
        <v>400000</v>
      </c>
      <c r="F1240" s="30">
        <f t="shared" si="470"/>
        <v>0</v>
      </c>
      <c r="G1240" s="31">
        <f t="shared" si="470"/>
        <v>925000</v>
      </c>
      <c r="H1240" s="32"/>
      <c r="I1240" s="71" t="s">
        <v>27</v>
      </c>
      <c r="J1240" s="72"/>
      <c r="K1240" s="33">
        <f>SUM(K1227:K1239)</f>
        <v>501000</v>
      </c>
      <c r="L1240" s="34"/>
      <c r="M1240" s="71" t="s">
        <v>28</v>
      </c>
      <c r="N1240" s="73"/>
      <c r="O1240" s="72"/>
      <c r="P1240" s="33">
        <f>SUM(P1227:P1239)</f>
        <v>0</v>
      </c>
      <c r="Q1240" s="34"/>
      <c r="R1240" s="65"/>
    </row>
    <row r="1241" spans="1:18" ht="15.75" thickBot="1" x14ac:dyDescent="0.3"/>
    <row r="1242" spans="1:18" ht="15.75" thickBot="1" x14ac:dyDescent="0.3">
      <c r="A1242" s="2">
        <v>74</v>
      </c>
      <c r="B1242" s="74" t="s">
        <v>44</v>
      </c>
      <c r="C1242" s="75"/>
      <c r="D1242" s="75"/>
      <c r="E1242" s="75"/>
      <c r="F1242" s="76"/>
      <c r="G1242" s="3" t="s">
        <v>0</v>
      </c>
      <c r="H1242" s="77" t="s">
        <v>1</v>
      </c>
      <c r="I1242" s="78"/>
      <c r="J1242" s="78"/>
      <c r="K1242" s="78"/>
      <c r="L1242" s="79"/>
      <c r="M1242" s="80" t="s">
        <v>2</v>
      </c>
      <c r="N1242" s="78"/>
      <c r="O1242" s="78"/>
      <c r="P1242" s="78"/>
      <c r="Q1242" s="79"/>
      <c r="R1242" s="69" t="s">
        <v>29</v>
      </c>
    </row>
    <row r="1243" spans="1:18" x14ac:dyDescent="0.25">
      <c r="A1243" s="4" t="s">
        <v>4</v>
      </c>
      <c r="B1243" s="5" t="s">
        <v>5</v>
      </c>
      <c r="C1243" s="6" t="s">
        <v>6</v>
      </c>
      <c r="D1243" s="6" t="s">
        <v>7</v>
      </c>
      <c r="E1243" s="5" t="s">
        <v>8</v>
      </c>
      <c r="F1243" s="5" t="s">
        <v>9</v>
      </c>
      <c r="G1243" s="7" t="s">
        <v>10</v>
      </c>
      <c r="H1243" s="8" t="s">
        <v>11</v>
      </c>
      <c r="I1243" s="9" t="s">
        <v>0</v>
      </c>
      <c r="J1243" s="9" t="s">
        <v>12</v>
      </c>
      <c r="K1243" s="9" t="s">
        <v>13</v>
      </c>
      <c r="L1243" s="10" t="s">
        <v>14</v>
      </c>
      <c r="M1243" s="9" t="s">
        <v>11</v>
      </c>
      <c r="N1243" s="9" t="s">
        <v>0</v>
      </c>
      <c r="O1243" s="9" t="s">
        <v>12</v>
      </c>
      <c r="P1243" s="9" t="s">
        <v>13</v>
      </c>
      <c r="Q1243" s="10" t="s">
        <v>14</v>
      </c>
      <c r="R1243" s="70"/>
    </row>
    <row r="1244" spans="1:18" x14ac:dyDescent="0.25">
      <c r="A1244" s="12" t="s">
        <v>15</v>
      </c>
      <c r="B1244" s="41">
        <v>100000</v>
      </c>
      <c r="C1244" s="41">
        <v>600000</v>
      </c>
      <c r="D1244" s="41">
        <v>300000</v>
      </c>
      <c r="E1244" s="41">
        <v>600000</v>
      </c>
      <c r="F1244" s="41">
        <v>300000</v>
      </c>
      <c r="G1244" s="15">
        <f t="shared" ref="G1244:G1256" si="471">SUM(B1244:F1244)</f>
        <v>1900000</v>
      </c>
      <c r="H1244" s="16"/>
      <c r="I1244" s="17"/>
      <c r="J1244" s="18">
        <v>0</v>
      </c>
      <c r="K1244" s="17"/>
      <c r="L1244" s="17"/>
      <c r="M1244" s="17"/>
      <c r="N1244" s="17"/>
      <c r="O1244" s="17">
        <v>0</v>
      </c>
      <c r="P1244" s="17"/>
      <c r="Q1244" s="17"/>
      <c r="R1244" s="60"/>
    </row>
    <row r="1245" spans="1:18" x14ac:dyDescent="0.25">
      <c r="A1245" s="20" t="s">
        <v>16</v>
      </c>
      <c r="B1245" s="41"/>
      <c r="C1245" s="43">
        <v>100000</v>
      </c>
      <c r="D1245" s="43">
        <v>50000</v>
      </c>
      <c r="E1245" s="43">
        <v>100000</v>
      </c>
      <c r="F1245" s="43">
        <v>50000</v>
      </c>
      <c r="G1245" s="15">
        <f t="shared" si="471"/>
        <v>300000</v>
      </c>
      <c r="H1245" s="16"/>
      <c r="I1245" s="26"/>
      <c r="J1245" s="25"/>
      <c r="K1245" s="26"/>
      <c r="L1245" s="26"/>
      <c r="M1245" s="25"/>
      <c r="N1245" s="25"/>
      <c r="O1245" s="25"/>
      <c r="P1245" s="25"/>
      <c r="Q1245" s="25"/>
      <c r="R1245" s="60">
        <f>G1245</f>
        <v>300000</v>
      </c>
    </row>
    <row r="1246" spans="1:18" x14ac:dyDescent="0.25">
      <c r="A1246" s="20" t="s">
        <v>17</v>
      </c>
      <c r="B1246" s="42"/>
      <c r="C1246" s="43">
        <v>100000</v>
      </c>
      <c r="D1246" s="43">
        <v>50000</v>
      </c>
      <c r="E1246" s="43">
        <v>100000</v>
      </c>
      <c r="F1246" s="43">
        <v>50000</v>
      </c>
      <c r="G1246" s="15">
        <f t="shared" si="471"/>
        <v>300000</v>
      </c>
      <c r="H1246" s="16" t="s">
        <v>35</v>
      </c>
      <c r="I1246" s="26"/>
      <c r="J1246" s="25"/>
      <c r="K1246" s="26"/>
      <c r="L1246" s="26"/>
      <c r="M1246" s="25"/>
      <c r="N1246" s="25"/>
      <c r="O1246" s="25"/>
      <c r="P1246" s="25"/>
      <c r="Q1246" s="25"/>
      <c r="R1246" s="60">
        <f t="shared" ref="R1246:R1256" si="472">G1246</f>
        <v>300000</v>
      </c>
    </row>
    <row r="1247" spans="1:18" x14ac:dyDescent="0.25">
      <c r="A1247" s="20" t="s">
        <v>18</v>
      </c>
      <c r="B1247" s="42"/>
      <c r="C1247" s="43">
        <v>100000</v>
      </c>
      <c r="D1247" s="43">
        <v>50000</v>
      </c>
      <c r="E1247" s="43">
        <v>100000</v>
      </c>
      <c r="F1247" s="43">
        <v>50000</v>
      </c>
      <c r="G1247" s="15">
        <f t="shared" si="471"/>
        <v>300000</v>
      </c>
      <c r="H1247" s="16"/>
      <c r="I1247" s="26"/>
      <c r="J1247" s="25"/>
      <c r="K1247" s="26"/>
      <c r="L1247" s="26"/>
      <c r="M1247" s="25"/>
      <c r="N1247" s="25"/>
      <c r="O1247" s="25"/>
      <c r="P1247" s="25"/>
      <c r="Q1247" s="25"/>
      <c r="R1247" s="60">
        <f t="shared" si="472"/>
        <v>300000</v>
      </c>
    </row>
    <row r="1248" spans="1:18" x14ac:dyDescent="0.25">
      <c r="A1248" s="20" t="s">
        <v>19</v>
      </c>
      <c r="B1248" s="42"/>
      <c r="C1248" s="43">
        <v>100000</v>
      </c>
      <c r="D1248" s="43">
        <v>50000</v>
      </c>
      <c r="E1248" s="43">
        <v>-900000</v>
      </c>
      <c r="F1248" s="43">
        <v>50000</v>
      </c>
      <c r="G1248" s="15">
        <f t="shared" si="471"/>
        <v>-700000</v>
      </c>
      <c r="H1248" s="16"/>
      <c r="I1248" s="26"/>
      <c r="J1248" s="25"/>
      <c r="K1248" s="26"/>
      <c r="L1248" s="26"/>
      <c r="M1248" s="25"/>
      <c r="N1248" s="25"/>
      <c r="O1248" s="25"/>
      <c r="P1248" s="25"/>
      <c r="Q1248" s="25"/>
      <c r="R1248" s="60">
        <f t="shared" si="472"/>
        <v>-700000</v>
      </c>
    </row>
    <row r="1249" spans="1:18" x14ac:dyDescent="0.25">
      <c r="A1249" s="20" t="s">
        <v>20</v>
      </c>
      <c r="B1249" s="42"/>
      <c r="C1249" s="43">
        <v>100000</v>
      </c>
      <c r="D1249" s="43">
        <v>50000</v>
      </c>
      <c r="E1249" s="43">
        <v>100000</v>
      </c>
      <c r="F1249" s="43">
        <v>50000</v>
      </c>
      <c r="G1249" s="15">
        <f t="shared" si="471"/>
        <v>300000</v>
      </c>
      <c r="H1249" s="16"/>
      <c r="I1249" s="26"/>
      <c r="J1249" s="25"/>
      <c r="K1249" s="26"/>
      <c r="L1249" s="26"/>
      <c r="M1249" s="25"/>
      <c r="N1249" s="25"/>
      <c r="O1249" s="25"/>
      <c r="P1249" s="25"/>
      <c r="Q1249" s="25"/>
      <c r="R1249" s="60">
        <f t="shared" si="472"/>
        <v>300000</v>
      </c>
    </row>
    <row r="1250" spans="1:18" x14ac:dyDescent="0.25">
      <c r="A1250" s="20" t="s">
        <v>21</v>
      </c>
      <c r="B1250" s="42"/>
      <c r="C1250" s="43">
        <v>100000</v>
      </c>
      <c r="D1250" s="43">
        <v>50000</v>
      </c>
      <c r="E1250" s="43">
        <v>100000</v>
      </c>
      <c r="F1250" s="43">
        <v>50000</v>
      </c>
      <c r="G1250" s="15">
        <f t="shared" si="471"/>
        <v>300000</v>
      </c>
      <c r="H1250" s="16"/>
      <c r="I1250" s="26"/>
      <c r="J1250" s="25"/>
      <c r="K1250" s="26"/>
      <c r="L1250" s="26"/>
      <c r="M1250" s="25"/>
      <c r="N1250" s="25"/>
      <c r="O1250" s="25"/>
      <c r="P1250" s="25"/>
      <c r="Q1250" s="25"/>
      <c r="R1250" s="60">
        <f t="shared" si="472"/>
        <v>300000</v>
      </c>
    </row>
    <row r="1251" spans="1:18" x14ac:dyDescent="0.25">
      <c r="A1251" s="20" t="s">
        <v>22</v>
      </c>
      <c r="B1251" s="42"/>
      <c r="C1251" s="43">
        <v>100000</v>
      </c>
      <c r="D1251" s="43">
        <v>50000</v>
      </c>
      <c r="E1251" s="43">
        <v>100000</v>
      </c>
      <c r="F1251" s="43">
        <v>50000</v>
      </c>
      <c r="G1251" s="15">
        <f t="shared" si="471"/>
        <v>300000</v>
      </c>
      <c r="H1251" s="16"/>
      <c r="I1251" s="26"/>
      <c r="J1251" s="25"/>
      <c r="K1251" s="26"/>
      <c r="L1251" s="26"/>
      <c r="M1251" s="25"/>
      <c r="N1251" s="25"/>
      <c r="O1251" s="25"/>
      <c r="P1251" s="25"/>
      <c r="Q1251" s="25"/>
      <c r="R1251" s="60">
        <f t="shared" si="472"/>
        <v>300000</v>
      </c>
    </row>
    <row r="1252" spans="1:18" x14ac:dyDescent="0.25">
      <c r="A1252" s="20" t="s">
        <v>23</v>
      </c>
      <c r="B1252" s="42"/>
      <c r="C1252" s="43">
        <v>100000</v>
      </c>
      <c r="D1252" s="43">
        <v>50000</v>
      </c>
      <c r="E1252" s="43">
        <v>100000</v>
      </c>
      <c r="F1252" s="43">
        <v>50000</v>
      </c>
      <c r="G1252" s="15">
        <f t="shared" si="471"/>
        <v>300000</v>
      </c>
      <c r="H1252" s="16"/>
      <c r="I1252" s="26"/>
      <c r="J1252" s="25"/>
      <c r="K1252" s="26"/>
      <c r="L1252" s="26"/>
      <c r="M1252" s="25"/>
      <c r="N1252" s="25"/>
      <c r="O1252" s="25"/>
      <c r="P1252" s="25"/>
      <c r="Q1252" s="25"/>
      <c r="R1252" s="60">
        <f t="shared" si="472"/>
        <v>300000</v>
      </c>
    </row>
    <row r="1253" spans="1:18" x14ac:dyDescent="0.25">
      <c r="A1253" s="20" t="s">
        <v>24</v>
      </c>
      <c r="B1253" s="42"/>
      <c r="C1253" s="43">
        <v>100000</v>
      </c>
      <c r="D1253" s="43">
        <v>50000</v>
      </c>
      <c r="E1253" s="43">
        <v>100000</v>
      </c>
      <c r="F1253" s="43">
        <v>50000</v>
      </c>
      <c r="G1253" s="15">
        <f t="shared" si="471"/>
        <v>300000</v>
      </c>
      <c r="H1253" s="16"/>
      <c r="I1253" s="26"/>
      <c r="J1253" s="25"/>
      <c r="K1253" s="26"/>
      <c r="L1253" s="26"/>
      <c r="M1253" s="25"/>
      <c r="N1253" s="25"/>
      <c r="O1253" s="25"/>
      <c r="P1253" s="25"/>
      <c r="Q1253" s="25"/>
      <c r="R1253" s="60">
        <f t="shared" si="472"/>
        <v>300000</v>
      </c>
    </row>
    <row r="1254" spans="1:18" x14ac:dyDescent="0.25">
      <c r="A1254" s="20" t="s">
        <v>25</v>
      </c>
      <c r="B1254" s="42"/>
      <c r="C1254" s="43">
        <v>100000</v>
      </c>
      <c r="D1254" s="43">
        <v>50000</v>
      </c>
      <c r="E1254" s="43">
        <v>100000</v>
      </c>
      <c r="F1254" s="43">
        <v>50000</v>
      </c>
      <c r="G1254" s="15">
        <f t="shared" si="471"/>
        <v>300000</v>
      </c>
      <c r="H1254" s="16"/>
      <c r="I1254" s="26"/>
      <c r="J1254" s="25"/>
      <c r="K1254" s="26"/>
      <c r="L1254" s="26"/>
      <c r="M1254" s="25"/>
      <c r="N1254" s="25"/>
      <c r="O1254" s="25"/>
      <c r="P1254" s="25"/>
      <c r="Q1254" s="25"/>
      <c r="R1254" s="60">
        <f t="shared" si="472"/>
        <v>300000</v>
      </c>
    </row>
    <row r="1255" spans="1:18" x14ac:dyDescent="0.25">
      <c r="A1255" s="20" t="s">
        <v>26</v>
      </c>
      <c r="B1255" s="42"/>
      <c r="C1255" s="43">
        <v>100000</v>
      </c>
      <c r="D1255" s="43">
        <v>50000</v>
      </c>
      <c r="E1255" s="43">
        <v>100000</v>
      </c>
      <c r="F1255" s="43">
        <v>50000</v>
      </c>
      <c r="G1255" s="15">
        <f t="shared" si="471"/>
        <v>300000</v>
      </c>
      <c r="H1255" s="16"/>
      <c r="I1255" s="26"/>
      <c r="J1255" s="25"/>
      <c r="K1255" s="26"/>
      <c r="L1255" s="26"/>
      <c r="M1255" s="25"/>
      <c r="N1255" s="25"/>
      <c r="O1255" s="25"/>
      <c r="P1255" s="25"/>
      <c r="Q1255" s="25"/>
      <c r="R1255" s="60">
        <f t="shared" si="472"/>
        <v>300000</v>
      </c>
    </row>
    <row r="1256" spans="1:18" ht="15.75" thickBot="1" x14ac:dyDescent="0.3">
      <c r="A1256" s="12" t="s">
        <v>15</v>
      </c>
      <c r="B1256" s="44"/>
      <c r="C1256" s="43">
        <v>100000</v>
      </c>
      <c r="D1256" s="43">
        <v>50000</v>
      </c>
      <c r="E1256" s="43">
        <v>100000</v>
      </c>
      <c r="F1256" s="43">
        <v>50000</v>
      </c>
      <c r="G1256" s="15">
        <f t="shared" si="471"/>
        <v>300000</v>
      </c>
      <c r="H1256" s="16"/>
      <c r="I1256" s="26"/>
      <c r="J1256" s="25"/>
      <c r="K1256" s="26"/>
      <c r="L1256" s="26"/>
      <c r="M1256" s="25"/>
      <c r="N1256" s="25"/>
      <c r="O1256" s="25"/>
      <c r="P1256" s="25"/>
      <c r="Q1256" s="25"/>
      <c r="R1256" s="60">
        <f t="shared" si="472"/>
        <v>300000</v>
      </c>
    </row>
    <row r="1257" spans="1:18" ht="15.75" thickBot="1" x14ac:dyDescent="0.3">
      <c r="A1257" s="29" t="s">
        <v>0</v>
      </c>
      <c r="B1257" s="30">
        <f t="shared" ref="B1257:G1257" si="473">SUM(B1244:B1256)</f>
        <v>100000</v>
      </c>
      <c r="C1257" s="30">
        <f t="shared" si="473"/>
        <v>1800000</v>
      </c>
      <c r="D1257" s="30">
        <f t="shared" si="473"/>
        <v>900000</v>
      </c>
      <c r="E1257" s="30">
        <f t="shared" si="473"/>
        <v>800000</v>
      </c>
      <c r="F1257" s="30">
        <f t="shared" si="473"/>
        <v>900000</v>
      </c>
      <c r="G1257" s="31">
        <f t="shared" si="473"/>
        <v>4500000</v>
      </c>
      <c r="H1257" s="32"/>
      <c r="I1257" s="71" t="s">
        <v>27</v>
      </c>
      <c r="J1257" s="72"/>
      <c r="K1257" s="33">
        <f>SUM(K1244:K1256)</f>
        <v>0</v>
      </c>
      <c r="L1257" s="34"/>
      <c r="M1257" s="71" t="s">
        <v>28</v>
      </c>
      <c r="N1257" s="73"/>
      <c r="O1257" s="72"/>
      <c r="P1257" s="33">
        <f>SUM(P1244:P1256)</f>
        <v>0</v>
      </c>
      <c r="Q1257" s="34"/>
      <c r="R1257" s="65"/>
    </row>
    <row r="1258" spans="1:18" ht="15.75" thickBot="1" x14ac:dyDescent="0.3"/>
    <row r="1259" spans="1:18" ht="15.75" thickBot="1" x14ac:dyDescent="0.3">
      <c r="A1259" s="2">
        <v>75</v>
      </c>
      <c r="B1259" s="74" t="s">
        <v>45</v>
      </c>
      <c r="C1259" s="75"/>
      <c r="D1259" s="75"/>
      <c r="E1259" s="75"/>
      <c r="F1259" s="76"/>
      <c r="G1259" s="3" t="s">
        <v>0</v>
      </c>
      <c r="H1259" s="77" t="s">
        <v>1</v>
      </c>
      <c r="I1259" s="78"/>
      <c r="J1259" s="78"/>
      <c r="K1259" s="78"/>
      <c r="L1259" s="79"/>
      <c r="M1259" s="80" t="s">
        <v>2</v>
      </c>
      <c r="N1259" s="78"/>
      <c r="O1259" s="78"/>
      <c r="P1259" s="78"/>
      <c r="Q1259" s="79"/>
      <c r="R1259" s="69" t="s">
        <v>29</v>
      </c>
    </row>
    <row r="1260" spans="1:18" x14ac:dyDescent="0.25">
      <c r="A1260" s="4" t="s">
        <v>4</v>
      </c>
      <c r="B1260" s="5" t="s">
        <v>5</v>
      </c>
      <c r="C1260" s="6" t="s">
        <v>6</v>
      </c>
      <c r="D1260" s="6" t="s">
        <v>7</v>
      </c>
      <c r="E1260" s="5" t="s">
        <v>8</v>
      </c>
      <c r="F1260" s="5" t="s">
        <v>9</v>
      </c>
      <c r="G1260" s="7" t="s">
        <v>10</v>
      </c>
      <c r="H1260" s="8" t="s">
        <v>11</v>
      </c>
      <c r="I1260" s="9" t="s">
        <v>0</v>
      </c>
      <c r="J1260" s="9" t="s">
        <v>12</v>
      </c>
      <c r="K1260" s="9" t="s">
        <v>13</v>
      </c>
      <c r="L1260" s="10" t="s">
        <v>14</v>
      </c>
      <c r="M1260" s="9" t="s">
        <v>11</v>
      </c>
      <c r="N1260" s="9" t="s">
        <v>0</v>
      </c>
      <c r="O1260" s="9" t="s">
        <v>12</v>
      </c>
      <c r="P1260" s="9" t="s">
        <v>13</v>
      </c>
      <c r="Q1260" s="10" t="s">
        <v>14</v>
      </c>
      <c r="R1260" s="70"/>
    </row>
    <row r="1261" spans="1:18" x14ac:dyDescent="0.25">
      <c r="A1261" s="12" t="s">
        <v>15</v>
      </c>
      <c r="B1261" s="41">
        <v>100000</v>
      </c>
      <c r="C1261" s="41">
        <v>600000</v>
      </c>
      <c r="D1261" s="41">
        <v>300000</v>
      </c>
      <c r="E1261" s="41">
        <v>600000</v>
      </c>
      <c r="F1261" s="41">
        <v>600000</v>
      </c>
      <c r="G1261" s="15">
        <f t="shared" ref="G1261:G1273" si="474">SUM(B1261:F1261)</f>
        <v>2200000</v>
      </c>
      <c r="H1261" s="16"/>
      <c r="I1261" s="17"/>
      <c r="J1261" s="18">
        <v>0</v>
      </c>
      <c r="K1261" s="17"/>
      <c r="L1261" s="17"/>
      <c r="M1261" s="17"/>
      <c r="N1261" s="17"/>
      <c r="O1261" s="17">
        <v>0</v>
      </c>
      <c r="P1261" s="17"/>
      <c r="Q1261" s="17"/>
      <c r="R1261" s="60"/>
    </row>
    <row r="1262" spans="1:18" x14ac:dyDescent="0.25">
      <c r="A1262" s="20" t="s">
        <v>16</v>
      </c>
      <c r="B1262" s="41"/>
      <c r="C1262" s="43">
        <v>100000</v>
      </c>
      <c r="D1262" s="43">
        <v>50000</v>
      </c>
      <c r="E1262" s="43">
        <v>100000</v>
      </c>
      <c r="F1262" s="43">
        <v>100000</v>
      </c>
      <c r="G1262" s="15">
        <f t="shared" si="474"/>
        <v>350000</v>
      </c>
      <c r="H1262" s="16"/>
      <c r="I1262" s="26"/>
      <c r="J1262" s="25"/>
      <c r="K1262" s="26"/>
      <c r="L1262" s="26"/>
      <c r="M1262" s="25"/>
      <c r="N1262" s="25"/>
      <c r="O1262" s="25"/>
      <c r="P1262" s="25"/>
      <c r="Q1262" s="25"/>
      <c r="R1262" s="60">
        <f>G1262</f>
        <v>350000</v>
      </c>
    </row>
    <row r="1263" spans="1:18" x14ac:dyDescent="0.25">
      <c r="A1263" s="20" t="s">
        <v>17</v>
      </c>
      <c r="B1263" s="42"/>
      <c r="C1263" s="43">
        <v>100000</v>
      </c>
      <c r="D1263" s="43">
        <v>50000</v>
      </c>
      <c r="E1263" s="43">
        <v>100000</v>
      </c>
      <c r="F1263" s="43">
        <v>100000</v>
      </c>
      <c r="G1263" s="15">
        <f t="shared" si="474"/>
        <v>350000</v>
      </c>
      <c r="H1263" s="16" t="s">
        <v>35</v>
      </c>
      <c r="I1263" s="26"/>
      <c r="J1263" s="25"/>
      <c r="K1263" s="26"/>
      <c r="L1263" s="26"/>
      <c r="M1263" s="25"/>
      <c r="N1263" s="25"/>
      <c r="O1263" s="25"/>
      <c r="P1263" s="25"/>
      <c r="Q1263" s="25"/>
      <c r="R1263" s="60">
        <f t="shared" ref="R1263:R1273" si="475">G1263</f>
        <v>350000</v>
      </c>
    </row>
    <row r="1264" spans="1:18" x14ac:dyDescent="0.25">
      <c r="A1264" s="20" t="s">
        <v>18</v>
      </c>
      <c r="B1264" s="42"/>
      <c r="C1264" s="43">
        <v>100000</v>
      </c>
      <c r="D1264" s="43">
        <v>50000</v>
      </c>
      <c r="E1264" s="43">
        <v>100000</v>
      </c>
      <c r="F1264" s="43">
        <v>100000</v>
      </c>
      <c r="G1264" s="15">
        <f t="shared" si="474"/>
        <v>350000</v>
      </c>
      <c r="H1264" s="16"/>
      <c r="I1264" s="26"/>
      <c r="J1264" s="25"/>
      <c r="K1264" s="26"/>
      <c r="L1264" s="26"/>
      <c r="M1264" s="25"/>
      <c r="N1264" s="25"/>
      <c r="O1264" s="25"/>
      <c r="P1264" s="25"/>
      <c r="Q1264" s="25"/>
      <c r="R1264" s="60">
        <f t="shared" si="475"/>
        <v>350000</v>
      </c>
    </row>
    <row r="1265" spans="1:18" x14ac:dyDescent="0.25">
      <c r="A1265" s="20" t="s">
        <v>19</v>
      </c>
      <c r="B1265" s="42"/>
      <c r="C1265" s="43">
        <v>100000</v>
      </c>
      <c r="D1265" s="43">
        <v>50000</v>
      </c>
      <c r="E1265" s="43">
        <v>-900000</v>
      </c>
      <c r="F1265" s="43">
        <v>100000</v>
      </c>
      <c r="G1265" s="15">
        <f t="shared" si="474"/>
        <v>-650000</v>
      </c>
      <c r="H1265" s="16"/>
      <c r="I1265" s="26"/>
      <c r="J1265" s="25"/>
      <c r="K1265" s="26"/>
      <c r="L1265" s="26"/>
      <c r="M1265" s="25"/>
      <c r="N1265" s="25"/>
      <c r="O1265" s="25"/>
      <c r="P1265" s="25"/>
      <c r="Q1265" s="25"/>
      <c r="R1265" s="60">
        <f t="shared" si="475"/>
        <v>-650000</v>
      </c>
    </row>
    <row r="1266" spans="1:18" x14ac:dyDescent="0.25">
      <c r="A1266" s="20" t="s">
        <v>20</v>
      </c>
      <c r="B1266" s="42"/>
      <c r="C1266" s="43">
        <v>100000</v>
      </c>
      <c r="D1266" s="43">
        <v>50000</v>
      </c>
      <c r="E1266" s="43">
        <v>100000</v>
      </c>
      <c r="F1266" s="43">
        <v>100000</v>
      </c>
      <c r="G1266" s="15">
        <f t="shared" si="474"/>
        <v>350000</v>
      </c>
      <c r="H1266" s="16"/>
      <c r="I1266" s="26"/>
      <c r="J1266" s="25"/>
      <c r="K1266" s="26"/>
      <c r="L1266" s="26"/>
      <c r="M1266" s="25"/>
      <c r="N1266" s="25"/>
      <c r="O1266" s="25"/>
      <c r="P1266" s="25"/>
      <c r="Q1266" s="25"/>
      <c r="R1266" s="60">
        <f t="shared" si="475"/>
        <v>350000</v>
      </c>
    </row>
    <row r="1267" spans="1:18" x14ac:dyDescent="0.25">
      <c r="A1267" s="20" t="s">
        <v>21</v>
      </c>
      <c r="B1267" s="42"/>
      <c r="C1267" s="43">
        <v>100000</v>
      </c>
      <c r="D1267" s="43">
        <v>50000</v>
      </c>
      <c r="E1267" s="43">
        <v>100000</v>
      </c>
      <c r="F1267" s="43">
        <v>100000</v>
      </c>
      <c r="G1267" s="15">
        <f t="shared" si="474"/>
        <v>350000</v>
      </c>
      <c r="H1267" s="16"/>
      <c r="I1267" s="26"/>
      <c r="J1267" s="25"/>
      <c r="K1267" s="26"/>
      <c r="L1267" s="26"/>
      <c r="M1267" s="25"/>
      <c r="N1267" s="25"/>
      <c r="O1267" s="25"/>
      <c r="P1267" s="25"/>
      <c r="Q1267" s="25"/>
      <c r="R1267" s="60">
        <f t="shared" si="475"/>
        <v>350000</v>
      </c>
    </row>
    <row r="1268" spans="1:18" x14ac:dyDescent="0.25">
      <c r="A1268" s="20" t="s">
        <v>22</v>
      </c>
      <c r="B1268" s="42"/>
      <c r="C1268" s="43">
        <v>100000</v>
      </c>
      <c r="D1268" s="43">
        <v>50000</v>
      </c>
      <c r="E1268" s="43">
        <v>100000</v>
      </c>
      <c r="F1268" s="43">
        <v>100000</v>
      </c>
      <c r="G1268" s="15">
        <f t="shared" si="474"/>
        <v>350000</v>
      </c>
      <c r="H1268" s="16"/>
      <c r="I1268" s="26"/>
      <c r="J1268" s="25"/>
      <c r="K1268" s="26"/>
      <c r="L1268" s="26"/>
      <c r="M1268" s="25"/>
      <c r="N1268" s="25"/>
      <c r="O1268" s="25"/>
      <c r="P1268" s="25"/>
      <c r="Q1268" s="25"/>
      <c r="R1268" s="60">
        <f t="shared" si="475"/>
        <v>350000</v>
      </c>
    </row>
    <row r="1269" spans="1:18" x14ac:dyDescent="0.25">
      <c r="A1269" s="20" t="s">
        <v>23</v>
      </c>
      <c r="B1269" s="42"/>
      <c r="C1269" s="43">
        <v>100000</v>
      </c>
      <c r="D1269" s="43">
        <v>50000</v>
      </c>
      <c r="E1269" s="43">
        <v>100000</v>
      </c>
      <c r="F1269" s="43">
        <v>100000</v>
      </c>
      <c r="G1269" s="15">
        <f t="shared" si="474"/>
        <v>350000</v>
      </c>
      <c r="H1269" s="16"/>
      <c r="I1269" s="26"/>
      <c r="J1269" s="25"/>
      <c r="K1269" s="26"/>
      <c r="L1269" s="26"/>
      <c r="M1269" s="25"/>
      <c r="N1269" s="25"/>
      <c r="O1269" s="25"/>
      <c r="P1269" s="25"/>
      <c r="Q1269" s="25"/>
      <c r="R1269" s="60">
        <f t="shared" si="475"/>
        <v>350000</v>
      </c>
    </row>
    <row r="1270" spans="1:18" x14ac:dyDescent="0.25">
      <c r="A1270" s="20" t="s">
        <v>24</v>
      </c>
      <c r="B1270" s="42"/>
      <c r="C1270" s="43">
        <v>100000</v>
      </c>
      <c r="D1270" s="43">
        <v>50000</v>
      </c>
      <c r="E1270" s="43">
        <v>100000</v>
      </c>
      <c r="F1270" s="43">
        <v>100000</v>
      </c>
      <c r="G1270" s="15">
        <f t="shared" si="474"/>
        <v>350000</v>
      </c>
      <c r="H1270" s="16"/>
      <c r="I1270" s="26"/>
      <c r="J1270" s="25"/>
      <c r="K1270" s="26"/>
      <c r="L1270" s="26"/>
      <c r="M1270" s="25"/>
      <c r="N1270" s="25"/>
      <c r="O1270" s="25"/>
      <c r="P1270" s="25"/>
      <c r="Q1270" s="25"/>
      <c r="R1270" s="60">
        <f t="shared" si="475"/>
        <v>350000</v>
      </c>
    </row>
    <row r="1271" spans="1:18" x14ac:dyDescent="0.25">
      <c r="A1271" s="20" t="s">
        <v>25</v>
      </c>
      <c r="B1271" s="42"/>
      <c r="C1271" s="43">
        <v>100000</v>
      </c>
      <c r="D1271" s="43">
        <v>50000</v>
      </c>
      <c r="E1271" s="43">
        <v>100000</v>
      </c>
      <c r="F1271" s="43">
        <v>100000</v>
      </c>
      <c r="G1271" s="15">
        <f t="shared" si="474"/>
        <v>350000</v>
      </c>
      <c r="H1271" s="16"/>
      <c r="I1271" s="26"/>
      <c r="J1271" s="25"/>
      <c r="K1271" s="26"/>
      <c r="L1271" s="26"/>
      <c r="M1271" s="25"/>
      <c r="N1271" s="25"/>
      <c r="O1271" s="25"/>
      <c r="P1271" s="25"/>
      <c r="Q1271" s="25"/>
      <c r="R1271" s="60">
        <f t="shared" si="475"/>
        <v>350000</v>
      </c>
    </row>
    <row r="1272" spans="1:18" x14ac:dyDescent="0.25">
      <c r="A1272" s="20" t="s">
        <v>26</v>
      </c>
      <c r="B1272" s="42"/>
      <c r="C1272" s="43">
        <v>100000</v>
      </c>
      <c r="D1272" s="43">
        <v>50000</v>
      </c>
      <c r="E1272" s="43">
        <v>100000</v>
      </c>
      <c r="F1272" s="43">
        <v>100000</v>
      </c>
      <c r="G1272" s="15">
        <f t="shared" si="474"/>
        <v>350000</v>
      </c>
      <c r="H1272" s="16"/>
      <c r="I1272" s="26"/>
      <c r="J1272" s="25"/>
      <c r="K1272" s="26"/>
      <c r="L1272" s="26"/>
      <c r="M1272" s="25"/>
      <c r="N1272" s="25"/>
      <c r="O1272" s="25"/>
      <c r="P1272" s="25"/>
      <c r="Q1272" s="25"/>
      <c r="R1272" s="60">
        <f t="shared" si="475"/>
        <v>350000</v>
      </c>
    </row>
    <row r="1273" spans="1:18" ht="15.75" thickBot="1" x14ac:dyDescent="0.3">
      <c r="A1273" s="12" t="s">
        <v>15</v>
      </c>
      <c r="B1273" s="44"/>
      <c r="C1273" s="43">
        <v>100000</v>
      </c>
      <c r="D1273" s="43">
        <v>50000</v>
      </c>
      <c r="E1273" s="43">
        <v>100000</v>
      </c>
      <c r="F1273" s="43">
        <v>100000</v>
      </c>
      <c r="G1273" s="15">
        <f t="shared" si="474"/>
        <v>350000</v>
      </c>
      <c r="H1273" s="16"/>
      <c r="I1273" s="26"/>
      <c r="J1273" s="25"/>
      <c r="K1273" s="26"/>
      <c r="L1273" s="26"/>
      <c r="M1273" s="25"/>
      <c r="N1273" s="25"/>
      <c r="O1273" s="25"/>
      <c r="P1273" s="25"/>
      <c r="Q1273" s="25"/>
      <c r="R1273" s="60">
        <f t="shared" si="475"/>
        <v>350000</v>
      </c>
    </row>
    <row r="1274" spans="1:18" ht="15.75" thickBot="1" x14ac:dyDescent="0.3">
      <c r="A1274" s="29" t="s">
        <v>0</v>
      </c>
      <c r="B1274" s="30">
        <f t="shared" ref="B1274:G1274" si="476">SUM(B1261:B1273)</f>
        <v>100000</v>
      </c>
      <c r="C1274" s="30">
        <f t="shared" si="476"/>
        <v>1800000</v>
      </c>
      <c r="D1274" s="30">
        <f t="shared" si="476"/>
        <v>900000</v>
      </c>
      <c r="E1274" s="30">
        <f t="shared" si="476"/>
        <v>800000</v>
      </c>
      <c r="F1274" s="30">
        <f t="shared" si="476"/>
        <v>1800000</v>
      </c>
      <c r="G1274" s="31">
        <f t="shared" si="476"/>
        <v>5400000</v>
      </c>
      <c r="H1274" s="32"/>
      <c r="I1274" s="71" t="s">
        <v>27</v>
      </c>
      <c r="J1274" s="72"/>
      <c r="K1274" s="33">
        <f>SUM(K1261:K1273)</f>
        <v>0</v>
      </c>
      <c r="L1274" s="34"/>
      <c r="M1274" s="71" t="s">
        <v>28</v>
      </c>
      <c r="N1274" s="73"/>
      <c r="O1274" s="72"/>
      <c r="P1274" s="33">
        <f>SUM(P1261:P1273)</f>
        <v>0</v>
      </c>
      <c r="Q1274" s="34"/>
      <c r="R1274" s="65"/>
    </row>
    <row r="1275" spans="1:18" ht="15.75" thickBot="1" x14ac:dyDescent="0.3"/>
    <row r="1276" spans="1:18" ht="15.75" thickBot="1" x14ac:dyDescent="0.3">
      <c r="A1276" s="2">
        <v>76</v>
      </c>
      <c r="B1276" s="74" t="s">
        <v>47</v>
      </c>
      <c r="C1276" s="75"/>
      <c r="D1276" s="75"/>
      <c r="E1276" s="75"/>
      <c r="F1276" s="76"/>
      <c r="G1276" s="3" t="s">
        <v>0</v>
      </c>
      <c r="H1276" s="77" t="s">
        <v>1</v>
      </c>
      <c r="I1276" s="78"/>
      <c r="J1276" s="78"/>
      <c r="K1276" s="78"/>
      <c r="L1276" s="79"/>
      <c r="M1276" s="80" t="s">
        <v>2</v>
      </c>
      <c r="N1276" s="78"/>
      <c r="O1276" s="78"/>
      <c r="P1276" s="78"/>
      <c r="Q1276" s="79"/>
      <c r="R1276" s="69" t="s">
        <v>29</v>
      </c>
    </row>
    <row r="1277" spans="1:18" x14ac:dyDescent="0.25">
      <c r="A1277" s="4" t="s">
        <v>4</v>
      </c>
      <c r="B1277" s="5" t="s">
        <v>5</v>
      </c>
      <c r="C1277" s="6" t="s">
        <v>6</v>
      </c>
      <c r="D1277" s="6" t="s">
        <v>7</v>
      </c>
      <c r="E1277" s="5" t="s">
        <v>8</v>
      </c>
      <c r="F1277" s="5" t="s">
        <v>9</v>
      </c>
      <c r="G1277" s="7" t="s">
        <v>10</v>
      </c>
      <c r="H1277" s="8" t="s">
        <v>11</v>
      </c>
      <c r="I1277" s="9" t="s">
        <v>0</v>
      </c>
      <c r="J1277" s="9" t="s">
        <v>12</v>
      </c>
      <c r="K1277" s="9" t="s">
        <v>13</v>
      </c>
      <c r="L1277" s="10" t="s">
        <v>14</v>
      </c>
      <c r="M1277" s="9" t="s">
        <v>11</v>
      </c>
      <c r="N1277" s="9" t="s">
        <v>0</v>
      </c>
      <c r="O1277" s="9" t="s">
        <v>12</v>
      </c>
      <c r="P1277" s="9" t="s">
        <v>13</v>
      </c>
      <c r="Q1277" s="10" t="s">
        <v>14</v>
      </c>
      <c r="R1277" s="70"/>
    </row>
    <row r="1278" spans="1:18" x14ac:dyDescent="0.25">
      <c r="A1278" s="12" t="s">
        <v>15</v>
      </c>
      <c r="B1278" s="41">
        <v>25000</v>
      </c>
      <c r="C1278" s="41">
        <v>30000</v>
      </c>
      <c r="D1278" s="41">
        <v>20000</v>
      </c>
      <c r="E1278" s="41">
        <v>0</v>
      </c>
      <c r="F1278" s="41">
        <v>0</v>
      </c>
      <c r="G1278" s="15">
        <f t="shared" ref="G1278:G1290" si="477">SUM(B1278:F1278)</f>
        <v>75000</v>
      </c>
      <c r="H1278" s="16"/>
      <c r="I1278" s="17"/>
      <c r="J1278" s="18">
        <v>0</v>
      </c>
      <c r="K1278" s="17"/>
      <c r="L1278" s="17"/>
      <c r="M1278" s="17"/>
      <c r="N1278" s="17"/>
      <c r="O1278" s="17">
        <v>0</v>
      </c>
      <c r="P1278" s="17"/>
      <c r="Q1278" s="17"/>
      <c r="R1278" s="60"/>
    </row>
    <row r="1279" spans="1:18" x14ac:dyDescent="0.25">
      <c r="A1279" s="20" t="s">
        <v>16</v>
      </c>
      <c r="B1279" s="41"/>
      <c r="C1279" s="43">
        <v>15000</v>
      </c>
      <c r="D1279" s="43">
        <v>10000</v>
      </c>
      <c r="E1279" s="43">
        <v>50000</v>
      </c>
      <c r="F1279" s="43">
        <v>25000</v>
      </c>
      <c r="G1279" s="15">
        <f t="shared" si="477"/>
        <v>100000</v>
      </c>
      <c r="H1279" s="16"/>
      <c r="I1279" s="26"/>
      <c r="J1279" s="25"/>
      <c r="K1279" s="26"/>
      <c r="L1279" s="26"/>
      <c r="M1279" s="25"/>
      <c r="N1279" s="25"/>
      <c r="O1279" s="25"/>
      <c r="P1279" s="25"/>
      <c r="Q1279" s="25"/>
      <c r="R1279" s="60">
        <f>G1279</f>
        <v>100000</v>
      </c>
    </row>
    <row r="1280" spans="1:18" x14ac:dyDescent="0.25">
      <c r="A1280" s="20" t="s">
        <v>17</v>
      </c>
      <c r="B1280" s="42"/>
      <c r="C1280" s="43">
        <v>15000</v>
      </c>
      <c r="D1280" s="43">
        <v>10000</v>
      </c>
      <c r="E1280" s="43">
        <v>25000</v>
      </c>
      <c r="F1280" s="43">
        <v>1200000</v>
      </c>
      <c r="G1280" s="15">
        <f t="shared" si="477"/>
        <v>1250000</v>
      </c>
      <c r="H1280" s="16" t="s">
        <v>35</v>
      </c>
      <c r="I1280" s="26"/>
      <c r="J1280" s="25"/>
      <c r="K1280" s="26"/>
      <c r="L1280" s="26"/>
      <c r="M1280" s="25"/>
      <c r="N1280" s="25"/>
      <c r="O1280" s="25"/>
      <c r="P1280" s="25"/>
      <c r="Q1280" s="25"/>
      <c r="R1280" s="60">
        <f t="shared" ref="R1280:R1290" si="478">G1280</f>
        <v>1250000</v>
      </c>
    </row>
    <row r="1281" spans="1:18" x14ac:dyDescent="0.25">
      <c r="A1281" s="20" t="s">
        <v>18</v>
      </c>
      <c r="B1281" s="42"/>
      <c r="C1281" s="43">
        <v>15000</v>
      </c>
      <c r="D1281" s="43">
        <v>10000</v>
      </c>
      <c r="E1281" s="43">
        <v>25000</v>
      </c>
      <c r="F1281" s="43">
        <v>600000</v>
      </c>
      <c r="G1281" s="15">
        <f t="shared" si="477"/>
        <v>650000</v>
      </c>
      <c r="H1281" s="16"/>
      <c r="I1281" s="26"/>
      <c r="J1281" s="25"/>
      <c r="K1281" s="26"/>
      <c r="L1281" s="26"/>
      <c r="M1281" s="25"/>
      <c r="N1281" s="25"/>
      <c r="O1281" s="25"/>
      <c r="P1281" s="25"/>
      <c r="Q1281" s="25"/>
      <c r="R1281" s="60">
        <f t="shared" si="478"/>
        <v>650000</v>
      </c>
    </row>
    <row r="1282" spans="1:18" x14ac:dyDescent="0.25">
      <c r="A1282" s="20" t="s">
        <v>19</v>
      </c>
      <c r="B1282" s="42"/>
      <c r="C1282" s="43">
        <v>15000</v>
      </c>
      <c r="D1282" s="43">
        <v>10000</v>
      </c>
      <c r="E1282" s="43">
        <v>25000</v>
      </c>
      <c r="F1282" s="43">
        <v>600000</v>
      </c>
      <c r="G1282" s="15">
        <f t="shared" si="477"/>
        <v>650000</v>
      </c>
      <c r="H1282" s="16"/>
      <c r="I1282" s="26"/>
      <c r="J1282" s="25"/>
      <c r="K1282" s="26"/>
      <c r="L1282" s="26"/>
      <c r="M1282" s="25"/>
      <c r="N1282" s="25"/>
      <c r="O1282" s="25"/>
      <c r="P1282" s="25"/>
      <c r="Q1282" s="25"/>
      <c r="R1282" s="60">
        <f t="shared" si="478"/>
        <v>650000</v>
      </c>
    </row>
    <row r="1283" spans="1:18" x14ac:dyDescent="0.25">
      <c r="A1283" s="20" t="s">
        <v>20</v>
      </c>
      <c r="B1283" s="42"/>
      <c r="C1283" s="43">
        <v>15000</v>
      </c>
      <c r="D1283" s="43">
        <v>10000</v>
      </c>
      <c r="E1283" s="43">
        <v>25000</v>
      </c>
      <c r="F1283" s="43">
        <v>600000</v>
      </c>
      <c r="G1283" s="15">
        <f t="shared" si="477"/>
        <v>650000</v>
      </c>
      <c r="H1283" s="16"/>
      <c r="I1283" s="26"/>
      <c r="J1283" s="25"/>
      <c r="K1283" s="26"/>
      <c r="L1283" s="26"/>
      <c r="M1283" s="25"/>
      <c r="N1283" s="25"/>
      <c r="O1283" s="25"/>
      <c r="P1283" s="25"/>
      <c r="Q1283" s="25"/>
      <c r="R1283" s="60">
        <f t="shared" si="478"/>
        <v>650000</v>
      </c>
    </row>
    <row r="1284" spans="1:18" x14ac:dyDescent="0.25">
      <c r="A1284" s="20" t="s">
        <v>21</v>
      </c>
      <c r="B1284" s="42"/>
      <c r="C1284" s="43">
        <v>15000</v>
      </c>
      <c r="D1284" s="43">
        <v>10000</v>
      </c>
      <c r="E1284" s="43">
        <v>25000</v>
      </c>
      <c r="F1284" s="43">
        <v>-2400000</v>
      </c>
      <c r="G1284" s="15">
        <f t="shared" si="477"/>
        <v>-2350000</v>
      </c>
      <c r="H1284" s="16"/>
      <c r="I1284" s="26"/>
      <c r="J1284" s="25"/>
      <c r="K1284" s="26"/>
      <c r="L1284" s="26"/>
      <c r="M1284" s="25"/>
      <c r="N1284" s="25"/>
      <c r="O1284" s="25"/>
      <c r="P1284" s="25"/>
      <c r="Q1284" s="25"/>
      <c r="R1284" s="60">
        <f t="shared" si="478"/>
        <v>-2350000</v>
      </c>
    </row>
    <row r="1285" spans="1:18" x14ac:dyDescent="0.25">
      <c r="A1285" s="20" t="s">
        <v>22</v>
      </c>
      <c r="B1285" s="42"/>
      <c r="C1285" s="43">
        <v>15000</v>
      </c>
      <c r="D1285" s="43">
        <v>10000</v>
      </c>
      <c r="E1285" s="43">
        <v>25000</v>
      </c>
      <c r="F1285" s="43">
        <v>600000</v>
      </c>
      <c r="G1285" s="15">
        <f t="shared" si="477"/>
        <v>650000</v>
      </c>
      <c r="H1285" s="16"/>
      <c r="I1285" s="26"/>
      <c r="J1285" s="25"/>
      <c r="K1285" s="26"/>
      <c r="L1285" s="26"/>
      <c r="M1285" s="25"/>
      <c r="N1285" s="25"/>
      <c r="O1285" s="25"/>
      <c r="P1285" s="25"/>
      <c r="Q1285" s="25"/>
      <c r="R1285" s="60">
        <f t="shared" si="478"/>
        <v>650000</v>
      </c>
    </row>
    <row r="1286" spans="1:18" x14ac:dyDescent="0.25">
      <c r="A1286" s="20" t="s">
        <v>23</v>
      </c>
      <c r="B1286" s="42"/>
      <c r="C1286" s="43">
        <v>15000</v>
      </c>
      <c r="D1286" s="43">
        <v>10000</v>
      </c>
      <c r="E1286" s="43">
        <v>25000</v>
      </c>
      <c r="F1286" s="43">
        <v>600000</v>
      </c>
      <c r="G1286" s="15">
        <f t="shared" si="477"/>
        <v>650000</v>
      </c>
      <c r="H1286" s="16"/>
      <c r="I1286" s="26"/>
      <c r="J1286" s="25"/>
      <c r="K1286" s="26"/>
      <c r="L1286" s="26"/>
      <c r="M1286" s="25"/>
      <c r="N1286" s="25"/>
      <c r="O1286" s="25"/>
      <c r="P1286" s="25"/>
      <c r="Q1286" s="25"/>
      <c r="R1286" s="60">
        <f t="shared" si="478"/>
        <v>650000</v>
      </c>
    </row>
    <row r="1287" spans="1:18" x14ac:dyDescent="0.25">
      <c r="A1287" s="20" t="s">
        <v>24</v>
      </c>
      <c r="B1287" s="42"/>
      <c r="C1287" s="43">
        <v>15000</v>
      </c>
      <c r="D1287" s="43">
        <v>10000</v>
      </c>
      <c r="E1287" s="43">
        <v>25000</v>
      </c>
      <c r="F1287" s="43">
        <v>600000</v>
      </c>
      <c r="G1287" s="15">
        <f t="shared" si="477"/>
        <v>650000</v>
      </c>
      <c r="H1287" s="16"/>
      <c r="I1287" s="26"/>
      <c r="J1287" s="25"/>
      <c r="K1287" s="26"/>
      <c r="L1287" s="26"/>
      <c r="M1287" s="25"/>
      <c r="N1287" s="25"/>
      <c r="O1287" s="25"/>
      <c r="P1287" s="25"/>
      <c r="Q1287" s="25"/>
      <c r="R1287" s="60">
        <f t="shared" si="478"/>
        <v>650000</v>
      </c>
    </row>
    <row r="1288" spans="1:18" x14ac:dyDescent="0.25">
      <c r="A1288" s="20" t="s">
        <v>25</v>
      </c>
      <c r="B1288" s="42"/>
      <c r="C1288" s="43">
        <v>15000</v>
      </c>
      <c r="D1288" s="43">
        <v>10000</v>
      </c>
      <c r="E1288" s="43">
        <v>25000</v>
      </c>
      <c r="F1288" s="43">
        <v>-1400000</v>
      </c>
      <c r="G1288" s="15">
        <f t="shared" si="477"/>
        <v>-1350000</v>
      </c>
      <c r="H1288" s="16"/>
      <c r="I1288" s="26"/>
      <c r="J1288" s="25"/>
      <c r="K1288" s="26"/>
      <c r="L1288" s="26"/>
      <c r="M1288" s="25"/>
      <c r="N1288" s="25"/>
      <c r="O1288" s="25"/>
      <c r="P1288" s="25"/>
      <c r="Q1288" s="25"/>
      <c r="R1288" s="60">
        <f t="shared" si="478"/>
        <v>-1350000</v>
      </c>
    </row>
    <row r="1289" spans="1:18" x14ac:dyDescent="0.25">
      <c r="A1289" s="20" t="s">
        <v>26</v>
      </c>
      <c r="B1289" s="42"/>
      <c r="C1289" s="43">
        <v>15000</v>
      </c>
      <c r="D1289" s="43">
        <v>10000</v>
      </c>
      <c r="E1289" s="43">
        <v>25000</v>
      </c>
      <c r="F1289" s="43">
        <v>100000</v>
      </c>
      <c r="G1289" s="15">
        <f t="shared" si="477"/>
        <v>150000</v>
      </c>
      <c r="H1289" s="16"/>
      <c r="I1289" s="26"/>
      <c r="J1289" s="25"/>
      <c r="K1289" s="26"/>
      <c r="L1289" s="26"/>
      <c r="M1289" s="25"/>
      <c r="N1289" s="25"/>
      <c r="O1289" s="25"/>
      <c r="P1289" s="25"/>
      <c r="Q1289" s="25"/>
      <c r="R1289" s="60">
        <f t="shared" si="478"/>
        <v>150000</v>
      </c>
    </row>
    <row r="1290" spans="1:18" ht="15.75" thickBot="1" x14ac:dyDescent="0.3">
      <c r="A1290" s="12" t="s">
        <v>15</v>
      </c>
      <c r="B1290" s="42"/>
      <c r="C1290" s="43">
        <v>15000</v>
      </c>
      <c r="D1290" s="43">
        <v>10000</v>
      </c>
      <c r="E1290" s="43">
        <v>25000</v>
      </c>
      <c r="F1290" s="43">
        <v>100000</v>
      </c>
      <c r="G1290" s="15">
        <f t="shared" si="477"/>
        <v>150000</v>
      </c>
      <c r="H1290" s="16"/>
      <c r="I1290" s="26"/>
      <c r="J1290" s="25"/>
      <c r="K1290" s="26"/>
      <c r="L1290" s="26"/>
      <c r="M1290" s="25"/>
      <c r="N1290" s="25"/>
      <c r="O1290" s="25"/>
      <c r="P1290" s="25"/>
      <c r="Q1290" s="25"/>
      <c r="R1290" s="60">
        <f t="shared" si="478"/>
        <v>150000</v>
      </c>
    </row>
    <row r="1291" spans="1:18" ht="15.75" thickBot="1" x14ac:dyDescent="0.3">
      <c r="A1291" s="29" t="s">
        <v>0</v>
      </c>
      <c r="B1291" s="30">
        <f t="shared" ref="B1291:G1291" si="479">SUM(B1278:B1290)</f>
        <v>25000</v>
      </c>
      <c r="C1291" s="30">
        <f t="shared" si="479"/>
        <v>210000</v>
      </c>
      <c r="D1291" s="30">
        <f t="shared" si="479"/>
        <v>140000</v>
      </c>
      <c r="E1291" s="30">
        <f t="shared" si="479"/>
        <v>325000</v>
      </c>
      <c r="F1291" s="30">
        <f>SUM(F1278:F1290)</f>
        <v>1225000</v>
      </c>
      <c r="G1291" s="31">
        <f t="shared" si="479"/>
        <v>1925000</v>
      </c>
      <c r="H1291" s="32"/>
      <c r="I1291" s="71" t="s">
        <v>27</v>
      </c>
      <c r="J1291" s="72"/>
      <c r="K1291" s="33">
        <f>SUM(K1278:K1290)</f>
        <v>0</v>
      </c>
      <c r="L1291" s="34"/>
      <c r="M1291" s="71" t="s">
        <v>28</v>
      </c>
      <c r="N1291" s="73"/>
      <c r="O1291" s="72"/>
      <c r="P1291" s="33">
        <f>SUM(P1278:P1290)</f>
        <v>0</v>
      </c>
      <c r="Q1291" s="34"/>
      <c r="R1291" s="65"/>
    </row>
    <row r="1292" spans="1:18" ht="15.75" thickBot="1" x14ac:dyDescent="0.3"/>
    <row r="1293" spans="1:18" ht="15.75" thickBot="1" x14ac:dyDescent="0.3">
      <c r="A1293" s="2">
        <v>76</v>
      </c>
      <c r="B1293" s="74" t="s">
        <v>51</v>
      </c>
      <c r="C1293" s="75"/>
      <c r="D1293" s="75"/>
      <c r="E1293" s="75"/>
      <c r="F1293" s="76"/>
      <c r="G1293" s="3" t="s">
        <v>0</v>
      </c>
      <c r="H1293" s="77" t="s">
        <v>1</v>
      </c>
      <c r="I1293" s="78"/>
      <c r="J1293" s="78"/>
      <c r="K1293" s="78"/>
      <c r="L1293" s="79"/>
      <c r="M1293" s="80" t="s">
        <v>2</v>
      </c>
      <c r="N1293" s="78"/>
      <c r="O1293" s="78"/>
      <c r="P1293" s="78"/>
      <c r="Q1293" s="79"/>
      <c r="R1293" s="69" t="s">
        <v>29</v>
      </c>
    </row>
    <row r="1294" spans="1:18" x14ac:dyDescent="0.25">
      <c r="A1294" s="4" t="s">
        <v>4</v>
      </c>
      <c r="B1294" s="5" t="s">
        <v>5</v>
      </c>
      <c r="C1294" s="6" t="s">
        <v>6</v>
      </c>
      <c r="D1294" s="6" t="s">
        <v>7</v>
      </c>
      <c r="E1294" s="5" t="s">
        <v>8</v>
      </c>
      <c r="F1294" s="5" t="s">
        <v>9</v>
      </c>
      <c r="G1294" s="7" t="s">
        <v>10</v>
      </c>
      <c r="H1294" s="8" t="s">
        <v>11</v>
      </c>
      <c r="I1294" s="9" t="s">
        <v>0</v>
      </c>
      <c r="J1294" s="9" t="s">
        <v>12</v>
      </c>
      <c r="K1294" s="9" t="s">
        <v>13</v>
      </c>
      <c r="L1294" s="10" t="s">
        <v>14</v>
      </c>
      <c r="M1294" s="9" t="s">
        <v>11</v>
      </c>
      <c r="N1294" s="9" t="s">
        <v>0</v>
      </c>
      <c r="O1294" s="9" t="s">
        <v>12</v>
      </c>
      <c r="P1294" s="9" t="s">
        <v>13</v>
      </c>
      <c r="Q1294" s="10" t="s">
        <v>14</v>
      </c>
      <c r="R1294" s="70"/>
    </row>
    <row r="1295" spans="1:18" x14ac:dyDescent="0.25">
      <c r="A1295" s="12" t="s">
        <v>15</v>
      </c>
      <c r="B1295" s="41"/>
      <c r="C1295" s="41"/>
      <c r="D1295" s="41"/>
      <c r="E1295" s="41"/>
      <c r="F1295" s="41"/>
      <c r="G1295" s="15"/>
      <c r="H1295" s="16"/>
      <c r="I1295" s="17"/>
      <c r="J1295" s="18">
        <v>0</v>
      </c>
      <c r="K1295" s="17"/>
      <c r="L1295" s="17"/>
      <c r="M1295" s="17"/>
      <c r="N1295" s="17"/>
      <c r="O1295" s="17">
        <v>0</v>
      </c>
      <c r="P1295" s="17"/>
      <c r="Q1295" s="17"/>
      <c r="R1295" s="60"/>
    </row>
    <row r="1296" spans="1:18" x14ac:dyDescent="0.25">
      <c r="A1296" s="20" t="s">
        <v>16</v>
      </c>
      <c r="B1296" s="41">
        <v>100000</v>
      </c>
      <c r="C1296" s="43">
        <v>100000</v>
      </c>
      <c r="D1296" s="43">
        <v>50000</v>
      </c>
      <c r="E1296" s="43">
        <v>100000</v>
      </c>
      <c r="F1296" s="43">
        <v>50000</v>
      </c>
      <c r="G1296" s="15">
        <f t="shared" ref="G1296:G1307" si="480">SUM(B1296:F1296)</f>
        <v>400000</v>
      </c>
      <c r="H1296" s="16"/>
      <c r="I1296" s="26"/>
      <c r="J1296" s="25"/>
      <c r="K1296" s="26"/>
      <c r="L1296" s="26"/>
      <c r="M1296" s="25"/>
      <c r="N1296" s="25"/>
      <c r="O1296" s="25"/>
      <c r="P1296" s="25"/>
      <c r="Q1296" s="25"/>
      <c r="R1296" s="60">
        <f>G1296</f>
        <v>400000</v>
      </c>
    </row>
    <row r="1297" spans="1:18" x14ac:dyDescent="0.25">
      <c r="A1297" s="20" t="s">
        <v>17</v>
      </c>
      <c r="B1297" s="42"/>
      <c r="C1297" s="43">
        <v>100000</v>
      </c>
      <c r="D1297" s="43">
        <v>50000</v>
      </c>
      <c r="E1297" s="43">
        <v>100000</v>
      </c>
      <c r="F1297" s="43">
        <v>50000</v>
      </c>
      <c r="G1297" s="15">
        <f t="shared" si="480"/>
        <v>300000</v>
      </c>
      <c r="H1297" s="16" t="s">
        <v>35</v>
      </c>
      <c r="I1297" s="26"/>
      <c r="J1297" s="25"/>
      <c r="K1297" s="26"/>
      <c r="L1297" s="26"/>
      <c r="M1297" s="25"/>
      <c r="N1297" s="25"/>
      <c r="O1297" s="25"/>
      <c r="P1297" s="25"/>
      <c r="Q1297" s="25"/>
      <c r="R1297" s="60">
        <f t="shared" ref="R1297:R1307" si="481">G1297</f>
        <v>300000</v>
      </c>
    </row>
    <row r="1298" spans="1:18" x14ac:dyDescent="0.25">
      <c r="A1298" s="20" t="s">
        <v>18</v>
      </c>
      <c r="B1298" s="42"/>
      <c r="C1298" s="43">
        <v>100000</v>
      </c>
      <c r="D1298" s="43">
        <v>50000</v>
      </c>
      <c r="E1298" s="43">
        <v>100000</v>
      </c>
      <c r="F1298" s="43">
        <v>50000</v>
      </c>
      <c r="G1298" s="15">
        <f t="shared" si="480"/>
        <v>300000</v>
      </c>
      <c r="H1298" s="16"/>
      <c r="I1298" s="26"/>
      <c r="J1298" s="25"/>
      <c r="K1298" s="26"/>
      <c r="L1298" s="26"/>
      <c r="M1298" s="25"/>
      <c r="N1298" s="25"/>
      <c r="O1298" s="25"/>
      <c r="P1298" s="25"/>
      <c r="Q1298" s="25"/>
      <c r="R1298" s="60">
        <f t="shared" si="481"/>
        <v>300000</v>
      </c>
    </row>
    <row r="1299" spans="1:18" x14ac:dyDescent="0.25">
      <c r="A1299" s="20" t="s">
        <v>19</v>
      </c>
      <c r="B1299" s="42"/>
      <c r="C1299" s="43">
        <v>100000</v>
      </c>
      <c r="D1299" s="43">
        <v>50000</v>
      </c>
      <c r="E1299" s="43">
        <v>-300000</v>
      </c>
      <c r="F1299" s="43">
        <v>50000</v>
      </c>
      <c r="G1299" s="15">
        <f t="shared" si="480"/>
        <v>-100000</v>
      </c>
      <c r="H1299" s="16"/>
      <c r="I1299" s="26"/>
      <c r="J1299" s="25"/>
      <c r="K1299" s="26"/>
      <c r="L1299" s="26"/>
      <c r="M1299" s="25"/>
      <c r="N1299" s="25"/>
      <c r="O1299" s="25"/>
      <c r="P1299" s="25"/>
      <c r="Q1299" s="25"/>
      <c r="R1299" s="60">
        <f t="shared" si="481"/>
        <v>-100000</v>
      </c>
    </row>
    <row r="1300" spans="1:18" x14ac:dyDescent="0.25">
      <c r="A1300" s="20" t="s">
        <v>20</v>
      </c>
      <c r="B1300" s="42"/>
      <c r="C1300" s="43">
        <v>100000</v>
      </c>
      <c r="D1300" s="43">
        <v>50000</v>
      </c>
      <c r="E1300" s="43">
        <v>100000</v>
      </c>
      <c r="F1300" s="43">
        <v>50000</v>
      </c>
      <c r="G1300" s="15">
        <f t="shared" si="480"/>
        <v>300000</v>
      </c>
      <c r="H1300" s="16"/>
      <c r="I1300" s="26"/>
      <c r="J1300" s="25"/>
      <c r="K1300" s="26"/>
      <c r="L1300" s="26"/>
      <c r="M1300" s="25"/>
      <c r="N1300" s="25"/>
      <c r="O1300" s="25"/>
      <c r="P1300" s="25"/>
      <c r="Q1300" s="25"/>
      <c r="R1300" s="60">
        <f t="shared" si="481"/>
        <v>300000</v>
      </c>
    </row>
    <row r="1301" spans="1:18" x14ac:dyDescent="0.25">
      <c r="A1301" s="20" t="s">
        <v>21</v>
      </c>
      <c r="B1301" s="42"/>
      <c r="C1301" s="43">
        <v>100000</v>
      </c>
      <c r="D1301" s="43">
        <v>50000</v>
      </c>
      <c r="E1301" s="43">
        <v>100000</v>
      </c>
      <c r="F1301" s="43">
        <v>50000</v>
      </c>
      <c r="G1301" s="15">
        <f t="shared" si="480"/>
        <v>300000</v>
      </c>
      <c r="H1301" s="16"/>
      <c r="I1301" s="26"/>
      <c r="J1301" s="25"/>
      <c r="K1301" s="26"/>
      <c r="L1301" s="26"/>
      <c r="M1301" s="25"/>
      <c r="N1301" s="25"/>
      <c r="O1301" s="25"/>
      <c r="P1301" s="25"/>
      <c r="Q1301" s="25"/>
      <c r="R1301" s="60">
        <f t="shared" si="481"/>
        <v>300000</v>
      </c>
    </row>
    <row r="1302" spans="1:18" x14ac:dyDescent="0.25">
      <c r="A1302" s="20" t="s">
        <v>22</v>
      </c>
      <c r="B1302" s="42"/>
      <c r="C1302" s="43">
        <v>100000</v>
      </c>
      <c r="D1302" s="43">
        <v>50000</v>
      </c>
      <c r="E1302" s="43">
        <v>100000</v>
      </c>
      <c r="F1302" s="43">
        <v>50000</v>
      </c>
      <c r="G1302" s="15">
        <f t="shared" si="480"/>
        <v>300000</v>
      </c>
      <c r="H1302" s="16"/>
      <c r="I1302" s="26"/>
      <c r="J1302" s="25"/>
      <c r="K1302" s="26"/>
      <c r="L1302" s="26"/>
      <c r="M1302" s="25"/>
      <c r="N1302" s="25"/>
      <c r="O1302" s="25"/>
      <c r="P1302" s="25"/>
      <c r="Q1302" s="25"/>
      <c r="R1302" s="60">
        <f t="shared" si="481"/>
        <v>300000</v>
      </c>
    </row>
    <row r="1303" spans="1:18" x14ac:dyDescent="0.25">
      <c r="A1303" s="20" t="s">
        <v>23</v>
      </c>
      <c r="B1303" s="42"/>
      <c r="C1303" s="43">
        <v>100000</v>
      </c>
      <c r="D1303" s="43">
        <v>50000</v>
      </c>
      <c r="E1303" s="43">
        <v>100000</v>
      </c>
      <c r="F1303" s="43">
        <v>50000</v>
      </c>
      <c r="G1303" s="15">
        <f t="shared" si="480"/>
        <v>300000</v>
      </c>
      <c r="H1303" s="16"/>
      <c r="I1303" s="26"/>
      <c r="J1303" s="25"/>
      <c r="K1303" s="26"/>
      <c r="L1303" s="26"/>
      <c r="M1303" s="25"/>
      <c r="N1303" s="25"/>
      <c r="O1303" s="25"/>
      <c r="P1303" s="25"/>
      <c r="Q1303" s="25"/>
      <c r="R1303" s="60">
        <f t="shared" si="481"/>
        <v>300000</v>
      </c>
    </row>
    <row r="1304" spans="1:18" x14ac:dyDescent="0.25">
      <c r="A1304" s="20" t="s">
        <v>24</v>
      </c>
      <c r="B1304" s="42"/>
      <c r="C1304" s="43">
        <v>100000</v>
      </c>
      <c r="D1304" s="43">
        <v>50000</v>
      </c>
      <c r="E1304" s="43">
        <v>100000</v>
      </c>
      <c r="F1304" s="43">
        <v>50000</v>
      </c>
      <c r="G1304" s="15">
        <f t="shared" si="480"/>
        <v>300000</v>
      </c>
      <c r="H1304" s="16"/>
      <c r="I1304" s="26"/>
      <c r="J1304" s="25"/>
      <c r="K1304" s="26"/>
      <c r="L1304" s="26"/>
      <c r="M1304" s="25"/>
      <c r="N1304" s="25"/>
      <c r="O1304" s="25"/>
      <c r="P1304" s="25"/>
      <c r="Q1304" s="25"/>
      <c r="R1304" s="60">
        <f t="shared" si="481"/>
        <v>300000</v>
      </c>
    </row>
    <row r="1305" spans="1:18" x14ac:dyDescent="0.25">
      <c r="A1305" s="20" t="s">
        <v>25</v>
      </c>
      <c r="B1305" s="42"/>
      <c r="C1305" s="43">
        <v>100000</v>
      </c>
      <c r="D1305" s="43">
        <v>50000</v>
      </c>
      <c r="E1305" s="43">
        <v>100000</v>
      </c>
      <c r="F1305" s="43">
        <v>50000</v>
      </c>
      <c r="G1305" s="15">
        <f t="shared" si="480"/>
        <v>300000</v>
      </c>
      <c r="H1305" s="16"/>
      <c r="I1305" s="26"/>
      <c r="J1305" s="25"/>
      <c r="K1305" s="26"/>
      <c r="L1305" s="26"/>
      <c r="M1305" s="25"/>
      <c r="N1305" s="25"/>
      <c r="O1305" s="25"/>
      <c r="P1305" s="25"/>
      <c r="Q1305" s="25"/>
      <c r="R1305" s="60">
        <f t="shared" si="481"/>
        <v>300000</v>
      </c>
    </row>
    <row r="1306" spans="1:18" x14ac:dyDescent="0.25">
      <c r="A1306" s="20" t="s">
        <v>26</v>
      </c>
      <c r="B1306" s="42"/>
      <c r="C1306" s="43">
        <v>100000</v>
      </c>
      <c r="D1306" s="43">
        <v>50000</v>
      </c>
      <c r="E1306" s="43">
        <v>100000</v>
      </c>
      <c r="F1306" s="43">
        <v>50000</v>
      </c>
      <c r="G1306" s="15">
        <f t="shared" si="480"/>
        <v>300000</v>
      </c>
      <c r="H1306" s="16"/>
      <c r="I1306" s="26"/>
      <c r="J1306" s="25"/>
      <c r="K1306" s="26"/>
      <c r="L1306" s="26"/>
      <c r="M1306" s="25"/>
      <c r="N1306" s="25"/>
      <c r="O1306" s="25"/>
      <c r="P1306" s="25"/>
      <c r="Q1306" s="25"/>
      <c r="R1306" s="60">
        <f t="shared" si="481"/>
        <v>300000</v>
      </c>
    </row>
    <row r="1307" spans="1:18" ht="15.75" thickBot="1" x14ac:dyDescent="0.3">
      <c r="A1307" s="12" t="s">
        <v>15</v>
      </c>
      <c r="B1307" s="42"/>
      <c r="C1307" s="43">
        <v>100000</v>
      </c>
      <c r="D1307" s="43">
        <v>50000</v>
      </c>
      <c r="E1307" s="43">
        <v>100000</v>
      </c>
      <c r="F1307" s="43">
        <v>50000</v>
      </c>
      <c r="G1307" s="15">
        <f t="shared" si="480"/>
        <v>300000</v>
      </c>
      <c r="H1307" s="16"/>
      <c r="I1307" s="26"/>
      <c r="J1307" s="25"/>
      <c r="K1307" s="26"/>
      <c r="L1307" s="26"/>
      <c r="M1307" s="25"/>
      <c r="N1307" s="25"/>
      <c r="O1307" s="25"/>
      <c r="P1307" s="25"/>
      <c r="Q1307" s="25"/>
      <c r="R1307" s="60">
        <f t="shared" si="481"/>
        <v>300000</v>
      </c>
    </row>
    <row r="1308" spans="1:18" ht="15.75" thickBot="1" x14ac:dyDescent="0.3">
      <c r="A1308" s="29" t="s">
        <v>0</v>
      </c>
      <c r="B1308" s="30">
        <f t="shared" ref="B1308:G1308" si="482">SUM(B1295:B1307)</f>
        <v>100000</v>
      </c>
      <c r="C1308" s="30">
        <f t="shared" si="482"/>
        <v>1200000</v>
      </c>
      <c r="D1308" s="30">
        <f t="shared" si="482"/>
        <v>600000</v>
      </c>
      <c r="E1308" s="30">
        <f t="shared" si="482"/>
        <v>800000</v>
      </c>
      <c r="F1308" s="30">
        <f t="shared" si="482"/>
        <v>600000</v>
      </c>
      <c r="G1308" s="31">
        <f t="shared" si="482"/>
        <v>3300000</v>
      </c>
      <c r="H1308" s="32"/>
      <c r="I1308" s="71" t="s">
        <v>27</v>
      </c>
      <c r="J1308" s="72"/>
      <c r="K1308" s="33">
        <f>SUM(K1295:K1307)</f>
        <v>0</v>
      </c>
      <c r="L1308" s="34"/>
      <c r="M1308" s="71" t="s">
        <v>28</v>
      </c>
      <c r="N1308" s="73"/>
      <c r="O1308" s="72"/>
      <c r="P1308" s="33">
        <f>SUM(P1295:P1307)</f>
        <v>0</v>
      </c>
      <c r="Q1308" s="34"/>
      <c r="R1308" s="65"/>
    </row>
    <row r="1309" spans="1:18" ht="15.75" thickBot="1" x14ac:dyDescent="0.3"/>
    <row r="1310" spans="1:18" ht="15.75" thickBot="1" x14ac:dyDescent="0.3">
      <c r="A1310" s="2">
        <v>76</v>
      </c>
      <c r="B1310" s="74" t="s">
        <v>48</v>
      </c>
      <c r="C1310" s="75"/>
      <c r="D1310" s="75"/>
      <c r="E1310" s="75"/>
      <c r="F1310" s="76"/>
      <c r="G1310" s="3" t="s">
        <v>0</v>
      </c>
      <c r="H1310" s="77" t="s">
        <v>1</v>
      </c>
      <c r="I1310" s="78"/>
      <c r="J1310" s="78"/>
      <c r="K1310" s="78"/>
      <c r="L1310" s="79"/>
      <c r="M1310" s="80" t="s">
        <v>2</v>
      </c>
      <c r="N1310" s="78"/>
      <c r="O1310" s="78"/>
      <c r="P1310" s="78"/>
      <c r="Q1310" s="79"/>
      <c r="R1310" s="69" t="s">
        <v>29</v>
      </c>
    </row>
    <row r="1311" spans="1:18" x14ac:dyDescent="0.25">
      <c r="A1311" s="4" t="s">
        <v>4</v>
      </c>
      <c r="B1311" s="5" t="s">
        <v>5</v>
      </c>
      <c r="C1311" s="6" t="s">
        <v>6</v>
      </c>
      <c r="D1311" s="6" t="s">
        <v>7</v>
      </c>
      <c r="E1311" s="5" t="s">
        <v>8</v>
      </c>
      <c r="F1311" s="5" t="s">
        <v>9</v>
      </c>
      <c r="G1311" s="7" t="s">
        <v>10</v>
      </c>
      <c r="H1311" s="8" t="s">
        <v>11</v>
      </c>
      <c r="I1311" s="9" t="s">
        <v>0</v>
      </c>
      <c r="J1311" s="9" t="s">
        <v>12</v>
      </c>
      <c r="K1311" s="9" t="s">
        <v>13</v>
      </c>
      <c r="L1311" s="10" t="s">
        <v>14</v>
      </c>
      <c r="M1311" s="9" t="s">
        <v>11</v>
      </c>
      <c r="N1311" s="9" t="s">
        <v>0</v>
      </c>
      <c r="O1311" s="9" t="s">
        <v>12</v>
      </c>
      <c r="P1311" s="9" t="s">
        <v>13</v>
      </c>
      <c r="Q1311" s="10" t="s">
        <v>14</v>
      </c>
      <c r="R1311" s="70"/>
    </row>
    <row r="1312" spans="1:18" x14ac:dyDescent="0.25">
      <c r="A1312" s="12" t="s">
        <v>15</v>
      </c>
      <c r="B1312" s="41"/>
      <c r="C1312" s="41"/>
      <c r="D1312" s="41"/>
      <c r="E1312" s="41"/>
      <c r="F1312" s="41"/>
      <c r="G1312" s="15">
        <f t="shared" ref="G1312:G1324" si="483">SUM(B1312:F1312)</f>
        <v>0</v>
      </c>
      <c r="H1312" s="16"/>
      <c r="I1312" s="17"/>
      <c r="J1312" s="18">
        <v>0</v>
      </c>
      <c r="K1312" s="17"/>
      <c r="L1312" s="17"/>
      <c r="M1312" s="17"/>
      <c r="N1312" s="17"/>
      <c r="O1312" s="17">
        <v>0</v>
      </c>
      <c r="P1312" s="17"/>
      <c r="Q1312" s="17"/>
      <c r="R1312" s="60"/>
    </row>
    <row r="1313" spans="1:18" x14ac:dyDescent="0.25">
      <c r="A1313" s="20" t="s">
        <v>16</v>
      </c>
      <c r="B1313" s="41">
        <v>25000</v>
      </c>
      <c r="C1313" s="43">
        <v>15000</v>
      </c>
      <c r="D1313" s="43">
        <v>20000</v>
      </c>
      <c r="E1313" s="43">
        <v>50000</v>
      </c>
      <c r="F1313" s="43">
        <v>15000</v>
      </c>
      <c r="G1313" s="15">
        <f t="shared" si="483"/>
        <v>125000</v>
      </c>
      <c r="H1313" s="16"/>
      <c r="I1313" s="26"/>
      <c r="J1313" s="25"/>
      <c r="K1313" s="26"/>
      <c r="L1313" s="26"/>
      <c r="M1313" s="25"/>
      <c r="N1313" s="25"/>
      <c r="O1313" s="25"/>
      <c r="P1313" s="25"/>
      <c r="Q1313" s="25"/>
      <c r="R1313" s="60">
        <f>G1313</f>
        <v>125000</v>
      </c>
    </row>
    <row r="1314" spans="1:18" x14ac:dyDescent="0.25">
      <c r="A1314" s="20" t="s">
        <v>17</v>
      </c>
      <c r="B1314" s="42"/>
      <c r="C1314" s="43">
        <v>15000</v>
      </c>
      <c r="D1314" s="43">
        <v>20000</v>
      </c>
      <c r="E1314" s="43">
        <v>50000</v>
      </c>
      <c r="F1314" s="43">
        <v>15000</v>
      </c>
      <c r="G1314" s="15">
        <f t="shared" si="483"/>
        <v>100000</v>
      </c>
      <c r="H1314" s="16" t="s">
        <v>35</v>
      </c>
      <c r="I1314" s="26"/>
      <c r="J1314" s="25"/>
      <c r="K1314" s="26"/>
      <c r="L1314" s="26"/>
      <c r="M1314" s="25"/>
      <c r="N1314" s="25"/>
      <c r="O1314" s="25"/>
      <c r="P1314" s="25"/>
      <c r="Q1314" s="25"/>
      <c r="R1314" s="60">
        <f t="shared" ref="R1314:R1324" si="484">G1314</f>
        <v>100000</v>
      </c>
    </row>
    <row r="1315" spans="1:18" x14ac:dyDescent="0.25">
      <c r="A1315" s="20" t="s">
        <v>18</v>
      </c>
      <c r="B1315" s="42"/>
      <c r="C1315" s="43">
        <v>15000</v>
      </c>
      <c r="D1315" s="43">
        <v>20000</v>
      </c>
      <c r="E1315" s="43">
        <v>50000</v>
      </c>
      <c r="F1315" s="43">
        <v>15000</v>
      </c>
      <c r="G1315" s="15">
        <f t="shared" si="483"/>
        <v>100000</v>
      </c>
      <c r="H1315" s="16"/>
      <c r="I1315" s="26"/>
      <c r="J1315" s="25"/>
      <c r="K1315" s="26"/>
      <c r="L1315" s="26"/>
      <c r="M1315" s="25"/>
      <c r="N1315" s="25"/>
      <c r="O1315" s="25"/>
      <c r="P1315" s="25"/>
      <c r="Q1315" s="25"/>
      <c r="R1315" s="60">
        <f t="shared" si="484"/>
        <v>100000</v>
      </c>
    </row>
    <row r="1316" spans="1:18" x14ac:dyDescent="0.25">
      <c r="A1316" s="20" t="s">
        <v>19</v>
      </c>
      <c r="B1316" s="42"/>
      <c r="C1316" s="43">
        <v>15000</v>
      </c>
      <c r="D1316" s="43">
        <v>20000</v>
      </c>
      <c r="E1316" s="43">
        <v>-150000</v>
      </c>
      <c r="F1316" s="43">
        <v>15000</v>
      </c>
      <c r="G1316" s="15">
        <f t="shared" si="483"/>
        <v>-100000</v>
      </c>
      <c r="H1316" s="16"/>
      <c r="I1316" s="26"/>
      <c r="J1316" s="25"/>
      <c r="K1316" s="26"/>
      <c r="L1316" s="26"/>
      <c r="M1316" s="25"/>
      <c r="N1316" s="25"/>
      <c r="O1316" s="25"/>
      <c r="P1316" s="25"/>
      <c r="Q1316" s="25"/>
      <c r="R1316" s="60">
        <f t="shared" si="484"/>
        <v>-100000</v>
      </c>
    </row>
    <row r="1317" spans="1:18" x14ac:dyDescent="0.25">
      <c r="A1317" s="20" t="s">
        <v>20</v>
      </c>
      <c r="B1317" s="42"/>
      <c r="C1317" s="43">
        <v>15000</v>
      </c>
      <c r="D1317" s="43">
        <v>20000</v>
      </c>
      <c r="E1317" s="43">
        <v>50000</v>
      </c>
      <c r="F1317" s="43">
        <v>15000</v>
      </c>
      <c r="G1317" s="15">
        <f t="shared" si="483"/>
        <v>100000</v>
      </c>
      <c r="H1317" s="16"/>
      <c r="I1317" s="26"/>
      <c r="J1317" s="25"/>
      <c r="K1317" s="26"/>
      <c r="L1317" s="26"/>
      <c r="M1317" s="25"/>
      <c r="N1317" s="25"/>
      <c r="O1317" s="25"/>
      <c r="P1317" s="25"/>
      <c r="Q1317" s="25"/>
      <c r="R1317" s="60">
        <f t="shared" si="484"/>
        <v>100000</v>
      </c>
    </row>
    <row r="1318" spans="1:18" x14ac:dyDescent="0.25">
      <c r="A1318" s="20" t="s">
        <v>21</v>
      </c>
      <c r="B1318" s="42"/>
      <c r="C1318" s="43">
        <v>15000</v>
      </c>
      <c r="D1318" s="43">
        <v>20000</v>
      </c>
      <c r="E1318" s="43">
        <v>50000</v>
      </c>
      <c r="F1318" s="43">
        <v>15000</v>
      </c>
      <c r="G1318" s="15">
        <f t="shared" si="483"/>
        <v>100000</v>
      </c>
      <c r="H1318" s="16"/>
      <c r="I1318" s="26"/>
      <c r="J1318" s="25"/>
      <c r="K1318" s="26"/>
      <c r="L1318" s="26"/>
      <c r="M1318" s="25"/>
      <c r="N1318" s="25"/>
      <c r="O1318" s="25"/>
      <c r="P1318" s="25"/>
      <c r="Q1318" s="25"/>
      <c r="R1318" s="60">
        <f t="shared" si="484"/>
        <v>100000</v>
      </c>
    </row>
    <row r="1319" spans="1:18" x14ac:dyDescent="0.25">
      <c r="A1319" s="20" t="s">
        <v>22</v>
      </c>
      <c r="B1319" s="42"/>
      <c r="C1319" s="43">
        <v>15000</v>
      </c>
      <c r="D1319" s="43">
        <v>20000</v>
      </c>
      <c r="E1319" s="43">
        <v>50000</v>
      </c>
      <c r="F1319" s="43">
        <v>15000</v>
      </c>
      <c r="G1319" s="15">
        <f t="shared" si="483"/>
        <v>100000</v>
      </c>
      <c r="H1319" s="16"/>
      <c r="I1319" s="26"/>
      <c r="J1319" s="25"/>
      <c r="K1319" s="26"/>
      <c r="L1319" s="26"/>
      <c r="M1319" s="25"/>
      <c r="N1319" s="25"/>
      <c r="O1319" s="25"/>
      <c r="P1319" s="25"/>
      <c r="Q1319" s="25"/>
      <c r="R1319" s="60">
        <f t="shared" si="484"/>
        <v>100000</v>
      </c>
    </row>
    <row r="1320" spans="1:18" x14ac:dyDescent="0.25">
      <c r="A1320" s="20" t="s">
        <v>23</v>
      </c>
      <c r="B1320" s="42"/>
      <c r="C1320" s="43">
        <v>15000</v>
      </c>
      <c r="D1320" s="43">
        <v>20000</v>
      </c>
      <c r="E1320" s="43">
        <v>50000</v>
      </c>
      <c r="F1320" s="43">
        <v>15000</v>
      </c>
      <c r="G1320" s="15">
        <f t="shared" si="483"/>
        <v>100000</v>
      </c>
      <c r="H1320" s="16"/>
      <c r="I1320" s="26"/>
      <c r="J1320" s="25"/>
      <c r="K1320" s="26"/>
      <c r="L1320" s="26"/>
      <c r="M1320" s="25"/>
      <c r="N1320" s="25"/>
      <c r="O1320" s="25"/>
      <c r="P1320" s="25"/>
      <c r="Q1320" s="25"/>
      <c r="R1320" s="60">
        <f t="shared" si="484"/>
        <v>100000</v>
      </c>
    </row>
    <row r="1321" spans="1:18" x14ac:dyDescent="0.25">
      <c r="A1321" s="20" t="s">
        <v>24</v>
      </c>
      <c r="B1321" s="42"/>
      <c r="C1321" s="43">
        <v>15000</v>
      </c>
      <c r="D1321" s="43">
        <v>20000</v>
      </c>
      <c r="E1321" s="43">
        <v>50000</v>
      </c>
      <c r="F1321" s="43">
        <v>15000</v>
      </c>
      <c r="G1321" s="15">
        <f t="shared" si="483"/>
        <v>100000</v>
      </c>
      <c r="H1321" s="16"/>
      <c r="I1321" s="26"/>
      <c r="J1321" s="25"/>
      <c r="K1321" s="26"/>
      <c r="L1321" s="26"/>
      <c r="M1321" s="25"/>
      <c r="N1321" s="25"/>
      <c r="O1321" s="25"/>
      <c r="P1321" s="25"/>
      <c r="Q1321" s="25"/>
      <c r="R1321" s="60">
        <f t="shared" si="484"/>
        <v>100000</v>
      </c>
    </row>
    <row r="1322" spans="1:18" x14ac:dyDescent="0.25">
      <c r="A1322" s="20" t="s">
        <v>25</v>
      </c>
      <c r="B1322" s="42"/>
      <c r="C1322" s="43">
        <v>15000</v>
      </c>
      <c r="D1322" s="43">
        <v>20000</v>
      </c>
      <c r="E1322" s="43">
        <v>50000</v>
      </c>
      <c r="F1322" s="43">
        <v>15000</v>
      </c>
      <c r="G1322" s="15">
        <f t="shared" si="483"/>
        <v>100000</v>
      </c>
      <c r="H1322" s="16"/>
      <c r="I1322" s="26"/>
      <c r="J1322" s="25"/>
      <c r="K1322" s="26"/>
      <c r="L1322" s="26"/>
      <c r="M1322" s="25"/>
      <c r="N1322" s="25"/>
      <c r="O1322" s="25"/>
      <c r="P1322" s="25"/>
      <c r="Q1322" s="25"/>
      <c r="R1322" s="60">
        <f t="shared" si="484"/>
        <v>100000</v>
      </c>
    </row>
    <row r="1323" spans="1:18" x14ac:dyDescent="0.25">
      <c r="A1323" s="20" t="s">
        <v>26</v>
      </c>
      <c r="B1323" s="42"/>
      <c r="C1323" s="43">
        <v>15000</v>
      </c>
      <c r="D1323" s="43">
        <v>20000</v>
      </c>
      <c r="E1323" s="43">
        <v>50000</v>
      </c>
      <c r="F1323" s="43">
        <v>15000</v>
      </c>
      <c r="G1323" s="15">
        <f t="shared" si="483"/>
        <v>100000</v>
      </c>
      <c r="H1323" s="16"/>
      <c r="I1323" s="26"/>
      <c r="J1323" s="25"/>
      <c r="K1323" s="26"/>
      <c r="L1323" s="26"/>
      <c r="M1323" s="25"/>
      <c r="N1323" s="25"/>
      <c r="O1323" s="25"/>
      <c r="P1323" s="25"/>
      <c r="Q1323" s="25"/>
      <c r="R1323" s="60">
        <f t="shared" si="484"/>
        <v>100000</v>
      </c>
    </row>
    <row r="1324" spans="1:18" ht="15.75" thickBot="1" x14ac:dyDescent="0.3">
      <c r="A1324" s="12" t="s">
        <v>15</v>
      </c>
      <c r="B1324" s="42"/>
      <c r="C1324" s="43">
        <v>15000</v>
      </c>
      <c r="D1324" s="43">
        <v>20000</v>
      </c>
      <c r="E1324" s="43">
        <v>50000</v>
      </c>
      <c r="F1324" s="43">
        <v>15000</v>
      </c>
      <c r="G1324" s="15">
        <f t="shared" si="483"/>
        <v>100000</v>
      </c>
      <c r="H1324" s="16"/>
      <c r="I1324" s="26"/>
      <c r="J1324" s="25"/>
      <c r="K1324" s="26"/>
      <c r="L1324" s="26"/>
      <c r="M1324" s="25"/>
      <c r="N1324" s="25"/>
      <c r="O1324" s="25"/>
      <c r="P1324" s="25"/>
      <c r="Q1324" s="25"/>
      <c r="R1324" s="60">
        <f t="shared" si="484"/>
        <v>100000</v>
      </c>
    </row>
    <row r="1325" spans="1:18" ht="15.75" thickBot="1" x14ac:dyDescent="0.3">
      <c r="A1325" s="29" t="s">
        <v>0</v>
      </c>
      <c r="B1325" s="30">
        <f t="shared" ref="B1325:G1325" si="485">SUM(B1312:B1324)</f>
        <v>25000</v>
      </c>
      <c r="C1325" s="30">
        <f t="shared" si="485"/>
        <v>180000</v>
      </c>
      <c r="D1325" s="30">
        <f t="shared" si="485"/>
        <v>240000</v>
      </c>
      <c r="E1325" s="30">
        <f t="shared" si="485"/>
        <v>400000</v>
      </c>
      <c r="F1325" s="30">
        <f t="shared" si="485"/>
        <v>180000</v>
      </c>
      <c r="G1325" s="31">
        <f t="shared" si="485"/>
        <v>1025000</v>
      </c>
      <c r="H1325" s="32"/>
      <c r="I1325" s="71" t="s">
        <v>27</v>
      </c>
      <c r="J1325" s="72"/>
      <c r="K1325" s="33">
        <f>SUM(K1312:K1324)</f>
        <v>0</v>
      </c>
      <c r="L1325" s="34"/>
      <c r="M1325" s="71" t="s">
        <v>28</v>
      </c>
      <c r="N1325" s="73"/>
      <c r="O1325" s="72"/>
      <c r="P1325" s="33">
        <f>SUM(P1312:P1324)</f>
        <v>0</v>
      </c>
      <c r="Q1325" s="34"/>
      <c r="R1325" s="65"/>
    </row>
    <row r="1326" spans="1:18" ht="15.75" thickBot="1" x14ac:dyDescent="0.3"/>
    <row r="1327" spans="1:18" ht="15.75" thickBot="1" x14ac:dyDescent="0.3">
      <c r="A1327" s="2">
        <v>76</v>
      </c>
      <c r="B1327" s="74" t="s">
        <v>49</v>
      </c>
      <c r="C1327" s="75"/>
      <c r="D1327" s="75"/>
      <c r="E1327" s="75"/>
      <c r="F1327" s="76"/>
      <c r="G1327" s="3" t="s">
        <v>0</v>
      </c>
      <c r="H1327" s="77" t="s">
        <v>1</v>
      </c>
      <c r="I1327" s="78"/>
      <c r="J1327" s="78"/>
      <c r="K1327" s="78"/>
      <c r="L1327" s="79"/>
      <c r="M1327" s="80" t="s">
        <v>2</v>
      </c>
      <c r="N1327" s="78"/>
      <c r="O1327" s="78"/>
      <c r="P1327" s="78"/>
      <c r="Q1327" s="79"/>
      <c r="R1327" s="69" t="s">
        <v>29</v>
      </c>
    </row>
    <row r="1328" spans="1:18" x14ac:dyDescent="0.25">
      <c r="A1328" s="4" t="s">
        <v>4</v>
      </c>
      <c r="B1328" s="5" t="s">
        <v>5</v>
      </c>
      <c r="C1328" s="6" t="s">
        <v>6</v>
      </c>
      <c r="D1328" s="6" t="s">
        <v>7</v>
      </c>
      <c r="E1328" s="5" t="s">
        <v>8</v>
      </c>
      <c r="F1328" s="5" t="s">
        <v>9</v>
      </c>
      <c r="G1328" s="7" t="s">
        <v>10</v>
      </c>
      <c r="H1328" s="8" t="s">
        <v>11</v>
      </c>
      <c r="I1328" s="9" t="s">
        <v>0</v>
      </c>
      <c r="J1328" s="9" t="s">
        <v>12</v>
      </c>
      <c r="K1328" s="9" t="s">
        <v>13</v>
      </c>
      <c r="L1328" s="10" t="s">
        <v>14</v>
      </c>
      <c r="M1328" s="9" t="s">
        <v>11</v>
      </c>
      <c r="N1328" s="9" t="s">
        <v>0</v>
      </c>
      <c r="O1328" s="9" t="s">
        <v>12</v>
      </c>
      <c r="P1328" s="9" t="s">
        <v>13</v>
      </c>
      <c r="Q1328" s="10" t="s">
        <v>14</v>
      </c>
      <c r="R1328" s="70"/>
    </row>
    <row r="1329" spans="1:18" x14ac:dyDescent="0.25">
      <c r="A1329" s="12" t="s">
        <v>15</v>
      </c>
      <c r="B1329" s="41"/>
      <c r="C1329" s="41"/>
      <c r="D1329" s="41"/>
      <c r="E1329" s="41"/>
      <c r="F1329" s="41">
        <v>0</v>
      </c>
      <c r="G1329" s="15">
        <f t="shared" ref="G1329:G1338" si="486">SUM(B1329:F1329)</f>
        <v>0</v>
      </c>
      <c r="H1329" s="16"/>
      <c r="I1329" s="17"/>
      <c r="J1329" s="18">
        <v>0</v>
      </c>
      <c r="K1329" s="17"/>
      <c r="L1329" s="17"/>
      <c r="M1329" s="17"/>
      <c r="N1329" s="17"/>
      <c r="O1329" s="17">
        <v>0</v>
      </c>
      <c r="P1329" s="17"/>
      <c r="Q1329" s="17"/>
      <c r="R1329" s="60"/>
    </row>
    <row r="1330" spans="1:18" x14ac:dyDescent="0.25">
      <c r="A1330" s="20" t="s">
        <v>16</v>
      </c>
      <c r="B1330" s="41">
        <v>25000</v>
      </c>
      <c r="C1330" s="43">
        <v>15000</v>
      </c>
      <c r="D1330" s="43">
        <v>20000</v>
      </c>
      <c r="E1330" s="43">
        <v>50000</v>
      </c>
      <c r="F1330" s="43">
        <v>15000</v>
      </c>
      <c r="G1330" s="15">
        <f t="shared" si="486"/>
        <v>125000</v>
      </c>
      <c r="H1330" s="16"/>
      <c r="I1330" s="26"/>
      <c r="J1330" s="25"/>
      <c r="K1330" s="26"/>
      <c r="L1330" s="26"/>
      <c r="M1330" s="25"/>
      <c r="N1330" s="25"/>
      <c r="O1330" s="25"/>
      <c r="P1330" s="25"/>
      <c r="Q1330" s="25"/>
      <c r="R1330" s="60">
        <f>G1330</f>
        <v>125000</v>
      </c>
    </row>
    <row r="1331" spans="1:18" x14ac:dyDescent="0.25">
      <c r="A1331" s="20" t="s">
        <v>17</v>
      </c>
      <c r="B1331" s="42"/>
      <c r="C1331" s="43">
        <v>15000</v>
      </c>
      <c r="D1331" s="43">
        <v>20000</v>
      </c>
      <c r="E1331" s="43">
        <v>50000</v>
      </c>
      <c r="F1331" s="43">
        <v>15000</v>
      </c>
      <c r="G1331" s="15">
        <f t="shared" si="486"/>
        <v>100000</v>
      </c>
      <c r="H1331" s="16" t="s">
        <v>35</v>
      </c>
      <c r="I1331" s="26"/>
      <c r="J1331" s="25"/>
      <c r="K1331" s="26"/>
      <c r="L1331" s="26"/>
      <c r="M1331" s="25"/>
      <c r="N1331" s="25"/>
      <c r="O1331" s="25"/>
      <c r="P1331" s="25"/>
      <c r="Q1331" s="25"/>
      <c r="R1331" s="60">
        <f t="shared" ref="R1331:R1341" si="487">G1331</f>
        <v>100000</v>
      </c>
    </row>
    <row r="1332" spans="1:18" x14ac:dyDescent="0.25">
      <c r="A1332" s="20" t="s">
        <v>18</v>
      </c>
      <c r="B1332" s="42"/>
      <c r="C1332" s="43">
        <v>15000</v>
      </c>
      <c r="D1332" s="43">
        <v>20000</v>
      </c>
      <c r="E1332" s="43">
        <v>50000</v>
      </c>
      <c r="F1332" s="43">
        <v>15000</v>
      </c>
      <c r="G1332" s="15">
        <f t="shared" si="486"/>
        <v>100000</v>
      </c>
      <c r="H1332" s="16"/>
      <c r="I1332" s="26"/>
      <c r="J1332" s="25"/>
      <c r="K1332" s="26"/>
      <c r="L1332" s="26"/>
      <c r="M1332" s="25"/>
      <c r="N1332" s="25"/>
      <c r="O1332" s="25"/>
      <c r="P1332" s="25"/>
      <c r="Q1332" s="25"/>
      <c r="R1332" s="60">
        <f t="shared" si="487"/>
        <v>100000</v>
      </c>
    </row>
    <row r="1333" spans="1:18" x14ac:dyDescent="0.25">
      <c r="A1333" s="20" t="s">
        <v>19</v>
      </c>
      <c r="B1333" s="42"/>
      <c r="C1333" s="43">
        <v>15000</v>
      </c>
      <c r="D1333" s="43">
        <v>20000</v>
      </c>
      <c r="E1333" s="43">
        <v>-150000</v>
      </c>
      <c r="F1333" s="43">
        <v>15000</v>
      </c>
      <c r="G1333" s="15">
        <f t="shared" si="486"/>
        <v>-100000</v>
      </c>
      <c r="H1333" s="16"/>
      <c r="I1333" s="26"/>
      <c r="J1333" s="25"/>
      <c r="K1333" s="26"/>
      <c r="L1333" s="26"/>
      <c r="M1333" s="25"/>
      <c r="N1333" s="25"/>
      <c r="O1333" s="25"/>
      <c r="P1333" s="25"/>
      <c r="Q1333" s="25"/>
      <c r="R1333" s="60">
        <f t="shared" si="487"/>
        <v>-100000</v>
      </c>
    </row>
    <row r="1334" spans="1:18" x14ac:dyDescent="0.25">
      <c r="A1334" s="20" t="s">
        <v>20</v>
      </c>
      <c r="B1334" s="42"/>
      <c r="C1334" s="43">
        <v>15000</v>
      </c>
      <c r="D1334" s="43">
        <v>20000</v>
      </c>
      <c r="E1334" s="43">
        <v>50000</v>
      </c>
      <c r="F1334" s="43">
        <v>15000</v>
      </c>
      <c r="G1334" s="15">
        <f t="shared" si="486"/>
        <v>100000</v>
      </c>
      <c r="H1334" s="16"/>
      <c r="I1334" s="26"/>
      <c r="J1334" s="25"/>
      <c r="K1334" s="26"/>
      <c r="L1334" s="26"/>
      <c r="M1334" s="25"/>
      <c r="N1334" s="25"/>
      <c r="O1334" s="25"/>
      <c r="P1334" s="25"/>
      <c r="Q1334" s="25"/>
      <c r="R1334" s="60">
        <f t="shared" si="487"/>
        <v>100000</v>
      </c>
    </row>
    <row r="1335" spans="1:18" x14ac:dyDescent="0.25">
      <c r="A1335" s="20" t="s">
        <v>21</v>
      </c>
      <c r="B1335" s="42"/>
      <c r="C1335" s="43">
        <v>15000</v>
      </c>
      <c r="D1335" s="43">
        <v>20000</v>
      </c>
      <c r="E1335" s="43">
        <v>50000</v>
      </c>
      <c r="F1335" s="43">
        <v>15000</v>
      </c>
      <c r="G1335" s="15">
        <f t="shared" si="486"/>
        <v>100000</v>
      </c>
      <c r="H1335" s="16"/>
      <c r="I1335" s="26"/>
      <c r="J1335" s="25"/>
      <c r="K1335" s="26"/>
      <c r="L1335" s="26"/>
      <c r="M1335" s="25"/>
      <c r="N1335" s="25"/>
      <c r="O1335" s="25"/>
      <c r="P1335" s="25"/>
      <c r="Q1335" s="25"/>
      <c r="R1335" s="60">
        <f t="shared" si="487"/>
        <v>100000</v>
      </c>
    </row>
    <row r="1336" spans="1:18" x14ac:dyDescent="0.25">
      <c r="A1336" s="20" t="s">
        <v>22</v>
      </c>
      <c r="B1336" s="42"/>
      <c r="C1336" s="43">
        <v>15000</v>
      </c>
      <c r="D1336" s="43">
        <v>20000</v>
      </c>
      <c r="E1336" s="43">
        <v>50000</v>
      </c>
      <c r="F1336" s="43">
        <v>15000</v>
      </c>
      <c r="G1336" s="15">
        <f t="shared" si="486"/>
        <v>100000</v>
      </c>
      <c r="H1336" s="16"/>
      <c r="I1336" s="26"/>
      <c r="J1336" s="25"/>
      <c r="K1336" s="26"/>
      <c r="L1336" s="26"/>
      <c r="M1336" s="25"/>
      <c r="N1336" s="25"/>
      <c r="O1336" s="25"/>
      <c r="P1336" s="25"/>
      <c r="Q1336" s="25"/>
      <c r="R1336" s="60">
        <f t="shared" si="487"/>
        <v>100000</v>
      </c>
    </row>
    <row r="1337" spans="1:18" x14ac:dyDescent="0.25">
      <c r="A1337" s="20" t="s">
        <v>23</v>
      </c>
      <c r="B1337" s="42"/>
      <c r="C1337" s="43">
        <v>15000</v>
      </c>
      <c r="D1337" s="43">
        <v>20000</v>
      </c>
      <c r="E1337" s="43">
        <v>50000</v>
      </c>
      <c r="F1337" s="43">
        <v>15000</v>
      </c>
      <c r="G1337" s="15">
        <f t="shared" si="486"/>
        <v>100000</v>
      </c>
      <c r="H1337" s="16"/>
      <c r="I1337" s="26"/>
      <c r="J1337" s="25"/>
      <c r="K1337" s="26"/>
      <c r="L1337" s="26"/>
      <c r="M1337" s="25"/>
      <c r="N1337" s="25"/>
      <c r="O1337" s="25"/>
      <c r="P1337" s="25"/>
      <c r="Q1337" s="25"/>
      <c r="R1337" s="60">
        <f t="shared" si="487"/>
        <v>100000</v>
      </c>
    </row>
    <row r="1338" spans="1:18" x14ac:dyDescent="0.25">
      <c r="A1338" s="20" t="s">
        <v>24</v>
      </c>
      <c r="B1338" s="42"/>
      <c r="C1338" s="43">
        <v>15000</v>
      </c>
      <c r="D1338" s="43">
        <v>20000</v>
      </c>
      <c r="E1338" s="43">
        <v>50000</v>
      </c>
      <c r="F1338" s="43">
        <v>15000</v>
      </c>
      <c r="G1338" s="15">
        <f t="shared" si="486"/>
        <v>100000</v>
      </c>
      <c r="H1338" s="16"/>
      <c r="I1338" s="26"/>
      <c r="J1338" s="25"/>
      <c r="K1338" s="26"/>
      <c r="L1338" s="26"/>
      <c r="M1338" s="25"/>
      <c r="N1338" s="25"/>
      <c r="O1338" s="25"/>
      <c r="P1338" s="25"/>
      <c r="Q1338" s="25"/>
      <c r="R1338" s="60">
        <f t="shared" si="487"/>
        <v>100000</v>
      </c>
    </row>
    <row r="1339" spans="1:18" x14ac:dyDescent="0.25">
      <c r="A1339" s="20" t="s">
        <v>25</v>
      </c>
      <c r="B1339" s="42"/>
      <c r="C1339" s="43">
        <v>15000</v>
      </c>
      <c r="D1339" s="43">
        <v>20000</v>
      </c>
      <c r="E1339" s="43">
        <v>50000</v>
      </c>
      <c r="F1339" s="43">
        <v>15000</v>
      </c>
      <c r="G1339" s="15">
        <f>SUM(B1339:F1339)</f>
        <v>100000</v>
      </c>
      <c r="H1339" s="16"/>
      <c r="I1339" s="26"/>
      <c r="J1339" s="25"/>
      <c r="K1339" s="26"/>
      <c r="L1339" s="26"/>
      <c r="M1339" s="25"/>
      <c r="N1339" s="25"/>
      <c r="O1339" s="25"/>
      <c r="P1339" s="25"/>
      <c r="Q1339" s="25"/>
      <c r="R1339" s="60">
        <f>G1339</f>
        <v>100000</v>
      </c>
    </row>
    <row r="1340" spans="1:18" x14ac:dyDescent="0.25">
      <c r="A1340" s="20" t="s">
        <v>26</v>
      </c>
      <c r="B1340" s="42"/>
      <c r="C1340" s="43">
        <v>15000</v>
      </c>
      <c r="D1340" s="43">
        <v>20000</v>
      </c>
      <c r="E1340" s="43">
        <v>50000</v>
      </c>
      <c r="F1340" s="43">
        <v>15000</v>
      </c>
      <c r="G1340" s="15">
        <f t="shared" ref="G1340:G1341" si="488">SUM(B1340:F1340)</f>
        <v>100000</v>
      </c>
      <c r="H1340" s="16"/>
      <c r="I1340" s="26"/>
      <c r="J1340" s="25"/>
      <c r="K1340" s="26"/>
      <c r="L1340" s="26"/>
      <c r="M1340" s="25"/>
      <c r="N1340" s="25"/>
      <c r="O1340" s="25"/>
      <c r="P1340" s="25"/>
      <c r="Q1340" s="25"/>
      <c r="R1340" s="60">
        <f t="shared" si="487"/>
        <v>100000</v>
      </c>
    </row>
    <row r="1341" spans="1:18" ht="15.75" thickBot="1" x14ac:dyDescent="0.3">
      <c r="A1341" s="12" t="s">
        <v>15</v>
      </c>
      <c r="B1341" s="42"/>
      <c r="C1341" s="43">
        <v>15000</v>
      </c>
      <c r="D1341" s="43">
        <v>20000</v>
      </c>
      <c r="E1341" s="43">
        <v>50000</v>
      </c>
      <c r="F1341" s="43">
        <v>15000</v>
      </c>
      <c r="G1341" s="15">
        <f t="shared" si="488"/>
        <v>100000</v>
      </c>
      <c r="H1341" s="16"/>
      <c r="I1341" s="26"/>
      <c r="J1341" s="25"/>
      <c r="K1341" s="26"/>
      <c r="L1341" s="26"/>
      <c r="M1341" s="25"/>
      <c r="N1341" s="25"/>
      <c r="O1341" s="25"/>
      <c r="P1341" s="25"/>
      <c r="Q1341" s="25"/>
      <c r="R1341" s="60">
        <f t="shared" si="487"/>
        <v>100000</v>
      </c>
    </row>
    <row r="1342" spans="1:18" ht="15.75" thickBot="1" x14ac:dyDescent="0.3">
      <c r="A1342" s="29" t="s">
        <v>0</v>
      </c>
      <c r="B1342" s="30">
        <f t="shared" ref="B1342:G1342" si="489">SUM(B1329:B1341)</f>
        <v>25000</v>
      </c>
      <c r="C1342" s="30">
        <f t="shared" si="489"/>
        <v>180000</v>
      </c>
      <c r="D1342" s="30">
        <f t="shared" si="489"/>
        <v>240000</v>
      </c>
      <c r="E1342" s="30">
        <f t="shared" si="489"/>
        <v>400000</v>
      </c>
      <c r="F1342" s="30">
        <f t="shared" si="489"/>
        <v>180000</v>
      </c>
      <c r="G1342" s="31">
        <f t="shared" si="489"/>
        <v>1025000</v>
      </c>
      <c r="H1342" s="32"/>
      <c r="I1342" s="71" t="s">
        <v>27</v>
      </c>
      <c r="J1342" s="72"/>
      <c r="K1342" s="33">
        <f>SUM(K1329:K1341)</f>
        <v>0</v>
      </c>
      <c r="L1342" s="34"/>
      <c r="M1342" s="71" t="s">
        <v>28</v>
      </c>
      <c r="N1342" s="73"/>
      <c r="O1342" s="72"/>
      <c r="P1342" s="33">
        <f>SUM(P1329:P1341)</f>
        <v>0</v>
      </c>
      <c r="Q1342" s="34"/>
      <c r="R1342" s="65"/>
    </row>
    <row r="1343" spans="1:18" ht="15.75" thickBot="1" x14ac:dyDescent="0.3"/>
    <row r="1344" spans="1:18" ht="15.75" thickBot="1" x14ac:dyDescent="0.3">
      <c r="A1344" s="2">
        <v>76</v>
      </c>
      <c r="B1344" s="74" t="s">
        <v>50</v>
      </c>
      <c r="C1344" s="75"/>
      <c r="D1344" s="75"/>
      <c r="E1344" s="75"/>
      <c r="F1344" s="76"/>
      <c r="G1344" s="3" t="s">
        <v>0</v>
      </c>
      <c r="H1344" s="77" t="s">
        <v>1</v>
      </c>
      <c r="I1344" s="78"/>
      <c r="J1344" s="78"/>
      <c r="K1344" s="78"/>
      <c r="L1344" s="79"/>
      <c r="M1344" s="80" t="s">
        <v>2</v>
      </c>
      <c r="N1344" s="78"/>
      <c r="O1344" s="78"/>
      <c r="P1344" s="78"/>
      <c r="Q1344" s="79"/>
      <c r="R1344" s="69" t="s">
        <v>29</v>
      </c>
    </row>
    <row r="1345" spans="1:18" x14ac:dyDescent="0.25">
      <c r="A1345" s="4" t="s">
        <v>4</v>
      </c>
      <c r="B1345" s="5" t="s">
        <v>5</v>
      </c>
      <c r="C1345" s="6" t="s">
        <v>6</v>
      </c>
      <c r="D1345" s="6" t="s">
        <v>7</v>
      </c>
      <c r="E1345" s="5" t="s">
        <v>8</v>
      </c>
      <c r="F1345" s="5" t="s">
        <v>9</v>
      </c>
      <c r="G1345" s="7" t="s">
        <v>10</v>
      </c>
      <c r="H1345" s="8" t="s">
        <v>11</v>
      </c>
      <c r="I1345" s="9" t="s">
        <v>0</v>
      </c>
      <c r="J1345" s="9" t="s">
        <v>12</v>
      </c>
      <c r="K1345" s="9" t="s">
        <v>13</v>
      </c>
      <c r="L1345" s="10" t="s">
        <v>14</v>
      </c>
      <c r="M1345" s="9" t="s">
        <v>11</v>
      </c>
      <c r="N1345" s="9" t="s">
        <v>0</v>
      </c>
      <c r="O1345" s="9" t="s">
        <v>12</v>
      </c>
      <c r="P1345" s="9" t="s">
        <v>13</v>
      </c>
      <c r="Q1345" s="10" t="s">
        <v>14</v>
      </c>
      <c r="R1345" s="70"/>
    </row>
    <row r="1346" spans="1:18" x14ac:dyDescent="0.25">
      <c r="A1346" s="12" t="s">
        <v>15</v>
      </c>
      <c r="B1346" s="41"/>
      <c r="C1346" s="41"/>
      <c r="D1346" s="41"/>
      <c r="E1346" s="41">
        <v>0</v>
      </c>
      <c r="F1346" s="41">
        <v>0</v>
      </c>
      <c r="G1346" s="15">
        <f t="shared" ref="G1346:G1358" si="490">SUM(B1346:F1346)</f>
        <v>0</v>
      </c>
      <c r="H1346" s="16"/>
      <c r="I1346" s="17"/>
      <c r="J1346" s="18">
        <v>0</v>
      </c>
      <c r="K1346" s="17"/>
      <c r="L1346" s="17"/>
      <c r="M1346" s="17"/>
      <c r="N1346" s="17"/>
      <c r="O1346" s="17">
        <v>0</v>
      </c>
      <c r="P1346" s="17"/>
      <c r="Q1346" s="17"/>
      <c r="R1346" s="60"/>
    </row>
    <row r="1347" spans="1:18" x14ac:dyDescent="0.25">
      <c r="A1347" s="20" t="s">
        <v>16</v>
      </c>
      <c r="B1347" s="41">
        <v>25000</v>
      </c>
      <c r="C1347" s="43">
        <v>15000</v>
      </c>
      <c r="D1347" s="43">
        <v>20000</v>
      </c>
      <c r="E1347" s="43">
        <v>50000</v>
      </c>
      <c r="F1347" s="43">
        <v>15000</v>
      </c>
      <c r="G1347" s="15">
        <f t="shared" si="490"/>
        <v>125000</v>
      </c>
      <c r="H1347" s="16"/>
      <c r="I1347" s="26"/>
      <c r="J1347" s="25"/>
      <c r="K1347" s="26"/>
      <c r="L1347" s="26"/>
      <c r="M1347" s="25"/>
      <c r="N1347" s="25"/>
      <c r="O1347" s="25"/>
      <c r="P1347" s="25"/>
      <c r="Q1347" s="25"/>
      <c r="R1347" s="60">
        <f>G1347</f>
        <v>125000</v>
      </c>
    </row>
    <row r="1348" spans="1:18" x14ac:dyDescent="0.25">
      <c r="A1348" s="20" t="s">
        <v>17</v>
      </c>
      <c r="B1348" s="42"/>
      <c r="C1348" s="43">
        <v>15000</v>
      </c>
      <c r="D1348" s="43">
        <v>20000</v>
      </c>
      <c r="E1348" s="43">
        <v>50000</v>
      </c>
      <c r="F1348" s="43">
        <v>15000</v>
      </c>
      <c r="G1348" s="15">
        <f t="shared" si="490"/>
        <v>100000</v>
      </c>
      <c r="H1348" s="16" t="s">
        <v>35</v>
      </c>
      <c r="I1348" s="26"/>
      <c r="J1348" s="25"/>
      <c r="K1348" s="26"/>
      <c r="L1348" s="26"/>
      <c r="M1348" s="25"/>
      <c r="N1348" s="25"/>
      <c r="O1348" s="25"/>
      <c r="P1348" s="25"/>
      <c r="Q1348" s="25"/>
      <c r="R1348" s="60">
        <f t="shared" ref="R1348:R1358" si="491">G1348</f>
        <v>100000</v>
      </c>
    </row>
    <row r="1349" spans="1:18" x14ac:dyDescent="0.25">
      <c r="A1349" s="20" t="s">
        <v>18</v>
      </c>
      <c r="B1349" s="42"/>
      <c r="C1349" s="43">
        <v>15000</v>
      </c>
      <c r="D1349" s="43">
        <v>20000</v>
      </c>
      <c r="E1349" s="43">
        <v>50000</v>
      </c>
      <c r="F1349" s="43">
        <v>15000</v>
      </c>
      <c r="G1349" s="15">
        <f t="shared" si="490"/>
        <v>100000</v>
      </c>
      <c r="H1349" s="16"/>
      <c r="I1349" s="26"/>
      <c r="J1349" s="25"/>
      <c r="K1349" s="26"/>
      <c r="L1349" s="26"/>
      <c r="M1349" s="25"/>
      <c r="N1349" s="25"/>
      <c r="O1349" s="25"/>
      <c r="P1349" s="25"/>
      <c r="Q1349" s="25"/>
      <c r="R1349" s="60">
        <f t="shared" si="491"/>
        <v>100000</v>
      </c>
    </row>
    <row r="1350" spans="1:18" x14ac:dyDescent="0.25">
      <c r="A1350" s="20" t="s">
        <v>19</v>
      </c>
      <c r="B1350" s="42"/>
      <c r="C1350" s="43">
        <v>15000</v>
      </c>
      <c r="D1350" s="43">
        <v>20000</v>
      </c>
      <c r="E1350" s="43">
        <v>-150000</v>
      </c>
      <c r="F1350" s="43">
        <v>15000</v>
      </c>
      <c r="G1350" s="15">
        <f t="shared" si="490"/>
        <v>-100000</v>
      </c>
      <c r="H1350" s="16"/>
      <c r="I1350" s="26"/>
      <c r="J1350" s="25"/>
      <c r="K1350" s="26"/>
      <c r="L1350" s="26"/>
      <c r="M1350" s="25"/>
      <c r="N1350" s="25"/>
      <c r="O1350" s="25"/>
      <c r="P1350" s="25"/>
      <c r="Q1350" s="25"/>
      <c r="R1350" s="60">
        <f t="shared" si="491"/>
        <v>-100000</v>
      </c>
    </row>
    <row r="1351" spans="1:18" x14ac:dyDescent="0.25">
      <c r="A1351" s="20" t="s">
        <v>20</v>
      </c>
      <c r="B1351" s="42"/>
      <c r="C1351" s="43">
        <v>15000</v>
      </c>
      <c r="D1351" s="43">
        <v>20000</v>
      </c>
      <c r="E1351" s="43">
        <v>50000</v>
      </c>
      <c r="F1351" s="43">
        <v>15000</v>
      </c>
      <c r="G1351" s="15">
        <f>SUM(B1351:F1351)</f>
        <v>100000</v>
      </c>
      <c r="H1351" s="16"/>
      <c r="I1351" s="26"/>
      <c r="J1351" s="25"/>
      <c r="K1351" s="26"/>
      <c r="L1351" s="26"/>
      <c r="M1351" s="25"/>
      <c r="N1351" s="25"/>
      <c r="O1351" s="25"/>
      <c r="P1351" s="25"/>
      <c r="Q1351" s="25"/>
      <c r="R1351" s="60">
        <f t="shared" si="491"/>
        <v>100000</v>
      </c>
    </row>
    <row r="1352" spans="1:18" x14ac:dyDescent="0.25">
      <c r="A1352" s="20" t="s">
        <v>21</v>
      </c>
      <c r="B1352" s="42"/>
      <c r="C1352" s="43">
        <v>15000</v>
      </c>
      <c r="D1352" s="43">
        <v>20000</v>
      </c>
      <c r="E1352" s="43">
        <v>50000</v>
      </c>
      <c r="F1352" s="43">
        <v>15000</v>
      </c>
      <c r="G1352" s="15">
        <f t="shared" si="490"/>
        <v>100000</v>
      </c>
      <c r="H1352" s="16"/>
      <c r="I1352" s="26"/>
      <c r="J1352" s="25"/>
      <c r="K1352" s="26"/>
      <c r="L1352" s="26"/>
      <c r="M1352" s="25"/>
      <c r="N1352" s="25"/>
      <c r="O1352" s="25"/>
      <c r="P1352" s="25"/>
      <c r="Q1352" s="25"/>
      <c r="R1352" s="60">
        <f t="shared" si="491"/>
        <v>100000</v>
      </c>
    </row>
    <row r="1353" spans="1:18" x14ac:dyDescent="0.25">
      <c r="A1353" s="20" t="s">
        <v>22</v>
      </c>
      <c r="B1353" s="42"/>
      <c r="C1353" s="43">
        <v>15000</v>
      </c>
      <c r="D1353" s="43">
        <v>20000</v>
      </c>
      <c r="E1353" s="43">
        <v>50000</v>
      </c>
      <c r="F1353" s="43">
        <v>15000</v>
      </c>
      <c r="G1353" s="15">
        <f t="shared" si="490"/>
        <v>100000</v>
      </c>
      <c r="H1353" s="16"/>
      <c r="I1353" s="26"/>
      <c r="J1353" s="25"/>
      <c r="K1353" s="26"/>
      <c r="L1353" s="26"/>
      <c r="M1353" s="25"/>
      <c r="N1353" s="25"/>
      <c r="O1353" s="25"/>
      <c r="P1353" s="25"/>
      <c r="Q1353" s="25"/>
      <c r="R1353" s="60">
        <f t="shared" si="491"/>
        <v>100000</v>
      </c>
    </row>
    <row r="1354" spans="1:18" x14ac:dyDescent="0.25">
      <c r="A1354" s="20" t="s">
        <v>23</v>
      </c>
      <c r="B1354" s="42"/>
      <c r="C1354" s="43">
        <v>15000</v>
      </c>
      <c r="D1354" s="43">
        <v>20000</v>
      </c>
      <c r="E1354" s="43">
        <v>50000</v>
      </c>
      <c r="F1354" s="43">
        <v>15000</v>
      </c>
      <c r="G1354" s="15">
        <f t="shared" si="490"/>
        <v>100000</v>
      </c>
      <c r="H1354" s="16"/>
      <c r="I1354" s="26"/>
      <c r="J1354" s="25"/>
      <c r="K1354" s="26"/>
      <c r="L1354" s="26"/>
      <c r="M1354" s="25"/>
      <c r="N1354" s="25"/>
      <c r="O1354" s="25"/>
      <c r="P1354" s="25"/>
      <c r="Q1354" s="25"/>
      <c r="R1354" s="60">
        <f t="shared" si="491"/>
        <v>100000</v>
      </c>
    </row>
    <row r="1355" spans="1:18" x14ac:dyDescent="0.25">
      <c r="A1355" s="20" t="s">
        <v>24</v>
      </c>
      <c r="B1355" s="42"/>
      <c r="C1355" s="43">
        <v>15000</v>
      </c>
      <c r="D1355" s="43">
        <v>20000</v>
      </c>
      <c r="E1355" s="43">
        <v>50000</v>
      </c>
      <c r="F1355" s="43">
        <v>15000</v>
      </c>
      <c r="G1355" s="15">
        <f t="shared" si="490"/>
        <v>100000</v>
      </c>
      <c r="H1355" s="16"/>
      <c r="I1355" s="26"/>
      <c r="J1355" s="25"/>
      <c r="K1355" s="26"/>
      <c r="L1355" s="26"/>
      <c r="M1355" s="25"/>
      <c r="N1355" s="25"/>
      <c r="O1355" s="25"/>
      <c r="P1355" s="25"/>
      <c r="Q1355" s="25"/>
      <c r="R1355" s="60">
        <f t="shared" si="491"/>
        <v>100000</v>
      </c>
    </row>
    <row r="1356" spans="1:18" x14ac:dyDescent="0.25">
      <c r="A1356" s="20" t="s">
        <v>25</v>
      </c>
      <c r="B1356" s="42"/>
      <c r="C1356" s="43">
        <v>15000</v>
      </c>
      <c r="D1356" s="43">
        <v>20000</v>
      </c>
      <c r="E1356" s="43">
        <v>50000</v>
      </c>
      <c r="F1356" s="43">
        <v>15000</v>
      </c>
      <c r="G1356" s="15">
        <f t="shared" si="490"/>
        <v>100000</v>
      </c>
      <c r="H1356" s="16"/>
      <c r="I1356" s="26"/>
      <c r="J1356" s="25"/>
      <c r="K1356" s="26"/>
      <c r="L1356" s="26"/>
      <c r="M1356" s="25"/>
      <c r="N1356" s="25"/>
      <c r="O1356" s="25"/>
      <c r="P1356" s="25"/>
      <c r="Q1356" s="25"/>
      <c r="R1356" s="60">
        <f t="shared" si="491"/>
        <v>100000</v>
      </c>
    </row>
    <row r="1357" spans="1:18" x14ac:dyDescent="0.25">
      <c r="A1357" s="20" t="s">
        <v>26</v>
      </c>
      <c r="B1357" s="42"/>
      <c r="C1357" s="43">
        <v>15000</v>
      </c>
      <c r="D1357" s="43">
        <v>20000</v>
      </c>
      <c r="E1357" s="43">
        <v>50000</v>
      </c>
      <c r="F1357" s="43">
        <v>15000</v>
      </c>
      <c r="G1357" s="15">
        <f t="shared" si="490"/>
        <v>100000</v>
      </c>
      <c r="H1357" s="16"/>
      <c r="I1357" s="26"/>
      <c r="J1357" s="25"/>
      <c r="K1357" s="26"/>
      <c r="L1357" s="26"/>
      <c r="M1357" s="25"/>
      <c r="N1357" s="25"/>
      <c r="O1357" s="25"/>
      <c r="P1357" s="25"/>
      <c r="Q1357" s="25"/>
      <c r="R1357" s="60">
        <f t="shared" si="491"/>
        <v>100000</v>
      </c>
    </row>
    <row r="1358" spans="1:18" ht="15.75" thickBot="1" x14ac:dyDescent="0.3">
      <c r="A1358" s="12" t="s">
        <v>15</v>
      </c>
      <c r="B1358" s="42"/>
      <c r="C1358" s="43">
        <v>15000</v>
      </c>
      <c r="D1358" s="43">
        <v>20000</v>
      </c>
      <c r="E1358" s="43">
        <v>50000</v>
      </c>
      <c r="F1358" s="43">
        <v>15000</v>
      </c>
      <c r="G1358" s="15">
        <f t="shared" si="490"/>
        <v>100000</v>
      </c>
      <c r="H1358" s="16"/>
      <c r="I1358" s="26"/>
      <c r="J1358" s="25"/>
      <c r="K1358" s="26"/>
      <c r="L1358" s="26"/>
      <c r="M1358" s="25"/>
      <c r="N1358" s="25"/>
      <c r="O1358" s="25"/>
      <c r="P1358" s="25"/>
      <c r="Q1358" s="25"/>
      <c r="R1358" s="60">
        <f t="shared" si="491"/>
        <v>100000</v>
      </c>
    </row>
    <row r="1359" spans="1:18" ht="15.75" thickBot="1" x14ac:dyDescent="0.3">
      <c r="A1359" s="29" t="s">
        <v>0</v>
      </c>
      <c r="B1359" s="30">
        <f t="shared" ref="B1359:G1359" si="492">SUM(B1346:B1358)</f>
        <v>25000</v>
      </c>
      <c r="C1359" s="30">
        <f t="shared" si="492"/>
        <v>180000</v>
      </c>
      <c r="D1359" s="30">
        <f t="shared" si="492"/>
        <v>240000</v>
      </c>
      <c r="E1359" s="30">
        <f t="shared" si="492"/>
        <v>400000</v>
      </c>
      <c r="F1359" s="30">
        <f t="shared" si="492"/>
        <v>180000</v>
      </c>
      <c r="G1359" s="31">
        <f t="shared" si="492"/>
        <v>1025000</v>
      </c>
      <c r="H1359" s="32"/>
      <c r="I1359" s="71" t="s">
        <v>27</v>
      </c>
      <c r="J1359" s="72"/>
      <c r="K1359" s="33">
        <f>SUM(K1346:K1358)</f>
        <v>0</v>
      </c>
      <c r="L1359" s="34"/>
      <c r="M1359" s="71" t="s">
        <v>28</v>
      </c>
      <c r="N1359" s="73"/>
      <c r="O1359" s="72"/>
      <c r="P1359" s="33">
        <f>SUM(P1346:P1358)</f>
        <v>0</v>
      </c>
      <c r="Q1359" s="34"/>
      <c r="R1359" s="65"/>
    </row>
    <row r="1360" spans="1:18" ht="15.75" thickBot="1" x14ac:dyDescent="0.3"/>
    <row r="1361" spans="1:18" ht="15.75" thickBot="1" x14ac:dyDescent="0.3">
      <c r="A1361" s="2">
        <v>76</v>
      </c>
      <c r="B1361" s="74" t="s">
        <v>52</v>
      </c>
      <c r="C1361" s="75"/>
      <c r="D1361" s="75"/>
      <c r="E1361" s="75"/>
      <c r="F1361" s="76"/>
      <c r="G1361" s="3" t="s">
        <v>0</v>
      </c>
      <c r="H1361" s="77" t="s">
        <v>1</v>
      </c>
      <c r="I1361" s="78"/>
      <c r="J1361" s="78"/>
      <c r="K1361" s="78"/>
      <c r="L1361" s="79"/>
      <c r="M1361" s="80" t="s">
        <v>2</v>
      </c>
      <c r="N1361" s="78"/>
      <c r="O1361" s="78"/>
      <c r="P1361" s="78"/>
      <c r="Q1361" s="79"/>
      <c r="R1361" s="69" t="s">
        <v>29</v>
      </c>
    </row>
    <row r="1362" spans="1:18" x14ac:dyDescent="0.25">
      <c r="A1362" s="4" t="s">
        <v>4</v>
      </c>
      <c r="B1362" s="5" t="s">
        <v>5</v>
      </c>
      <c r="C1362" s="6" t="s">
        <v>6</v>
      </c>
      <c r="D1362" s="6" t="s">
        <v>7</v>
      </c>
      <c r="E1362" s="5" t="s">
        <v>8</v>
      </c>
      <c r="F1362" s="5" t="s">
        <v>9</v>
      </c>
      <c r="G1362" s="7" t="s">
        <v>10</v>
      </c>
      <c r="H1362" s="8" t="s">
        <v>11</v>
      </c>
      <c r="I1362" s="9" t="s">
        <v>0</v>
      </c>
      <c r="J1362" s="9" t="s">
        <v>12</v>
      </c>
      <c r="K1362" s="9" t="s">
        <v>13</v>
      </c>
      <c r="L1362" s="10" t="s">
        <v>14</v>
      </c>
      <c r="M1362" s="9" t="s">
        <v>11</v>
      </c>
      <c r="N1362" s="9" t="s">
        <v>0</v>
      </c>
      <c r="O1362" s="9" t="s">
        <v>12</v>
      </c>
      <c r="P1362" s="9" t="s">
        <v>13</v>
      </c>
      <c r="Q1362" s="10" t="s">
        <v>14</v>
      </c>
      <c r="R1362" s="70"/>
    </row>
    <row r="1363" spans="1:18" x14ac:dyDescent="0.25">
      <c r="A1363" s="12" t="s">
        <v>15</v>
      </c>
      <c r="B1363" s="41"/>
      <c r="C1363" s="41"/>
      <c r="D1363" s="41"/>
      <c r="E1363" s="41">
        <v>0</v>
      </c>
      <c r="F1363" s="41">
        <v>0</v>
      </c>
      <c r="G1363" s="15">
        <f t="shared" ref="G1363:G1375" si="493">SUM(B1363:F1363)</f>
        <v>0</v>
      </c>
      <c r="H1363" s="16"/>
      <c r="I1363" s="17"/>
      <c r="J1363" s="18">
        <v>0</v>
      </c>
      <c r="K1363" s="17"/>
      <c r="L1363" s="17"/>
      <c r="M1363" s="17"/>
      <c r="N1363" s="17"/>
      <c r="O1363" s="17">
        <v>0</v>
      </c>
      <c r="P1363" s="17"/>
      <c r="Q1363" s="17"/>
      <c r="R1363" s="60"/>
    </row>
    <row r="1364" spans="1:18" x14ac:dyDescent="0.25">
      <c r="A1364" s="20" t="s">
        <v>16</v>
      </c>
      <c r="B1364" s="41">
        <v>25000</v>
      </c>
      <c r="C1364" s="43">
        <v>15000</v>
      </c>
      <c r="D1364" s="43">
        <v>10000</v>
      </c>
      <c r="E1364" s="43">
        <v>60000</v>
      </c>
      <c r="F1364" s="43">
        <v>15000</v>
      </c>
      <c r="G1364" s="15">
        <f t="shared" si="493"/>
        <v>125000</v>
      </c>
      <c r="H1364" s="16"/>
      <c r="I1364" s="26"/>
      <c r="J1364" s="25"/>
      <c r="K1364" s="26"/>
      <c r="L1364" s="26"/>
      <c r="M1364" s="25"/>
      <c r="N1364" s="25"/>
      <c r="O1364" s="25"/>
      <c r="P1364" s="25"/>
      <c r="Q1364" s="25"/>
      <c r="R1364" s="60">
        <f>G1364</f>
        <v>125000</v>
      </c>
    </row>
    <row r="1365" spans="1:18" x14ac:dyDescent="0.25">
      <c r="A1365" s="20" t="s">
        <v>17</v>
      </c>
      <c r="B1365" s="42"/>
      <c r="C1365" s="43">
        <v>15000</v>
      </c>
      <c r="D1365" s="43">
        <v>10000</v>
      </c>
      <c r="E1365" s="43">
        <v>60000</v>
      </c>
      <c r="F1365" s="43">
        <v>15000</v>
      </c>
      <c r="G1365" s="15">
        <f t="shared" si="493"/>
        <v>100000</v>
      </c>
      <c r="H1365" s="16" t="s">
        <v>35</v>
      </c>
      <c r="I1365" s="26"/>
      <c r="J1365" s="25"/>
      <c r="K1365" s="26"/>
      <c r="L1365" s="26"/>
      <c r="M1365" s="25"/>
      <c r="N1365" s="25"/>
      <c r="O1365" s="25"/>
      <c r="P1365" s="25"/>
      <c r="Q1365" s="25"/>
      <c r="R1365" s="60">
        <f t="shared" ref="R1365:R1375" si="494">G1365</f>
        <v>100000</v>
      </c>
    </row>
    <row r="1366" spans="1:18" x14ac:dyDescent="0.25">
      <c r="A1366" s="20" t="s">
        <v>18</v>
      </c>
      <c r="B1366" s="42"/>
      <c r="C1366" s="43">
        <v>15000</v>
      </c>
      <c r="D1366" s="43">
        <v>10000</v>
      </c>
      <c r="E1366" s="43">
        <v>60000</v>
      </c>
      <c r="F1366" s="43">
        <v>15000</v>
      </c>
      <c r="G1366" s="15">
        <f t="shared" si="493"/>
        <v>100000</v>
      </c>
      <c r="H1366" s="16"/>
      <c r="I1366" s="26"/>
      <c r="J1366" s="25"/>
      <c r="K1366" s="26"/>
      <c r="L1366" s="26"/>
      <c r="M1366" s="25"/>
      <c r="N1366" s="25"/>
      <c r="O1366" s="25"/>
      <c r="P1366" s="25"/>
      <c r="Q1366" s="25"/>
      <c r="R1366" s="60">
        <f t="shared" si="494"/>
        <v>100000</v>
      </c>
    </row>
    <row r="1367" spans="1:18" x14ac:dyDescent="0.25">
      <c r="A1367" s="20" t="s">
        <v>19</v>
      </c>
      <c r="B1367" s="42"/>
      <c r="C1367" s="43">
        <v>15000</v>
      </c>
      <c r="D1367" s="43">
        <v>10000</v>
      </c>
      <c r="E1367" s="43">
        <v>-180000</v>
      </c>
      <c r="F1367" s="43">
        <v>15000</v>
      </c>
      <c r="G1367" s="15">
        <f t="shared" si="493"/>
        <v>-140000</v>
      </c>
      <c r="H1367" s="16"/>
      <c r="I1367" s="26"/>
      <c r="J1367" s="25"/>
      <c r="K1367" s="26"/>
      <c r="L1367" s="26"/>
      <c r="M1367" s="25"/>
      <c r="N1367" s="25"/>
      <c r="O1367" s="25"/>
      <c r="P1367" s="25"/>
      <c r="Q1367" s="25"/>
      <c r="R1367" s="60">
        <f t="shared" si="494"/>
        <v>-140000</v>
      </c>
    </row>
    <row r="1368" spans="1:18" x14ac:dyDescent="0.25">
      <c r="A1368" s="20" t="s">
        <v>20</v>
      </c>
      <c r="B1368" s="42"/>
      <c r="C1368" s="43">
        <v>15000</v>
      </c>
      <c r="D1368" s="43">
        <v>10000</v>
      </c>
      <c r="E1368" s="43">
        <v>60000</v>
      </c>
      <c r="F1368" s="43">
        <v>15000</v>
      </c>
      <c r="G1368" s="15">
        <f t="shared" si="493"/>
        <v>100000</v>
      </c>
      <c r="H1368" s="16"/>
      <c r="I1368" s="26"/>
      <c r="J1368" s="25"/>
      <c r="K1368" s="26"/>
      <c r="L1368" s="26"/>
      <c r="M1368" s="25"/>
      <c r="N1368" s="25"/>
      <c r="O1368" s="25"/>
      <c r="P1368" s="25"/>
      <c r="Q1368" s="25"/>
      <c r="R1368" s="60">
        <f t="shared" si="494"/>
        <v>100000</v>
      </c>
    </row>
    <row r="1369" spans="1:18" x14ac:dyDescent="0.25">
      <c r="A1369" s="20" t="s">
        <v>21</v>
      </c>
      <c r="B1369" s="42"/>
      <c r="C1369" s="43">
        <v>15000</v>
      </c>
      <c r="D1369" s="43">
        <v>10000</v>
      </c>
      <c r="E1369" s="43">
        <v>60000</v>
      </c>
      <c r="F1369" s="43">
        <v>15000</v>
      </c>
      <c r="G1369" s="15">
        <f t="shared" si="493"/>
        <v>100000</v>
      </c>
      <c r="H1369" s="16"/>
      <c r="I1369" s="26"/>
      <c r="J1369" s="25"/>
      <c r="K1369" s="26"/>
      <c r="L1369" s="26"/>
      <c r="M1369" s="25"/>
      <c r="N1369" s="25"/>
      <c r="O1369" s="25"/>
      <c r="P1369" s="25"/>
      <c r="Q1369" s="25"/>
      <c r="R1369" s="60">
        <f t="shared" si="494"/>
        <v>100000</v>
      </c>
    </row>
    <row r="1370" spans="1:18" x14ac:dyDescent="0.25">
      <c r="A1370" s="20" t="s">
        <v>22</v>
      </c>
      <c r="B1370" s="42"/>
      <c r="C1370" s="43">
        <v>15000</v>
      </c>
      <c r="D1370" s="43">
        <v>10000</v>
      </c>
      <c r="E1370" s="43">
        <v>60000</v>
      </c>
      <c r="F1370" s="43">
        <v>15000</v>
      </c>
      <c r="G1370" s="15">
        <f t="shared" si="493"/>
        <v>100000</v>
      </c>
      <c r="H1370" s="16"/>
      <c r="I1370" s="26"/>
      <c r="J1370" s="25"/>
      <c r="K1370" s="26"/>
      <c r="L1370" s="26"/>
      <c r="M1370" s="25"/>
      <c r="N1370" s="25"/>
      <c r="O1370" s="25"/>
      <c r="P1370" s="25"/>
      <c r="Q1370" s="25"/>
      <c r="R1370" s="60">
        <f t="shared" si="494"/>
        <v>100000</v>
      </c>
    </row>
    <row r="1371" spans="1:18" x14ac:dyDescent="0.25">
      <c r="A1371" s="20" t="s">
        <v>23</v>
      </c>
      <c r="B1371" s="42"/>
      <c r="C1371" s="43">
        <v>15000</v>
      </c>
      <c r="D1371" s="43">
        <v>10000</v>
      </c>
      <c r="E1371" s="43">
        <v>60000</v>
      </c>
      <c r="F1371" s="43">
        <v>15000</v>
      </c>
      <c r="G1371" s="15">
        <f t="shared" si="493"/>
        <v>100000</v>
      </c>
      <c r="H1371" s="16"/>
      <c r="I1371" s="26"/>
      <c r="J1371" s="25"/>
      <c r="K1371" s="26"/>
      <c r="L1371" s="26"/>
      <c r="M1371" s="25"/>
      <c r="N1371" s="25"/>
      <c r="O1371" s="25"/>
      <c r="P1371" s="25"/>
      <c r="Q1371" s="25"/>
      <c r="R1371" s="60">
        <f t="shared" si="494"/>
        <v>100000</v>
      </c>
    </row>
    <row r="1372" spans="1:18" x14ac:dyDescent="0.25">
      <c r="A1372" s="20" t="s">
        <v>24</v>
      </c>
      <c r="B1372" s="42"/>
      <c r="C1372" s="43">
        <v>15000</v>
      </c>
      <c r="D1372" s="43">
        <v>10000</v>
      </c>
      <c r="E1372" s="43">
        <v>60000</v>
      </c>
      <c r="F1372" s="43">
        <v>15000</v>
      </c>
      <c r="G1372" s="15">
        <f t="shared" si="493"/>
        <v>100000</v>
      </c>
      <c r="H1372" s="16"/>
      <c r="I1372" s="26"/>
      <c r="J1372" s="25"/>
      <c r="K1372" s="26"/>
      <c r="L1372" s="26"/>
      <c r="M1372" s="25"/>
      <c r="N1372" s="25"/>
      <c r="O1372" s="25"/>
      <c r="P1372" s="25"/>
      <c r="Q1372" s="25"/>
      <c r="R1372" s="60">
        <f t="shared" si="494"/>
        <v>100000</v>
      </c>
    </row>
    <row r="1373" spans="1:18" x14ac:dyDescent="0.25">
      <c r="A1373" s="20" t="s">
        <v>25</v>
      </c>
      <c r="B1373" s="42"/>
      <c r="C1373" s="43">
        <v>15000</v>
      </c>
      <c r="D1373" s="43">
        <v>10000</v>
      </c>
      <c r="E1373" s="43">
        <v>60000</v>
      </c>
      <c r="F1373" s="43">
        <v>15000</v>
      </c>
      <c r="G1373" s="15">
        <f t="shared" si="493"/>
        <v>100000</v>
      </c>
      <c r="H1373" s="16"/>
      <c r="I1373" s="26"/>
      <c r="J1373" s="25"/>
      <c r="K1373" s="26"/>
      <c r="L1373" s="26"/>
      <c r="M1373" s="25"/>
      <c r="N1373" s="25"/>
      <c r="O1373" s="25"/>
      <c r="P1373" s="25"/>
      <c r="Q1373" s="25"/>
      <c r="R1373" s="60">
        <f t="shared" si="494"/>
        <v>100000</v>
      </c>
    </row>
    <row r="1374" spans="1:18" x14ac:dyDescent="0.25">
      <c r="A1374" s="20" t="s">
        <v>26</v>
      </c>
      <c r="B1374" s="42"/>
      <c r="C1374" s="43">
        <v>15000</v>
      </c>
      <c r="D1374" s="43">
        <v>10000</v>
      </c>
      <c r="E1374" s="43">
        <v>60000</v>
      </c>
      <c r="F1374" s="43">
        <v>15000</v>
      </c>
      <c r="G1374" s="15">
        <f t="shared" si="493"/>
        <v>100000</v>
      </c>
      <c r="H1374" s="16"/>
      <c r="I1374" s="26"/>
      <c r="J1374" s="25"/>
      <c r="K1374" s="26"/>
      <c r="L1374" s="26"/>
      <c r="M1374" s="25"/>
      <c r="N1374" s="25"/>
      <c r="O1374" s="25"/>
      <c r="P1374" s="25"/>
      <c r="Q1374" s="25"/>
      <c r="R1374" s="60">
        <f t="shared" si="494"/>
        <v>100000</v>
      </c>
    </row>
    <row r="1375" spans="1:18" ht="15.75" thickBot="1" x14ac:dyDescent="0.3">
      <c r="A1375" s="12" t="s">
        <v>15</v>
      </c>
      <c r="B1375" s="42"/>
      <c r="C1375" s="43">
        <v>15000</v>
      </c>
      <c r="D1375" s="43">
        <v>10000</v>
      </c>
      <c r="E1375" s="43">
        <v>60000</v>
      </c>
      <c r="F1375" s="43">
        <v>15000</v>
      </c>
      <c r="G1375" s="15">
        <f t="shared" si="493"/>
        <v>100000</v>
      </c>
      <c r="H1375" s="16"/>
      <c r="I1375" s="26"/>
      <c r="J1375" s="25"/>
      <c r="K1375" s="26"/>
      <c r="L1375" s="26"/>
      <c r="M1375" s="25"/>
      <c r="N1375" s="25"/>
      <c r="O1375" s="25"/>
      <c r="P1375" s="25"/>
      <c r="Q1375" s="25"/>
      <c r="R1375" s="60">
        <f t="shared" si="494"/>
        <v>100000</v>
      </c>
    </row>
    <row r="1376" spans="1:18" ht="15.75" thickBot="1" x14ac:dyDescent="0.3">
      <c r="A1376" s="29" t="s">
        <v>0</v>
      </c>
      <c r="B1376" s="30">
        <f t="shared" ref="B1376:G1376" si="495">SUM(B1363:B1375)</f>
        <v>25000</v>
      </c>
      <c r="C1376" s="30">
        <f t="shared" si="495"/>
        <v>180000</v>
      </c>
      <c r="D1376" s="30">
        <f t="shared" si="495"/>
        <v>120000</v>
      </c>
      <c r="E1376" s="30">
        <f t="shared" si="495"/>
        <v>480000</v>
      </c>
      <c r="F1376" s="30">
        <f t="shared" si="495"/>
        <v>180000</v>
      </c>
      <c r="G1376" s="31">
        <f t="shared" si="495"/>
        <v>985000</v>
      </c>
      <c r="H1376" s="32"/>
      <c r="I1376" s="71" t="s">
        <v>27</v>
      </c>
      <c r="J1376" s="72"/>
      <c r="K1376" s="33">
        <f>SUM(K1363:K1375)</f>
        <v>0</v>
      </c>
      <c r="L1376" s="34"/>
      <c r="M1376" s="71" t="s">
        <v>28</v>
      </c>
      <c r="N1376" s="73"/>
      <c r="O1376" s="72"/>
      <c r="P1376" s="33">
        <f>SUM(P1363:P1375)</f>
        <v>0</v>
      </c>
      <c r="Q1376" s="34"/>
      <c r="R1376" s="65"/>
    </row>
    <row r="1377" spans="1:18" ht="15.75" thickBot="1" x14ac:dyDescent="0.3"/>
    <row r="1378" spans="1:18" ht="15.75" thickBot="1" x14ac:dyDescent="0.3">
      <c r="A1378" s="2">
        <v>56</v>
      </c>
      <c r="B1378" s="74" t="s">
        <v>53</v>
      </c>
      <c r="C1378" s="75"/>
      <c r="D1378" s="75"/>
      <c r="E1378" s="75"/>
      <c r="F1378" s="76"/>
      <c r="G1378" s="3" t="s">
        <v>0</v>
      </c>
      <c r="H1378" s="77" t="s">
        <v>1</v>
      </c>
      <c r="I1378" s="78"/>
      <c r="J1378" s="78"/>
      <c r="K1378" s="78"/>
      <c r="L1378" s="79"/>
      <c r="M1378" s="80" t="s">
        <v>2</v>
      </c>
      <c r="N1378" s="78"/>
      <c r="O1378" s="78"/>
      <c r="P1378" s="78"/>
      <c r="Q1378" s="79"/>
      <c r="R1378" s="69" t="s">
        <v>29</v>
      </c>
    </row>
    <row r="1379" spans="1:18" x14ac:dyDescent="0.25">
      <c r="A1379" s="4" t="s">
        <v>4</v>
      </c>
      <c r="B1379" s="5" t="s">
        <v>5</v>
      </c>
      <c r="C1379" s="6" t="s">
        <v>6</v>
      </c>
      <c r="D1379" s="6" t="s">
        <v>7</v>
      </c>
      <c r="E1379" s="5" t="s">
        <v>8</v>
      </c>
      <c r="F1379" s="5" t="s">
        <v>9</v>
      </c>
      <c r="G1379" s="7" t="s">
        <v>10</v>
      </c>
      <c r="H1379" s="8" t="s">
        <v>11</v>
      </c>
      <c r="I1379" s="9" t="s">
        <v>0</v>
      </c>
      <c r="J1379" s="9" t="s">
        <v>12</v>
      </c>
      <c r="K1379" s="9" t="s">
        <v>13</v>
      </c>
      <c r="L1379" s="10" t="s">
        <v>14</v>
      </c>
      <c r="M1379" s="9" t="s">
        <v>11</v>
      </c>
      <c r="N1379" s="9" t="s">
        <v>0</v>
      </c>
      <c r="O1379" s="9" t="s">
        <v>12</v>
      </c>
      <c r="P1379" s="9" t="s">
        <v>13</v>
      </c>
      <c r="Q1379" s="10" t="s">
        <v>14</v>
      </c>
      <c r="R1379" s="70"/>
    </row>
    <row r="1380" spans="1:18" x14ac:dyDescent="0.25">
      <c r="A1380" s="12" t="s">
        <v>15</v>
      </c>
      <c r="B1380" s="41"/>
      <c r="C1380" s="41"/>
      <c r="D1380" s="41"/>
      <c r="E1380" s="41">
        <v>0</v>
      </c>
      <c r="F1380" s="41">
        <v>0</v>
      </c>
      <c r="G1380" s="15">
        <f t="shared" ref="G1380:G1392" si="496">SUM(B1380:F1380)</f>
        <v>0</v>
      </c>
      <c r="H1380" s="16"/>
      <c r="I1380" s="17"/>
      <c r="J1380" s="18">
        <v>0</v>
      </c>
      <c r="K1380" s="17"/>
      <c r="L1380" s="17"/>
      <c r="M1380" s="17"/>
      <c r="N1380" s="17"/>
      <c r="O1380" s="17">
        <v>0</v>
      </c>
      <c r="P1380" s="17"/>
      <c r="Q1380" s="17"/>
      <c r="R1380" s="60"/>
    </row>
    <row r="1381" spans="1:18" x14ac:dyDescent="0.25">
      <c r="A1381" s="20" t="s">
        <v>16</v>
      </c>
      <c r="B1381" s="41">
        <v>25000</v>
      </c>
      <c r="C1381" s="43">
        <v>10000</v>
      </c>
      <c r="D1381" s="43">
        <v>30000</v>
      </c>
      <c r="E1381" s="43">
        <v>50000</v>
      </c>
      <c r="F1381" s="43">
        <v>10000</v>
      </c>
      <c r="G1381" s="15">
        <f t="shared" si="496"/>
        <v>125000</v>
      </c>
      <c r="H1381" s="16"/>
      <c r="I1381" s="26"/>
      <c r="J1381" s="25"/>
      <c r="K1381" s="26"/>
      <c r="L1381" s="26"/>
      <c r="M1381" s="25"/>
      <c r="N1381" s="25"/>
      <c r="O1381" s="25"/>
      <c r="P1381" s="25"/>
      <c r="Q1381" s="25"/>
      <c r="R1381" s="60">
        <f>G1381</f>
        <v>125000</v>
      </c>
    </row>
    <row r="1382" spans="1:18" x14ac:dyDescent="0.25">
      <c r="A1382" s="20" t="s">
        <v>17</v>
      </c>
      <c r="B1382" s="42"/>
      <c r="C1382" s="43">
        <v>10000</v>
      </c>
      <c r="D1382" s="43">
        <v>30000</v>
      </c>
      <c r="E1382" s="43">
        <v>50000</v>
      </c>
      <c r="F1382" s="43">
        <v>10000</v>
      </c>
      <c r="G1382" s="15">
        <f t="shared" si="496"/>
        <v>100000</v>
      </c>
      <c r="H1382" s="16" t="s">
        <v>35</v>
      </c>
      <c r="I1382" s="26"/>
      <c r="J1382" s="25"/>
      <c r="K1382" s="26"/>
      <c r="L1382" s="26"/>
      <c r="M1382" s="25"/>
      <c r="N1382" s="25"/>
      <c r="O1382" s="25"/>
      <c r="P1382" s="25"/>
      <c r="Q1382" s="25"/>
      <c r="R1382" s="60">
        <f t="shared" ref="R1382:R1386" si="497">G1382</f>
        <v>100000</v>
      </c>
    </row>
    <row r="1383" spans="1:18" x14ac:dyDescent="0.25">
      <c r="A1383" s="20" t="s">
        <v>18</v>
      </c>
      <c r="B1383" s="42"/>
      <c r="C1383" s="43">
        <v>10000</v>
      </c>
      <c r="D1383" s="43">
        <v>30000</v>
      </c>
      <c r="E1383" s="43">
        <v>50000</v>
      </c>
      <c r="F1383" s="43">
        <v>10000</v>
      </c>
      <c r="G1383" s="15">
        <f t="shared" si="496"/>
        <v>100000</v>
      </c>
      <c r="H1383" s="16"/>
      <c r="I1383" s="26"/>
      <c r="J1383" s="25"/>
      <c r="K1383" s="26"/>
      <c r="L1383" s="26"/>
      <c r="M1383" s="25"/>
      <c r="N1383" s="25"/>
      <c r="O1383" s="25"/>
      <c r="P1383" s="25"/>
      <c r="Q1383" s="25"/>
      <c r="R1383" s="60">
        <f t="shared" si="497"/>
        <v>100000</v>
      </c>
    </row>
    <row r="1384" spans="1:18" x14ac:dyDescent="0.25">
      <c r="A1384" s="20" t="s">
        <v>19</v>
      </c>
      <c r="B1384" s="42"/>
      <c r="C1384" s="43">
        <v>10000</v>
      </c>
      <c r="D1384" s="43">
        <v>30000</v>
      </c>
      <c r="E1384" s="43">
        <v>50000</v>
      </c>
      <c r="F1384" s="43">
        <v>10000</v>
      </c>
      <c r="G1384" s="15">
        <f t="shared" si="496"/>
        <v>100000</v>
      </c>
      <c r="H1384" s="16"/>
      <c r="I1384" s="26"/>
      <c r="J1384" s="25"/>
      <c r="K1384" s="26"/>
      <c r="L1384" s="26"/>
      <c r="M1384" s="25"/>
      <c r="N1384" s="25"/>
      <c r="O1384" s="25"/>
      <c r="P1384" s="25"/>
      <c r="Q1384" s="25"/>
      <c r="R1384" s="60">
        <f t="shared" si="497"/>
        <v>100000</v>
      </c>
    </row>
    <row r="1385" spans="1:18" x14ac:dyDescent="0.25">
      <c r="A1385" s="20" t="s">
        <v>20</v>
      </c>
      <c r="B1385" s="42"/>
      <c r="C1385" s="43">
        <v>10000</v>
      </c>
      <c r="D1385" s="43">
        <v>30000</v>
      </c>
      <c r="E1385" s="43">
        <v>50000</v>
      </c>
      <c r="F1385" s="43">
        <v>10000</v>
      </c>
      <c r="G1385" s="15">
        <f t="shared" si="496"/>
        <v>100000</v>
      </c>
      <c r="H1385" s="16"/>
      <c r="I1385" s="26"/>
      <c r="J1385" s="25"/>
      <c r="K1385" s="26"/>
      <c r="L1385" s="26"/>
      <c r="M1385" s="25"/>
      <c r="N1385" s="25"/>
      <c r="O1385" s="25"/>
      <c r="P1385" s="25"/>
      <c r="Q1385" s="25"/>
      <c r="R1385" s="60">
        <f t="shared" si="497"/>
        <v>100000</v>
      </c>
    </row>
    <row r="1386" spans="1:18" x14ac:dyDescent="0.25">
      <c r="A1386" s="20" t="s">
        <v>21</v>
      </c>
      <c r="B1386" s="42"/>
      <c r="C1386" s="43">
        <v>10000</v>
      </c>
      <c r="D1386" s="43">
        <v>30000</v>
      </c>
      <c r="E1386" s="43">
        <v>50000</v>
      </c>
      <c r="F1386" s="43">
        <v>10000</v>
      </c>
      <c r="G1386" s="15">
        <f t="shared" si="496"/>
        <v>100000</v>
      </c>
      <c r="H1386" s="16"/>
      <c r="I1386" s="26"/>
      <c r="J1386" s="25"/>
      <c r="K1386" s="26"/>
      <c r="L1386" s="26"/>
      <c r="M1386" s="25"/>
      <c r="N1386" s="25">
        <v>6000000</v>
      </c>
      <c r="O1386" s="25">
        <v>6000000</v>
      </c>
      <c r="P1386" s="25"/>
      <c r="Q1386" s="25"/>
      <c r="R1386" s="60">
        <f t="shared" si="497"/>
        <v>100000</v>
      </c>
    </row>
    <row r="1387" spans="1:18" x14ac:dyDescent="0.25">
      <c r="A1387" s="20" t="s">
        <v>22</v>
      </c>
      <c r="B1387" s="42"/>
      <c r="C1387" s="43">
        <v>10000</v>
      </c>
      <c r="D1387" s="43">
        <v>30000</v>
      </c>
      <c r="E1387" s="43">
        <v>50000</v>
      </c>
      <c r="F1387" s="43">
        <v>10000</v>
      </c>
      <c r="G1387" s="15">
        <f t="shared" si="496"/>
        <v>100000</v>
      </c>
      <c r="H1387" s="16"/>
      <c r="I1387" s="26"/>
      <c r="J1387" s="25"/>
      <c r="K1387" s="26"/>
      <c r="L1387" s="26"/>
      <c r="M1387" s="25"/>
      <c r="N1387" s="25"/>
      <c r="O1387" s="25">
        <v>6000000</v>
      </c>
      <c r="P1387" s="26">
        <f>0.02*O1386</f>
        <v>120000</v>
      </c>
      <c r="Q1387" s="25"/>
      <c r="R1387" s="60">
        <f>G1387+I1387+P1387</f>
        <v>220000</v>
      </c>
    </row>
    <row r="1388" spans="1:18" x14ac:dyDescent="0.25">
      <c r="A1388" s="20" t="s">
        <v>23</v>
      </c>
      <c r="B1388" s="42"/>
      <c r="C1388" s="43">
        <v>10000</v>
      </c>
      <c r="D1388" s="43">
        <v>30000</v>
      </c>
      <c r="E1388" s="43">
        <v>50000</v>
      </c>
      <c r="F1388" s="43">
        <v>10000</v>
      </c>
      <c r="G1388" s="15">
        <f t="shared" si="496"/>
        <v>100000</v>
      </c>
      <c r="H1388" s="16"/>
      <c r="I1388" s="26"/>
      <c r="J1388" s="25"/>
      <c r="K1388" s="26"/>
      <c r="L1388" s="26"/>
      <c r="M1388" s="25"/>
      <c r="N1388" s="25"/>
      <c r="O1388" s="25">
        <v>6000000</v>
      </c>
      <c r="P1388" s="26">
        <f t="shared" ref="P1388:P1392" si="498">0.02*O1387</f>
        <v>120000</v>
      </c>
      <c r="Q1388" s="25"/>
      <c r="R1388" s="60">
        <f t="shared" ref="R1388:R1392" si="499">G1388+I1388+P1388</f>
        <v>220000</v>
      </c>
    </row>
    <row r="1389" spans="1:18" x14ac:dyDescent="0.25">
      <c r="A1389" s="20" t="s">
        <v>24</v>
      </c>
      <c r="B1389" s="42"/>
      <c r="C1389" s="43">
        <v>10000</v>
      </c>
      <c r="D1389" s="43">
        <v>30000</v>
      </c>
      <c r="E1389" s="43">
        <v>50000</v>
      </c>
      <c r="F1389" s="43">
        <v>10000</v>
      </c>
      <c r="G1389" s="15">
        <f t="shared" si="496"/>
        <v>100000</v>
      </c>
      <c r="H1389" s="16"/>
      <c r="I1389" s="26"/>
      <c r="J1389" s="25"/>
      <c r="K1389" s="26"/>
      <c r="L1389" s="26"/>
      <c r="M1389" s="25"/>
      <c r="N1389" s="25"/>
      <c r="O1389" s="25">
        <v>6000000</v>
      </c>
      <c r="P1389" s="26">
        <f t="shared" si="498"/>
        <v>120000</v>
      </c>
      <c r="Q1389" s="25"/>
      <c r="R1389" s="60">
        <f t="shared" si="499"/>
        <v>220000</v>
      </c>
    </row>
    <row r="1390" spans="1:18" x14ac:dyDescent="0.25">
      <c r="A1390" s="20" t="s">
        <v>25</v>
      </c>
      <c r="B1390" s="42"/>
      <c r="C1390" s="43">
        <v>10000</v>
      </c>
      <c r="D1390" s="43">
        <v>30000</v>
      </c>
      <c r="E1390" s="43">
        <v>50000</v>
      </c>
      <c r="F1390" s="43">
        <v>10000</v>
      </c>
      <c r="G1390" s="15">
        <f t="shared" si="496"/>
        <v>100000</v>
      </c>
      <c r="H1390" s="16"/>
      <c r="I1390" s="26"/>
      <c r="J1390" s="25"/>
      <c r="K1390" s="26"/>
      <c r="L1390" s="26"/>
      <c r="M1390" s="25"/>
      <c r="N1390" s="25"/>
      <c r="O1390" s="25">
        <v>6000000</v>
      </c>
      <c r="P1390" s="26">
        <f t="shared" si="498"/>
        <v>120000</v>
      </c>
      <c r="Q1390" s="25"/>
      <c r="R1390" s="60">
        <f t="shared" si="499"/>
        <v>220000</v>
      </c>
    </row>
    <row r="1391" spans="1:18" x14ac:dyDescent="0.25">
      <c r="A1391" s="20" t="s">
        <v>26</v>
      </c>
      <c r="B1391" s="42"/>
      <c r="C1391" s="43">
        <v>10000</v>
      </c>
      <c r="D1391" s="43">
        <v>30000</v>
      </c>
      <c r="E1391" s="43">
        <v>50000</v>
      </c>
      <c r="F1391" s="43">
        <v>10000</v>
      </c>
      <c r="G1391" s="15">
        <f t="shared" si="496"/>
        <v>100000</v>
      </c>
      <c r="H1391" s="16"/>
      <c r="I1391" s="26"/>
      <c r="J1391" s="25"/>
      <c r="K1391" s="26"/>
      <c r="L1391" s="26"/>
      <c r="M1391" s="25"/>
      <c r="N1391" s="25"/>
      <c r="O1391" s="25">
        <v>6000000</v>
      </c>
      <c r="P1391" s="26">
        <f t="shared" si="498"/>
        <v>120000</v>
      </c>
      <c r="Q1391" s="25"/>
      <c r="R1391" s="60">
        <f t="shared" si="499"/>
        <v>220000</v>
      </c>
    </row>
    <row r="1392" spans="1:18" ht="15.75" thickBot="1" x14ac:dyDescent="0.3">
      <c r="A1392" s="12" t="s">
        <v>15</v>
      </c>
      <c r="B1392" s="42"/>
      <c r="C1392" s="43">
        <v>10000</v>
      </c>
      <c r="D1392" s="43">
        <v>30000</v>
      </c>
      <c r="E1392" s="43">
        <v>50000</v>
      </c>
      <c r="F1392" s="43">
        <v>10000</v>
      </c>
      <c r="G1392" s="15">
        <f t="shared" si="496"/>
        <v>100000</v>
      </c>
      <c r="H1392" s="16"/>
      <c r="I1392" s="26"/>
      <c r="J1392" s="25"/>
      <c r="K1392" s="26">
        <f t="shared" ref="K1392" si="500">0.015*J1391</f>
        <v>0</v>
      </c>
      <c r="L1392" s="26"/>
      <c r="M1392" s="25"/>
      <c r="N1392" s="25"/>
      <c r="O1392" s="25">
        <v>6000000</v>
      </c>
      <c r="P1392" s="26">
        <f t="shared" si="498"/>
        <v>120000</v>
      </c>
      <c r="Q1392" s="25"/>
      <c r="R1392" s="60">
        <f t="shared" si="499"/>
        <v>220000</v>
      </c>
    </row>
    <row r="1393" spans="1:18" ht="15.75" thickBot="1" x14ac:dyDescent="0.3">
      <c r="A1393" s="29" t="s">
        <v>0</v>
      </c>
      <c r="B1393" s="30">
        <f t="shared" ref="B1393:G1393" si="501">SUM(B1380:B1392)</f>
        <v>25000</v>
      </c>
      <c r="C1393" s="30">
        <f t="shared" si="501"/>
        <v>120000</v>
      </c>
      <c r="D1393" s="30">
        <f t="shared" si="501"/>
        <v>360000</v>
      </c>
      <c r="E1393" s="30">
        <f t="shared" si="501"/>
        <v>600000</v>
      </c>
      <c r="F1393" s="30">
        <f t="shared" si="501"/>
        <v>120000</v>
      </c>
      <c r="G1393" s="31">
        <f t="shared" si="501"/>
        <v>1225000</v>
      </c>
      <c r="H1393" s="32"/>
      <c r="I1393" s="71" t="s">
        <v>27</v>
      </c>
      <c r="J1393" s="72"/>
      <c r="K1393" s="33">
        <f>SUM(K1380:K1392)</f>
        <v>0</v>
      </c>
      <c r="L1393" s="34"/>
      <c r="M1393" s="71" t="s">
        <v>28</v>
      </c>
      <c r="N1393" s="73"/>
      <c r="O1393" s="72"/>
      <c r="P1393" s="33">
        <f>SUM(P1380:P1392)</f>
        <v>720000</v>
      </c>
      <c r="Q1393" s="34"/>
      <c r="R1393" s="65"/>
    </row>
    <row r="1394" spans="1:18" ht="15.75" thickBot="1" x14ac:dyDescent="0.3"/>
    <row r="1395" spans="1:18" ht="15.75" customHeight="1" thickBot="1" x14ac:dyDescent="0.3">
      <c r="A1395" s="2">
        <v>56</v>
      </c>
      <c r="B1395" s="74" t="s">
        <v>54</v>
      </c>
      <c r="C1395" s="75"/>
      <c r="D1395" s="75"/>
      <c r="E1395" s="75"/>
      <c r="F1395" s="76"/>
      <c r="G1395" s="3" t="s">
        <v>0</v>
      </c>
      <c r="H1395" s="77" t="s">
        <v>1</v>
      </c>
      <c r="I1395" s="78"/>
      <c r="J1395" s="78"/>
      <c r="K1395" s="78"/>
      <c r="L1395" s="79"/>
      <c r="M1395" s="80" t="s">
        <v>2</v>
      </c>
      <c r="N1395" s="78"/>
      <c r="O1395" s="78"/>
      <c r="P1395" s="78"/>
      <c r="Q1395" s="79"/>
      <c r="R1395" s="69" t="s">
        <v>29</v>
      </c>
    </row>
    <row r="1396" spans="1:18" x14ac:dyDescent="0.25">
      <c r="A1396" s="4" t="s">
        <v>4</v>
      </c>
      <c r="B1396" s="5" t="s">
        <v>5</v>
      </c>
      <c r="C1396" s="6" t="s">
        <v>6</v>
      </c>
      <c r="D1396" s="6" t="s">
        <v>7</v>
      </c>
      <c r="E1396" s="5" t="s">
        <v>8</v>
      </c>
      <c r="F1396" s="5" t="s">
        <v>9</v>
      </c>
      <c r="G1396" s="7" t="s">
        <v>10</v>
      </c>
      <c r="H1396" s="8" t="s">
        <v>11</v>
      </c>
      <c r="I1396" s="9" t="s">
        <v>0</v>
      </c>
      <c r="J1396" s="9" t="s">
        <v>12</v>
      </c>
      <c r="K1396" s="9" t="s">
        <v>13</v>
      </c>
      <c r="L1396" s="10" t="s">
        <v>14</v>
      </c>
      <c r="M1396" s="9" t="s">
        <v>11</v>
      </c>
      <c r="N1396" s="9" t="s">
        <v>0</v>
      </c>
      <c r="O1396" s="9" t="s">
        <v>12</v>
      </c>
      <c r="P1396" s="9" t="s">
        <v>13</v>
      </c>
      <c r="Q1396" s="10" t="s">
        <v>14</v>
      </c>
      <c r="R1396" s="70"/>
    </row>
    <row r="1397" spans="1:18" x14ac:dyDescent="0.25">
      <c r="A1397" s="12" t="s">
        <v>15</v>
      </c>
      <c r="B1397" s="41"/>
      <c r="C1397" s="41"/>
      <c r="D1397" s="41"/>
      <c r="E1397" s="41">
        <v>0</v>
      </c>
      <c r="F1397" s="41">
        <v>0</v>
      </c>
      <c r="G1397" s="15">
        <f t="shared" ref="G1397:G1409" si="502">SUM(B1397:F1397)</f>
        <v>0</v>
      </c>
      <c r="H1397" s="16"/>
      <c r="I1397" s="17"/>
      <c r="J1397" s="18">
        <v>0</v>
      </c>
      <c r="K1397" s="17"/>
      <c r="L1397" s="17"/>
      <c r="M1397" s="17"/>
      <c r="N1397" s="17"/>
      <c r="O1397" s="17">
        <v>0</v>
      </c>
      <c r="P1397" s="17"/>
      <c r="Q1397" s="17"/>
      <c r="R1397" s="60"/>
    </row>
    <row r="1398" spans="1:18" x14ac:dyDescent="0.25">
      <c r="A1398" s="20" t="s">
        <v>16</v>
      </c>
      <c r="B1398" s="41">
        <v>25000</v>
      </c>
      <c r="C1398" s="43">
        <v>15000</v>
      </c>
      <c r="D1398" s="43">
        <v>10000</v>
      </c>
      <c r="E1398" s="43">
        <v>100000</v>
      </c>
      <c r="F1398" s="43">
        <v>50000</v>
      </c>
      <c r="G1398" s="15">
        <f t="shared" si="502"/>
        <v>200000</v>
      </c>
      <c r="H1398" s="16"/>
      <c r="I1398" s="26"/>
      <c r="J1398" s="25"/>
      <c r="K1398" s="26"/>
      <c r="L1398" s="26"/>
      <c r="M1398" s="25"/>
      <c r="N1398" s="25"/>
      <c r="O1398" s="25"/>
      <c r="P1398" s="25"/>
      <c r="Q1398" s="25"/>
      <c r="R1398" s="60">
        <f>G1398</f>
        <v>200000</v>
      </c>
    </row>
    <row r="1399" spans="1:18" x14ac:dyDescent="0.25">
      <c r="A1399" s="20" t="s">
        <v>17</v>
      </c>
      <c r="B1399" s="42"/>
      <c r="C1399" s="43">
        <v>15000</v>
      </c>
      <c r="D1399" s="43">
        <v>10000</v>
      </c>
      <c r="E1399" s="43">
        <v>100000</v>
      </c>
      <c r="F1399" s="43">
        <v>50000</v>
      </c>
      <c r="G1399" s="15">
        <f t="shared" si="502"/>
        <v>175000</v>
      </c>
      <c r="H1399" s="16" t="s">
        <v>35</v>
      </c>
      <c r="I1399" s="26"/>
      <c r="J1399" s="25"/>
      <c r="K1399" s="26"/>
      <c r="L1399" s="26"/>
      <c r="M1399" s="25"/>
      <c r="N1399" s="25"/>
      <c r="O1399" s="25"/>
      <c r="P1399" s="25"/>
      <c r="Q1399" s="25"/>
      <c r="R1399" s="60">
        <f t="shared" ref="R1399:R1406" si="503">G1399</f>
        <v>175000</v>
      </c>
    </row>
    <row r="1400" spans="1:18" x14ac:dyDescent="0.25">
      <c r="A1400" s="20" t="s">
        <v>18</v>
      </c>
      <c r="B1400" s="42"/>
      <c r="C1400" s="43">
        <v>15000</v>
      </c>
      <c r="D1400" s="43">
        <v>10000</v>
      </c>
      <c r="E1400" s="43">
        <v>100000</v>
      </c>
      <c r="F1400" s="43">
        <v>50000</v>
      </c>
      <c r="G1400" s="15">
        <f t="shared" si="502"/>
        <v>175000</v>
      </c>
      <c r="H1400" s="16"/>
      <c r="I1400" s="26"/>
      <c r="J1400" s="25"/>
      <c r="K1400" s="26"/>
      <c r="L1400" s="26"/>
      <c r="M1400" s="25"/>
      <c r="N1400" s="25"/>
      <c r="O1400" s="25"/>
      <c r="P1400" s="25"/>
      <c r="Q1400" s="25"/>
      <c r="R1400" s="60">
        <f t="shared" si="503"/>
        <v>175000</v>
      </c>
    </row>
    <row r="1401" spans="1:18" x14ac:dyDescent="0.25">
      <c r="A1401" s="20" t="s">
        <v>19</v>
      </c>
      <c r="B1401" s="42"/>
      <c r="C1401" s="43">
        <v>15000</v>
      </c>
      <c r="D1401" s="43">
        <v>10000</v>
      </c>
      <c r="E1401" s="43">
        <v>-300000</v>
      </c>
      <c r="F1401" s="43">
        <v>50000</v>
      </c>
      <c r="G1401" s="15">
        <f t="shared" si="502"/>
        <v>-225000</v>
      </c>
      <c r="H1401" s="16"/>
      <c r="I1401" s="26"/>
      <c r="J1401" s="25"/>
      <c r="K1401" s="26"/>
      <c r="L1401" s="26"/>
      <c r="M1401" s="25"/>
      <c r="N1401" s="25"/>
      <c r="O1401" s="25"/>
      <c r="P1401" s="25"/>
      <c r="Q1401" s="25"/>
      <c r="R1401" s="60">
        <f t="shared" si="503"/>
        <v>-225000</v>
      </c>
    </row>
    <row r="1402" spans="1:18" x14ac:dyDescent="0.25">
      <c r="A1402" s="20" t="s">
        <v>20</v>
      </c>
      <c r="B1402" s="42"/>
      <c r="C1402" s="43">
        <v>15000</v>
      </c>
      <c r="D1402" s="43">
        <v>10000</v>
      </c>
      <c r="E1402" s="43">
        <v>100000</v>
      </c>
      <c r="F1402" s="43">
        <v>50000</v>
      </c>
      <c r="G1402" s="15">
        <f t="shared" si="502"/>
        <v>175000</v>
      </c>
      <c r="H1402" s="16"/>
      <c r="I1402" s="26"/>
      <c r="J1402" s="25"/>
      <c r="K1402" s="26"/>
      <c r="L1402" s="26"/>
      <c r="M1402" s="25"/>
      <c r="N1402" s="25"/>
      <c r="O1402" s="25"/>
      <c r="P1402" s="25"/>
      <c r="Q1402" s="25"/>
      <c r="R1402" s="60">
        <f t="shared" si="503"/>
        <v>175000</v>
      </c>
    </row>
    <row r="1403" spans="1:18" x14ac:dyDescent="0.25">
      <c r="A1403" s="20" t="s">
        <v>21</v>
      </c>
      <c r="B1403" s="42"/>
      <c r="C1403" s="43">
        <v>15000</v>
      </c>
      <c r="D1403" s="43">
        <v>10000</v>
      </c>
      <c r="E1403" s="43">
        <v>100000</v>
      </c>
      <c r="F1403" s="43">
        <v>50000</v>
      </c>
      <c r="G1403" s="15">
        <f t="shared" si="502"/>
        <v>175000</v>
      </c>
      <c r="H1403" s="16"/>
      <c r="I1403" s="26"/>
      <c r="J1403" s="25"/>
      <c r="K1403" s="26"/>
      <c r="L1403" s="26"/>
      <c r="M1403" s="25"/>
      <c r="N1403" s="25"/>
      <c r="O1403" s="25"/>
      <c r="P1403" s="25"/>
      <c r="Q1403" s="25"/>
      <c r="R1403" s="60">
        <f t="shared" si="503"/>
        <v>175000</v>
      </c>
    </row>
    <row r="1404" spans="1:18" x14ac:dyDescent="0.25">
      <c r="A1404" s="20" t="s">
        <v>22</v>
      </c>
      <c r="B1404" s="42"/>
      <c r="C1404" s="43">
        <v>15000</v>
      </c>
      <c r="D1404" s="43">
        <v>10000</v>
      </c>
      <c r="E1404" s="43">
        <v>100000</v>
      </c>
      <c r="F1404" s="43">
        <v>50000</v>
      </c>
      <c r="G1404" s="15">
        <f t="shared" si="502"/>
        <v>175000</v>
      </c>
      <c r="H1404" s="16"/>
      <c r="I1404" s="26"/>
      <c r="J1404" s="25"/>
      <c r="K1404" s="26"/>
      <c r="L1404" s="26"/>
      <c r="M1404" s="25"/>
      <c r="N1404" s="25"/>
      <c r="O1404" s="25"/>
      <c r="P1404" s="25"/>
      <c r="Q1404" s="25"/>
      <c r="R1404" s="60">
        <f t="shared" si="503"/>
        <v>175000</v>
      </c>
    </row>
    <row r="1405" spans="1:18" x14ac:dyDescent="0.25">
      <c r="A1405" s="20" t="s">
        <v>23</v>
      </c>
      <c r="B1405" s="42"/>
      <c r="C1405" s="43">
        <v>15000</v>
      </c>
      <c r="D1405" s="43">
        <v>10000</v>
      </c>
      <c r="E1405" s="43">
        <v>100000</v>
      </c>
      <c r="F1405" s="43">
        <v>50000</v>
      </c>
      <c r="G1405" s="15">
        <f t="shared" si="502"/>
        <v>175000</v>
      </c>
      <c r="H1405" s="16"/>
      <c r="I1405" s="26"/>
      <c r="J1405" s="25"/>
      <c r="K1405" s="26"/>
      <c r="L1405" s="26"/>
      <c r="M1405" s="25"/>
      <c r="N1405" s="25"/>
      <c r="O1405" s="25"/>
      <c r="P1405" s="25"/>
      <c r="Q1405" s="25"/>
      <c r="R1405" s="60">
        <f t="shared" si="503"/>
        <v>175000</v>
      </c>
    </row>
    <row r="1406" spans="1:18" x14ac:dyDescent="0.25">
      <c r="A1406" s="20" t="s">
        <v>24</v>
      </c>
      <c r="B1406" s="42"/>
      <c r="C1406" s="43">
        <v>15000</v>
      </c>
      <c r="D1406" s="43">
        <v>10000</v>
      </c>
      <c r="E1406" s="43">
        <v>100000</v>
      </c>
      <c r="F1406" s="43">
        <v>50000</v>
      </c>
      <c r="G1406" s="15">
        <f t="shared" si="502"/>
        <v>175000</v>
      </c>
      <c r="H1406" s="16"/>
      <c r="I1406" s="26"/>
      <c r="J1406" s="25">
        <v>10000000</v>
      </c>
      <c r="K1406" s="26"/>
      <c r="L1406" s="26"/>
      <c r="M1406" s="25"/>
      <c r="N1406" s="25"/>
      <c r="O1406" s="25"/>
      <c r="P1406" s="25"/>
      <c r="Q1406" s="25"/>
      <c r="R1406" s="60">
        <f t="shared" si="503"/>
        <v>175000</v>
      </c>
    </row>
    <row r="1407" spans="1:18" x14ac:dyDescent="0.25">
      <c r="A1407" s="20" t="s">
        <v>25</v>
      </c>
      <c r="B1407" s="42"/>
      <c r="C1407" s="43">
        <v>15000</v>
      </c>
      <c r="D1407" s="43">
        <v>10000</v>
      </c>
      <c r="E1407" s="43">
        <v>100000</v>
      </c>
      <c r="F1407" s="43">
        <v>50000</v>
      </c>
      <c r="G1407" s="15">
        <f t="shared" si="502"/>
        <v>175000</v>
      </c>
      <c r="H1407" s="16">
        <v>1</v>
      </c>
      <c r="I1407" s="26">
        <v>1000000</v>
      </c>
      <c r="J1407" s="25">
        <f>J1406- I1407</f>
        <v>9000000</v>
      </c>
      <c r="K1407" s="26">
        <f t="shared" ref="K1407:K1409" si="504">0.015*J1406</f>
        <v>150000</v>
      </c>
      <c r="L1407" s="26"/>
      <c r="M1407" s="25"/>
      <c r="N1407" s="25"/>
      <c r="O1407" s="25"/>
      <c r="P1407" s="25"/>
      <c r="Q1407" s="25"/>
      <c r="R1407" s="60">
        <f>G1407+I1407+K1407</f>
        <v>1325000</v>
      </c>
    </row>
    <row r="1408" spans="1:18" x14ac:dyDescent="0.25">
      <c r="A1408" s="20" t="s">
        <v>26</v>
      </c>
      <c r="B1408" s="42"/>
      <c r="C1408" s="43">
        <v>15000</v>
      </c>
      <c r="D1408" s="43">
        <v>10000</v>
      </c>
      <c r="E1408" s="43">
        <v>100000</v>
      </c>
      <c r="F1408" s="43">
        <v>50000</v>
      </c>
      <c r="G1408" s="15">
        <f t="shared" si="502"/>
        <v>175000</v>
      </c>
      <c r="H1408" s="16">
        <v>2</v>
      </c>
      <c r="I1408" s="26">
        <v>1000000</v>
      </c>
      <c r="J1408" s="25">
        <f>J1407- I1408</f>
        <v>8000000</v>
      </c>
      <c r="K1408" s="26">
        <f t="shared" si="504"/>
        <v>135000</v>
      </c>
      <c r="L1408" s="26"/>
      <c r="M1408" s="25"/>
      <c r="N1408" s="25"/>
      <c r="O1408" s="25"/>
      <c r="P1408" s="25"/>
      <c r="Q1408" s="25"/>
      <c r="R1408" s="60">
        <f t="shared" ref="R1408:R1409" si="505">G1408+I1408+K1408</f>
        <v>1310000</v>
      </c>
    </row>
    <row r="1409" spans="1:18" ht="15.75" thickBot="1" x14ac:dyDescent="0.3">
      <c r="A1409" s="12" t="s">
        <v>15</v>
      </c>
      <c r="B1409" s="42"/>
      <c r="C1409" s="43">
        <v>15000</v>
      </c>
      <c r="D1409" s="43">
        <v>10000</v>
      </c>
      <c r="E1409" s="43">
        <v>100000</v>
      </c>
      <c r="F1409" s="43">
        <v>50000</v>
      </c>
      <c r="G1409" s="15">
        <f t="shared" si="502"/>
        <v>175000</v>
      </c>
      <c r="H1409" s="16">
        <v>3</v>
      </c>
      <c r="I1409" s="26">
        <v>1000000</v>
      </c>
      <c r="J1409" s="25">
        <f>J1408- I1409</f>
        <v>7000000</v>
      </c>
      <c r="K1409" s="26">
        <f t="shared" si="504"/>
        <v>120000</v>
      </c>
      <c r="L1409" s="26"/>
      <c r="M1409" s="25"/>
      <c r="N1409" s="25"/>
      <c r="O1409" s="25"/>
      <c r="P1409" s="25"/>
      <c r="Q1409" s="25"/>
      <c r="R1409" s="60">
        <f t="shared" si="505"/>
        <v>1295000</v>
      </c>
    </row>
    <row r="1410" spans="1:18" ht="15.75" thickBot="1" x14ac:dyDescent="0.3">
      <c r="A1410" s="29" t="s">
        <v>0</v>
      </c>
      <c r="B1410" s="30">
        <f t="shared" ref="B1410:G1410" si="506">SUM(B1397:B1409)</f>
        <v>25000</v>
      </c>
      <c r="C1410" s="30">
        <f t="shared" si="506"/>
        <v>180000</v>
      </c>
      <c r="D1410" s="30">
        <f t="shared" si="506"/>
        <v>120000</v>
      </c>
      <c r="E1410" s="30">
        <f t="shared" si="506"/>
        <v>800000</v>
      </c>
      <c r="F1410" s="30">
        <f t="shared" si="506"/>
        <v>600000</v>
      </c>
      <c r="G1410" s="31">
        <f t="shared" si="506"/>
        <v>1725000</v>
      </c>
      <c r="H1410" s="32"/>
      <c r="I1410" s="71" t="s">
        <v>27</v>
      </c>
      <c r="J1410" s="72"/>
      <c r="K1410" s="33">
        <f>SUM(K1397:K1409)</f>
        <v>405000</v>
      </c>
      <c r="L1410" s="34"/>
      <c r="M1410" s="71" t="s">
        <v>28</v>
      </c>
      <c r="N1410" s="73"/>
      <c r="O1410" s="72"/>
      <c r="P1410" s="33">
        <f>SUM(P1397:P1409)</f>
        <v>0</v>
      </c>
      <c r="Q1410" s="34"/>
      <c r="R1410" s="65"/>
    </row>
    <row r="1411" spans="1:18" ht="15.75" thickBot="1" x14ac:dyDescent="0.3"/>
    <row r="1412" spans="1:18" ht="15.75" thickBot="1" x14ac:dyDescent="0.3">
      <c r="A1412" s="2">
        <v>57</v>
      </c>
      <c r="B1412" s="74" t="s">
        <v>55</v>
      </c>
      <c r="C1412" s="75"/>
      <c r="D1412" s="75"/>
      <c r="E1412" s="75"/>
      <c r="F1412" s="76"/>
      <c r="G1412" s="3" t="s">
        <v>0</v>
      </c>
      <c r="H1412" s="77" t="s">
        <v>1</v>
      </c>
      <c r="I1412" s="78"/>
      <c r="J1412" s="78"/>
      <c r="K1412" s="78"/>
      <c r="L1412" s="79"/>
      <c r="M1412" s="80" t="s">
        <v>2</v>
      </c>
      <c r="N1412" s="78"/>
      <c r="O1412" s="78"/>
      <c r="P1412" s="78"/>
      <c r="Q1412" s="79"/>
      <c r="R1412" s="69" t="s">
        <v>29</v>
      </c>
    </row>
    <row r="1413" spans="1:18" x14ac:dyDescent="0.25">
      <c r="A1413" s="4" t="s">
        <v>4</v>
      </c>
      <c r="B1413" s="5" t="s">
        <v>5</v>
      </c>
      <c r="C1413" s="6" t="s">
        <v>6</v>
      </c>
      <c r="D1413" s="6" t="s">
        <v>7</v>
      </c>
      <c r="E1413" s="5" t="s">
        <v>8</v>
      </c>
      <c r="F1413" s="5" t="s">
        <v>9</v>
      </c>
      <c r="G1413" s="7" t="s">
        <v>10</v>
      </c>
      <c r="H1413" s="8" t="s">
        <v>11</v>
      </c>
      <c r="I1413" s="9" t="s">
        <v>0</v>
      </c>
      <c r="J1413" s="9" t="s">
        <v>12</v>
      </c>
      <c r="K1413" s="9" t="s">
        <v>13</v>
      </c>
      <c r="L1413" s="10" t="s">
        <v>14</v>
      </c>
      <c r="M1413" s="9" t="s">
        <v>11</v>
      </c>
      <c r="N1413" s="9" t="s">
        <v>0</v>
      </c>
      <c r="O1413" s="9" t="s">
        <v>12</v>
      </c>
      <c r="P1413" s="9" t="s">
        <v>13</v>
      </c>
      <c r="Q1413" s="10" t="s">
        <v>14</v>
      </c>
      <c r="R1413" s="70"/>
    </row>
    <row r="1414" spans="1:18" x14ac:dyDescent="0.25">
      <c r="A1414" s="12" t="s">
        <v>15</v>
      </c>
      <c r="B1414" s="41"/>
      <c r="C1414" s="41"/>
      <c r="D1414" s="41"/>
      <c r="E1414" s="41">
        <v>0</v>
      </c>
      <c r="F1414" s="41">
        <v>0</v>
      </c>
      <c r="G1414" s="15">
        <f t="shared" ref="G1414:G1426" si="507">SUM(B1414:F1414)</f>
        <v>0</v>
      </c>
      <c r="H1414" s="16"/>
      <c r="I1414" s="17"/>
      <c r="J1414" s="18">
        <v>0</v>
      </c>
      <c r="K1414" s="17"/>
      <c r="L1414" s="17"/>
      <c r="M1414" s="17"/>
      <c r="N1414" s="17"/>
      <c r="O1414" s="17">
        <v>0</v>
      </c>
      <c r="P1414" s="17"/>
      <c r="Q1414" s="17"/>
      <c r="R1414" s="60"/>
    </row>
    <row r="1415" spans="1:18" x14ac:dyDescent="0.25">
      <c r="A1415" s="20" t="s">
        <v>16</v>
      </c>
      <c r="B1415" s="41">
        <v>25000</v>
      </c>
      <c r="C1415" s="43">
        <v>15000</v>
      </c>
      <c r="D1415" s="43">
        <v>10000</v>
      </c>
      <c r="E1415" s="43">
        <v>15000</v>
      </c>
      <c r="F1415" s="43">
        <v>10000</v>
      </c>
      <c r="G1415" s="15">
        <f t="shared" si="507"/>
        <v>75000</v>
      </c>
      <c r="H1415" s="16"/>
      <c r="I1415" s="26"/>
      <c r="J1415" s="25"/>
      <c r="K1415" s="26"/>
      <c r="L1415" s="26"/>
      <c r="M1415" s="25"/>
      <c r="N1415" s="25"/>
      <c r="O1415" s="25"/>
      <c r="P1415" s="25"/>
      <c r="Q1415" s="25"/>
      <c r="R1415" s="60">
        <f>G1415</f>
        <v>75000</v>
      </c>
    </row>
    <row r="1416" spans="1:18" x14ac:dyDescent="0.25">
      <c r="A1416" s="20" t="s">
        <v>17</v>
      </c>
      <c r="B1416" s="42"/>
      <c r="C1416" s="43">
        <v>15000</v>
      </c>
      <c r="D1416" s="43">
        <v>10000</v>
      </c>
      <c r="E1416" s="43">
        <v>15000</v>
      </c>
      <c r="F1416" s="43">
        <v>10000</v>
      </c>
      <c r="G1416" s="15">
        <f t="shared" si="507"/>
        <v>50000</v>
      </c>
      <c r="H1416" s="16" t="s">
        <v>35</v>
      </c>
      <c r="I1416" s="26"/>
      <c r="J1416" s="25"/>
      <c r="K1416" s="26"/>
      <c r="L1416" s="26"/>
      <c r="M1416" s="25"/>
      <c r="N1416" s="25"/>
      <c r="O1416" s="25"/>
      <c r="P1416" s="25"/>
      <c r="Q1416" s="25"/>
      <c r="R1416" s="60">
        <f t="shared" ref="R1416:R1426" si="508">G1416</f>
        <v>50000</v>
      </c>
    </row>
    <row r="1417" spans="1:18" x14ac:dyDescent="0.25">
      <c r="A1417" s="20" t="s">
        <v>18</v>
      </c>
      <c r="B1417" s="42"/>
      <c r="C1417" s="43">
        <v>15000</v>
      </c>
      <c r="D1417" s="43">
        <v>10000</v>
      </c>
      <c r="E1417" s="43">
        <v>15000</v>
      </c>
      <c r="F1417" s="43">
        <v>10000</v>
      </c>
      <c r="G1417" s="15">
        <f t="shared" si="507"/>
        <v>50000</v>
      </c>
      <c r="H1417" s="16"/>
      <c r="I1417" s="26"/>
      <c r="J1417" s="25"/>
      <c r="K1417" s="26"/>
      <c r="L1417" s="26"/>
      <c r="M1417" s="25"/>
      <c r="N1417" s="25"/>
      <c r="O1417" s="25"/>
      <c r="P1417" s="25"/>
      <c r="Q1417" s="25"/>
      <c r="R1417" s="60">
        <f t="shared" si="508"/>
        <v>50000</v>
      </c>
    </row>
    <row r="1418" spans="1:18" x14ac:dyDescent="0.25">
      <c r="A1418" s="20" t="s">
        <v>19</v>
      </c>
      <c r="B1418" s="42"/>
      <c r="C1418" s="43">
        <v>15000</v>
      </c>
      <c r="D1418" s="43">
        <v>10000</v>
      </c>
      <c r="E1418" s="43">
        <v>15000</v>
      </c>
      <c r="F1418" s="43">
        <v>10000</v>
      </c>
      <c r="G1418" s="15">
        <f t="shared" si="507"/>
        <v>50000</v>
      </c>
      <c r="H1418" s="16"/>
      <c r="I1418" s="26"/>
      <c r="J1418" s="25"/>
      <c r="K1418" s="26"/>
      <c r="L1418" s="26"/>
      <c r="M1418" s="25"/>
      <c r="N1418" s="25"/>
      <c r="O1418" s="25"/>
      <c r="P1418" s="25"/>
      <c r="Q1418" s="25"/>
      <c r="R1418" s="60">
        <f t="shared" si="508"/>
        <v>50000</v>
      </c>
    </row>
    <row r="1419" spans="1:18" x14ac:dyDescent="0.25">
      <c r="A1419" s="20" t="s">
        <v>20</v>
      </c>
      <c r="B1419" s="42"/>
      <c r="C1419" s="43">
        <v>15000</v>
      </c>
      <c r="D1419" s="43">
        <v>10000</v>
      </c>
      <c r="E1419" s="43">
        <v>15000</v>
      </c>
      <c r="F1419" s="43">
        <v>10000</v>
      </c>
      <c r="G1419" s="15">
        <f t="shared" si="507"/>
        <v>50000</v>
      </c>
      <c r="H1419" s="16"/>
      <c r="I1419" s="26"/>
      <c r="J1419" s="25"/>
      <c r="K1419" s="26"/>
      <c r="L1419" s="26"/>
      <c r="M1419" s="25"/>
      <c r="N1419" s="25"/>
      <c r="O1419" s="25"/>
      <c r="P1419" s="25"/>
      <c r="Q1419" s="25"/>
      <c r="R1419" s="60">
        <f t="shared" si="508"/>
        <v>50000</v>
      </c>
    </row>
    <row r="1420" spans="1:18" x14ac:dyDescent="0.25">
      <c r="A1420" s="20" t="s">
        <v>21</v>
      </c>
      <c r="B1420" s="42"/>
      <c r="C1420" s="43">
        <v>15000</v>
      </c>
      <c r="D1420" s="43">
        <v>10000</v>
      </c>
      <c r="E1420" s="43">
        <v>15000</v>
      </c>
      <c r="F1420" s="43">
        <v>10000</v>
      </c>
      <c r="G1420" s="15">
        <f t="shared" si="507"/>
        <v>50000</v>
      </c>
      <c r="H1420" s="16"/>
      <c r="I1420" s="26"/>
      <c r="J1420" s="25"/>
      <c r="K1420" s="26"/>
      <c r="L1420" s="26"/>
      <c r="M1420" s="25"/>
      <c r="N1420" s="25"/>
      <c r="O1420" s="25"/>
      <c r="P1420" s="25"/>
      <c r="Q1420" s="25"/>
      <c r="R1420" s="60">
        <f t="shared" si="508"/>
        <v>50000</v>
      </c>
    </row>
    <row r="1421" spans="1:18" x14ac:dyDescent="0.25">
      <c r="A1421" s="20" t="s">
        <v>22</v>
      </c>
      <c r="B1421" s="42"/>
      <c r="C1421" s="43">
        <v>15000</v>
      </c>
      <c r="D1421" s="43">
        <v>10000</v>
      </c>
      <c r="E1421" s="43">
        <v>15000</v>
      </c>
      <c r="F1421" s="43">
        <v>10000</v>
      </c>
      <c r="G1421" s="15">
        <f t="shared" si="507"/>
        <v>50000</v>
      </c>
      <c r="H1421" s="16"/>
      <c r="I1421" s="26"/>
      <c r="J1421" s="25"/>
      <c r="K1421" s="26"/>
      <c r="L1421" s="26"/>
      <c r="M1421" s="25"/>
      <c r="N1421" s="25"/>
      <c r="O1421" s="25"/>
      <c r="P1421" s="25"/>
      <c r="Q1421" s="25"/>
      <c r="R1421" s="60">
        <f t="shared" si="508"/>
        <v>50000</v>
      </c>
    </row>
    <row r="1422" spans="1:18" x14ac:dyDescent="0.25">
      <c r="A1422" s="20" t="s">
        <v>23</v>
      </c>
      <c r="B1422" s="42"/>
      <c r="C1422" s="43">
        <v>15000</v>
      </c>
      <c r="D1422" s="43">
        <v>10000</v>
      </c>
      <c r="E1422" s="43">
        <v>15000</v>
      </c>
      <c r="F1422" s="43">
        <v>10000</v>
      </c>
      <c r="G1422" s="15">
        <f t="shared" si="507"/>
        <v>50000</v>
      </c>
      <c r="H1422" s="16"/>
      <c r="I1422" s="26"/>
      <c r="J1422" s="25"/>
      <c r="K1422" s="26"/>
      <c r="L1422" s="26"/>
      <c r="M1422" s="25"/>
      <c r="N1422" s="25"/>
      <c r="O1422" s="25"/>
      <c r="P1422" s="25"/>
      <c r="Q1422" s="25"/>
      <c r="R1422" s="60">
        <f t="shared" si="508"/>
        <v>50000</v>
      </c>
    </row>
    <row r="1423" spans="1:18" x14ac:dyDescent="0.25">
      <c r="A1423" s="20" t="s">
        <v>24</v>
      </c>
      <c r="B1423" s="42"/>
      <c r="C1423" s="43">
        <v>15000</v>
      </c>
      <c r="D1423" s="43">
        <v>10000</v>
      </c>
      <c r="E1423" s="43">
        <v>15000</v>
      </c>
      <c r="F1423" s="43">
        <v>10000</v>
      </c>
      <c r="G1423" s="15">
        <f t="shared" si="507"/>
        <v>50000</v>
      </c>
      <c r="H1423" s="16"/>
      <c r="I1423" s="26"/>
      <c r="J1423" s="25"/>
      <c r="K1423" s="26"/>
      <c r="L1423" s="26"/>
      <c r="M1423" s="25"/>
      <c r="N1423" s="25"/>
      <c r="O1423" s="25"/>
      <c r="P1423" s="25"/>
      <c r="Q1423" s="25"/>
      <c r="R1423" s="60">
        <f t="shared" si="508"/>
        <v>50000</v>
      </c>
    </row>
    <row r="1424" spans="1:18" x14ac:dyDescent="0.25">
      <c r="A1424" s="20" t="s">
        <v>25</v>
      </c>
      <c r="B1424" s="42"/>
      <c r="C1424" s="43">
        <v>15000</v>
      </c>
      <c r="D1424" s="43">
        <v>10000</v>
      </c>
      <c r="E1424" s="43">
        <v>15000</v>
      </c>
      <c r="F1424" s="43">
        <v>10000</v>
      </c>
      <c r="G1424" s="15">
        <f t="shared" si="507"/>
        <v>50000</v>
      </c>
      <c r="H1424" s="16"/>
      <c r="I1424" s="26"/>
      <c r="J1424" s="25"/>
      <c r="K1424" s="26"/>
      <c r="L1424" s="26"/>
      <c r="M1424" s="25"/>
      <c r="N1424" s="25"/>
      <c r="O1424" s="25"/>
      <c r="P1424" s="25"/>
      <c r="Q1424" s="25"/>
      <c r="R1424" s="60">
        <f t="shared" si="508"/>
        <v>50000</v>
      </c>
    </row>
    <row r="1425" spans="1:18" x14ac:dyDescent="0.25">
      <c r="A1425" s="20" t="s">
        <v>26</v>
      </c>
      <c r="B1425" s="42"/>
      <c r="C1425" s="43">
        <v>15000</v>
      </c>
      <c r="D1425" s="43">
        <v>10000</v>
      </c>
      <c r="E1425" s="43">
        <v>15000</v>
      </c>
      <c r="F1425" s="43">
        <v>10000</v>
      </c>
      <c r="G1425" s="15">
        <f t="shared" si="507"/>
        <v>50000</v>
      </c>
      <c r="H1425" s="16"/>
      <c r="I1425" s="26"/>
      <c r="J1425" s="25"/>
      <c r="K1425" s="26"/>
      <c r="L1425" s="26"/>
      <c r="M1425" s="25"/>
      <c r="N1425" s="25"/>
      <c r="O1425" s="25"/>
      <c r="P1425" s="25"/>
      <c r="Q1425" s="25"/>
      <c r="R1425" s="60">
        <f t="shared" si="508"/>
        <v>50000</v>
      </c>
    </row>
    <row r="1426" spans="1:18" ht="15.75" thickBot="1" x14ac:dyDescent="0.3">
      <c r="A1426" s="12" t="s">
        <v>15</v>
      </c>
      <c r="B1426" s="42"/>
      <c r="C1426" s="43">
        <v>15000</v>
      </c>
      <c r="D1426" s="43">
        <v>10000</v>
      </c>
      <c r="E1426" s="43">
        <v>15000</v>
      </c>
      <c r="F1426" s="43">
        <v>10000</v>
      </c>
      <c r="G1426" s="15">
        <f t="shared" si="507"/>
        <v>50000</v>
      </c>
      <c r="H1426" s="16"/>
      <c r="I1426" s="26"/>
      <c r="J1426" s="25"/>
      <c r="K1426" s="26"/>
      <c r="L1426" s="26"/>
      <c r="M1426" s="25"/>
      <c r="N1426" s="25"/>
      <c r="O1426" s="25"/>
      <c r="P1426" s="25"/>
      <c r="Q1426" s="25"/>
      <c r="R1426" s="60">
        <f t="shared" si="508"/>
        <v>50000</v>
      </c>
    </row>
    <row r="1427" spans="1:18" ht="15.75" thickBot="1" x14ac:dyDescent="0.3">
      <c r="A1427" s="29" t="s">
        <v>0</v>
      </c>
      <c r="B1427" s="30">
        <f t="shared" ref="B1427:G1427" si="509">SUM(B1414:B1426)</f>
        <v>25000</v>
      </c>
      <c r="C1427" s="30">
        <f t="shared" si="509"/>
        <v>180000</v>
      </c>
      <c r="D1427" s="30">
        <f t="shared" si="509"/>
        <v>120000</v>
      </c>
      <c r="E1427" s="30">
        <f t="shared" si="509"/>
        <v>180000</v>
      </c>
      <c r="F1427" s="30">
        <f t="shared" si="509"/>
        <v>120000</v>
      </c>
      <c r="G1427" s="31">
        <f t="shared" si="509"/>
        <v>625000</v>
      </c>
      <c r="H1427" s="32"/>
      <c r="I1427" s="71" t="s">
        <v>27</v>
      </c>
      <c r="J1427" s="72"/>
      <c r="K1427" s="33">
        <f>SUM(K1414:K1426)</f>
        <v>0</v>
      </c>
      <c r="L1427" s="34"/>
      <c r="M1427" s="71" t="s">
        <v>28</v>
      </c>
      <c r="N1427" s="73"/>
      <c r="O1427" s="72"/>
      <c r="P1427" s="33">
        <f>SUM(P1414:P1426)</f>
        <v>0</v>
      </c>
      <c r="Q1427" s="34"/>
      <c r="R1427" s="65"/>
    </row>
    <row r="1668" spans="3:3" x14ac:dyDescent="0.25">
      <c r="C1668" s="54"/>
    </row>
    <row r="1669" spans="3:3" x14ac:dyDescent="0.25">
      <c r="C1669" s="54"/>
    </row>
    <row r="1670" spans="3:3" x14ac:dyDescent="0.25">
      <c r="C1670" s="54"/>
    </row>
    <row r="1671" spans="3:3" x14ac:dyDescent="0.25">
      <c r="C1671" s="54"/>
    </row>
    <row r="1672" spans="3:3" x14ac:dyDescent="0.25">
      <c r="C1672" s="54"/>
    </row>
    <row r="1675" spans="3:3" x14ac:dyDescent="0.25">
      <c r="C1675" s="55"/>
    </row>
    <row r="1676" spans="3:3" x14ac:dyDescent="0.25">
      <c r="C1676" s="55"/>
    </row>
  </sheetData>
  <mergeCells count="498">
    <mergeCell ref="R1327:R1328"/>
    <mergeCell ref="R1344:R1345"/>
    <mergeCell ref="R1361:R1362"/>
    <mergeCell ref="R1378:R1379"/>
    <mergeCell ref="B1395:F1395"/>
    <mergeCell ref="H1395:L1395"/>
    <mergeCell ref="M1395:Q1395"/>
    <mergeCell ref="R1395:R1396"/>
    <mergeCell ref="B1293:F1293"/>
    <mergeCell ref="H1293:L1293"/>
    <mergeCell ref="M1293:Q1293"/>
    <mergeCell ref="I1308:J1308"/>
    <mergeCell ref="M1308:O1308"/>
    <mergeCell ref="B1310:F1310"/>
    <mergeCell ref="H1310:L1310"/>
    <mergeCell ref="M1310:Q1310"/>
    <mergeCell ref="I1325:J1325"/>
    <mergeCell ref="M1325:O1325"/>
    <mergeCell ref="B1327:F1327"/>
    <mergeCell ref="H1327:L1327"/>
    <mergeCell ref="M1327:Q1327"/>
    <mergeCell ref="I1342:J1342"/>
    <mergeCell ref="M1342:O1342"/>
    <mergeCell ref="B1344:F1344"/>
    <mergeCell ref="H35:L35"/>
    <mergeCell ref="M35:Q35"/>
    <mergeCell ref="B103:F103"/>
    <mergeCell ref="B188:F188"/>
    <mergeCell ref="B290:F290"/>
    <mergeCell ref="R120:R121"/>
    <mergeCell ref="B171:F171"/>
    <mergeCell ref="R1293:R1294"/>
    <mergeCell ref="R1310:R1311"/>
    <mergeCell ref="B1123:F1123"/>
    <mergeCell ref="H1123:L1123"/>
    <mergeCell ref="M1123:Q1123"/>
    <mergeCell ref="R1123:R1124"/>
    <mergeCell ref="I1138:J1138"/>
    <mergeCell ref="M1138:O1138"/>
    <mergeCell ref="R1140:R1141"/>
    <mergeCell ref="B35:F35"/>
    <mergeCell ref="M1155:O1155"/>
    <mergeCell ref="H1157:L1157"/>
    <mergeCell ref="M1157:Q1157"/>
    <mergeCell ref="I1172:J1172"/>
    <mergeCell ref="M1172:O1172"/>
    <mergeCell ref="H1174:L1174"/>
    <mergeCell ref="M1174:Q1174"/>
    <mergeCell ref="R1:R2"/>
    <mergeCell ref="M1:Q1"/>
    <mergeCell ref="H1:L1"/>
    <mergeCell ref="B1:F1"/>
    <mergeCell ref="H103:L103"/>
    <mergeCell ref="M103:Q103"/>
    <mergeCell ref="R103:R104"/>
    <mergeCell ref="R18:R19"/>
    <mergeCell ref="I33:J33"/>
    <mergeCell ref="M33:O33"/>
    <mergeCell ref="I67:J67"/>
    <mergeCell ref="B86:F86"/>
    <mergeCell ref="H86:L86"/>
    <mergeCell ref="M86:Q86"/>
    <mergeCell ref="R86:R87"/>
    <mergeCell ref="B69:F69"/>
    <mergeCell ref="H69:L69"/>
    <mergeCell ref="M69:Q69"/>
    <mergeCell ref="R69:R70"/>
    <mergeCell ref="B52:F52"/>
    <mergeCell ref="H52:L52"/>
    <mergeCell ref="M52:Q52"/>
    <mergeCell ref="B18:F18"/>
    <mergeCell ref="H18:L18"/>
    <mergeCell ref="M16:O16"/>
    <mergeCell ref="I16:J16"/>
    <mergeCell ref="I118:J118"/>
    <mergeCell ref="M118:O118"/>
    <mergeCell ref="H1106:L1106"/>
    <mergeCell ref="M1106:Q1106"/>
    <mergeCell ref="R1106:R1107"/>
    <mergeCell ref="M18:Q18"/>
    <mergeCell ref="I101:J101"/>
    <mergeCell ref="R52:R53"/>
    <mergeCell ref="R35:R36"/>
    <mergeCell ref="I50:J50"/>
    <mergeCell ref="M50:O50"/>
    <mergeCell ref="I84:J84"/>
    <mergeCell ref="M67:O67"/>
    <mergeCell ref="M84:O84"/>
    <mergeCell ref="M101:O101"/>
    <mergeCell ref="H120:L120"/>
    <mergeCell ref="M120:Q120"/>
    <mergeCell ref="I152:J152"/>
    <mergeCell ref="I135:J135"/>
    <mergeCell ref="M135:O135"/>
    <mergeCell ref="H171:L171"/>
    <mergeCell ref="M171:Q171"/>
    <mergeCell ref="I1189:J1189"/>
    <mergeCell ref="H1140:L1140"/>
    <mergeCell ref="M1140:Q1140"/>
    <mergeCell ref="I1240:J1240"/>
    <mergeCell ref="M1240:O1240"/>
    <mergeCell ref="I186:J186"/>
    <mergeCell ref="M186:O186"/>
    <mergeCell ref="M1206:O1206"/>
    <mergeCell ref="M1189:O1189"/>
    <mergeCell ref="I1121:J1121"/>
    <mergeCell ref="M1121:O1121"/>
    <mergeCell ref="I1019:J1019"/>
    <mergeCell ref="M1019:O1019"/>
    <mergeCell ref="I203:J203"/>
    <mergeCell ref="M203:O203"/>
    <mergeCell ref="H188:L188"/>
    <mergeCell ref="M188:Q188"/>
    <mergeCell ref="M222:Q222"/>
    <mergeCell ref="H290:L290"/>
    <mergeCell ref="H222:L222"/>
    <mergeCell ref="M290:Q290"/>
    <mergeCell ref="R171:R172"/>
    <mergeCell ref="R154:R155"/>
    <mergeCell ref="I169:J169"/>
    <mergeCell ref="M169:O169"/>
    <mergeCell ref="B154:F154"/>
    <mergeCell ref="H154:L154"/>
    <mergeCell ref="M154:Q154"/>
    <mergeCell ref="R137:R138"/>
    <mergeCell ref="B137:F137"/>
    <mergeCell ref="H137:L137"/>
    <mergeCell ref="M137:Q137"/>
    <mergeCell ref="M152:O152"/>
    <mergeCell ref="B120:F120"/>
    <mergeCell ref="R188:R189"/>
    <mergeCell ref="B256:F256"/>
    <mergeCell ref="H256:L256"/>
    <mergeCell ref="M256:Q256"/>
    <mergeCell ref="R256:R257"/>
    <mergeCell ref="I271:J271"/>
    <mergeCell ref="M271:O271"/>
    <mergeCell ref="B239:F239"/>
    <mergeCell ref="H239:L239"/>
    <mergeCell ref="M239:Q239"/>
    <mergeCell ref="R239:R240"/>
    <mergeCell ref="I254:J254"/>
    <mergeCell ref="M254:O254"/>
    <mergeCell ref="R222:R223"/>
    <mergeCell ref="I237:J237"/>
    <mergeCell ref="M237:O237"/>
    <mergeCell ref="B222:F222"/>
    <mergeCell ref="B205:F205"/>
    <mergeCell ref="H205:L205"/>
    <mergeCell ref="M205:Q205"/>
    <mergeCell ref="R205:R206"/>
    <mergeCell ref="I220:J220"/>
    <mergeCell ref="M220:O220"/>
    <mergeCell ref="R290:R291"/>
    <mergeCell ref="I305:J305"/>
    <mergeCell ref="M305:O305"/>
    <mergeCell ref="B273:F273"/>
    <mergeCell ref="H273:L273"/>
    <mergeCell ref="M273:Q273"/>
    <mergeCell ref="R273:R274"/>
    <mergeCell ref="I288:J288"/>
    <mergeCell ref="M288:O288"/>
    <mergeCell ref="B324:F324"/>
    <mergeCell ref="H324:L324"/>
    <mergeCell ref="M324:Q324"/>
    <mergeCell ref="R324:R325"/>
    <mergeCell ref="I339:J339"/>
    <mergeCell ref="M339:O339"/>
    <mergeCell ref="B307:F307"/>
    <mergeCell ref="H307:L307"/>
    <mergeCell ref="M307:Q307"/>
    <mergeCell ref="R307:R308"/>
    <mergeCell ref="I322:J322"/>
    <mergeCell ref="M322:O322"/>
    <mergeCell ref="B358:F358"/>
    <mergeCell ref="H358:L358"/>
    <mergeCell ref="M358:Q358"/>
    <mergeCell ref="R358:R359"/>
    <mergeCell ref="I373:J373"/>
    <mergeCell ref="M373:O373"/>
    <mergeCell ref="B341:F341"/>
    <mergeCell ref="H341:L341"/>
    <mergeCell ref="M341:Q341"/>
    <mergeCell ref="R341:R342"/>
    <mergeCell ref="I356:J356"/>
    <mergeCell ref="M356:O356"/>
    <mergeCell ref="B392:F392"/>
    <mergeCell ref="H392:L392"/>
    <mergeCell ref="M392:Q392"/>
    <mergeCell ref="R392:R393"/>
    <mergeCell ref="I407:J407"/>
    <mergeCell ref="M407:O407"/>
    <mergeCell ref="B375:F375"/>
    <mergeCell ref="H375:L375"/>
    <mergeCell ref="M375:Q375"/>
    <mergeCell ref="R375:R376"/>
    <mergeCell ref="I390:J390"/>
    <mergeCell ref="M390:O390"/>
    <mergeCell ref="B426:F426"/>
    <mergeCell ref="H426:L426"/>
    <mergeCell ref="M426:Q426"/>
    <mergeCell ref="R426:R427"/>
    <mergeCell ref="I441:J441"/>
    <mergeCell ref="M441:O441"/>
    <mergeCell ref="B409:F409"/>
    <mergeCell ref="H409:L409"/>
    <mergeCell ref="M409:Q409"/>
    <mergeCell ref="R409:R410"/>
    <mergeCell ref="I424:J424"/>
    <mergeCell ref="M424:O424"/>
    <mergeCell ref="B460:F460"/>
    <mergeCell ref="H460:L460"/>
    <mergeCell ref="M460:Q460"/>
    <mergeCell ref="R460:R461"/>
    <mergeCell ref="I475:J475"/>
    <mergeCell ref="M475:O475"/>
    <mergeCell ref="B443:F443"/>
    <mergeCell ref="H443:L443"/>
    <mergeCell ref="M443:Q443"/>
    <mergeCell ref="R443:R444"/>
    <mergeCell ref="I458:J458"/>
    <mergeCell ref="M458:O458"/>
    <mergeCell ref="B494:F494"/>
    <mergeCell ref="H494:L494"/>
    <mergeCell ref="M494:Q494"/>
    <mergeCell ref="R494:R495"/>
    <mergeCell ref="I509:J509"/>
    <mergeCell ref="B477:F477"/>
    <mergeCell ref="H477:L477"/>
    <mergeCell ref="M477:Q477"/>
    <mergeCell ref="R477:R478"/>
    <mergeCell ref="I492:J492"/>
    <mergeCell ref="M492:O492"/>
    <mergeCell ref="B528:F528"/>
    <mergeCell ref="H528:L528"/>
    <mergeCell ref="M528:Q528"/>
    <mergeCell ref="R528:R529"/>
    <mergeCell ref="I543:J543"/>
    <mergeCell ref="M543:O543"/>
    <mergeCell ref="B511:F511"/>
    <mergeCell ref="H511:L511"/>
    <mergeCell ref="M511:Q511"/>
    <mergeCell ref="R511:R512"/>
    <mergeCell ref="I526:J526"/>
    <mergeCell ref="M526:O526"/>
    <mergeCell ref="B562:F562"/>
    <mergeCell ref="H562:L562"/>
    <mergeCell ref="M562:Q562"/>
    <mergeCell ref="R562:R563"/>
    <mergeCell ref="I577:J577"/>
    <mergeCell ref="M577:O577"/>
    <mergeCell ref="B545:F545"/>
    <mergeCell ref="H545:L545"/>
    <mergeCell ref="M545:Q545"/>
    <mergeCell ref="R545:R546"/>
    <mergeCell ref="I560:J560"/>
    <mergeCell ref="M560:O560"/>
    <mergeCell ref="B596:F596"/>
    <mergeCell ref="H596:L596"/>
    <mergeCell ref="M596:Q596"/>
    <mergeCell ref="R596:R597"/>
    <mergeCell ref="I611:J611"/>
    <mergeCell ref="M611:O611"/>
    <mergeCell ref="B579:F579"/>
    <mergeCell ref="H579:L579"/>
    <mergeCell ref="M579:Q579"/>
    <mergeCell ref="R579:R580"/>
    <mergeCell ref="I594:J594"/>
    <mergeCell ref="M594:O594"/>
    <mergeCell ref="B630:F630"/>
    <mergeCell ref="H630:L630"/>
    <mergeCell ref="M630:Q630"/>
    <mergeCell ref="R630:R631"/>
    <mergeCell ref="I645:J645"/>
    <mergeCell ref="M645:O645"/>
    <mergeCell ref="B613:F613"/>
    <mergeCell ref="H613:L613"/>
    <mergeCell ref="M613:Q613"/>
    <mergeCell ref="R613:R614"/>
    <mergeCell ref="I628:J628"/>
    <mergeCell ref="M628:O628"/>
    <mergeCell ref="B664:F664"/>
    <mergeCell ref="H664:L664"/>
    <mergeCell ref="M664:Q664"/>
    <mergeCell ref="R664:R665"/>
    <mergeCell ref="I679:J679"/>
    <mergeCell ref="M679:O679"/>
    <mergeCell ref="B647:F647"/>
    <mergeCell ref="H647:L647"/>
    <mergeCell ref="M647:Q647"/>
    <mergeCell ref="R647:R648"/>
    <mergeCell ref="I662:J662"/>
    <mergeCell ref="M662:O662"/>
    <mergeCell ref="B698:F698"/>
    <mergeCell ref="H698:L698"/>
    <mergeCell ref="M698:Q698"/>
    <mergeCell ref="R698:R699"/>
    <mergeCell ref="I713:J713"/>
    <mergeCell ref="M713:O713"/>
    <mergeCell ref="B681:F681"/>
    <mergeCell ref="H681:L681"/>
    <mergeCell ref="M681:Q681"/>
    <mergeCell ref="R681:R682"/>
    <mergeCell ref="I696:J696"/>
    <mergeCell ref="M696:O696"/>
    <mergeCell ref="B732:F732"/>
    <mergeCell ref="H732:L732"/>
    <mergeCell ref="M732:Q732"/>
    <mergeCell ref="R732:R733"/>
    <mergeCell ref="I747:J747"/>
    <mergeCell ref="M747:O747"/>
    <mergeCell ref="B715:F715"/>
    <mergeCell ref="H715:L715"/>
    <mergeCell ref="M715:Q715"/>
    <mergeCell ref="R715:R716"/>
    <mergeCell ref="I730:J730"/>
    <mergeCell ref="M730:O730"/>
    <mergeCell ref="B766:F766"/>
    <mergeCell ref="H766:L766"/>
    <mergeCell ref="M766:Q766"/>
    <mergeCell ref="R766:R767"/>
    <mergeCell ref="I781:J781"/>
    <mergeCell ref="M781:O781"/>
    <mergeCell ref="B749:F749"/>
    <mergeCell ref="H749:L749"/>
    <mergeCell ref="M749:Q749"/>
    <mergeCell ref="R749:R750"/>
    <mergeCell ref="I764:J764"/>
    <mergeCell ref="M764:O764"/>
    <mergeCell ref="B800:F800"/>
    <mergeCell ref="H800:L800"/>
    <mergeCell ref="M800:Q800"/>
    <mergeCell ref="R800:R801"/>
    <mergeCell ref="I815:J815"/>
    <mergeCell ref="M815:O815"/>
    <mergeCell ref="B783:F783"/>
    <mergeCell ref="H783:L783"/>
    <mergeCell ref="M783:Q783"/>
    <mergeCell ref="R783:R784"/>
    <mergeCell ref="I798:J798"/>
    <mergeCell ref="M798:O798"/>
    <mergeCell ref="B834:F834"/>
    <mergeCell ref="H834:L834"/>
    <mergeCell ref="M834:Q834"/>
    <mergeCell ref="R834:R835"/>
    <mergeCell ref="I849:J849"/>
    <mergeCell ref="M849:O849"/>
    <mergeCell ref="B817:F817"/>
    <mergeCell ref="H817:L817"/>
    <mergeCell ref="M817:Q817"/>
    <mergeCell ref="R817:R818"/>
    <mergeCell ref="I832:J832"/>
    <mergeCell ref="M832:O832"/>
    <mergeCell ref="B868:F868"/>
    <mergeCell ref="H868:L868"/>
    <mergeCell ref="M868:Q868"/>
    <mergeCell ref="R868:R869"/>
    <mergeCell ref="I883:J883"/>
    <mergeCell ref="M883:O883"/>
    <mergeCell ref="B851:F851"/>
    <mergeCell ref="H851:L851"/>
    <mergeCell ref="M851:Q851"/>
    <mergeCell ref="R851:R852"/>
    <mergeCell ref="I866:J866"/>
    <mergeCell ref="M866:O866"/>
    <mergeCell ref="B902:F902"/>
    <mergeCell ref="H902:L902"/>
    <mergeCell ref="M902:Q902"/>
    <mergeCell ref="R902:R903"/>
    <mergeCell ref="I917:J917"/>
    <mergeCell ref="M917:O917"/>
    <mergeCell ref="B885:F885"/>
    <mergeCell ref="H885:L885"/>
    <mergeCell ref="M885:Q885"/>
    <mergeCell ref="R885:R886"/>
    <mergeCell ref="I900:J900"/>
    <mergeCell ref="B936:F936"/>
    <mergeCell ref="H936:L936"/>
    <mergeCell ref="M936:Q936"/>
    <mergeCell ref="R936:R937"/>
    <mergeCell ref="I951:J951"/>
    <mergeCell ref="M951:O951"/>
    <mergeCell ref="B919:F919"/>
    <mergeCell ref="H919:L919"/>
    <mergeCell ref="M919:Q919"/>
    <mergeCell ref="R919:R920"/>
    <mergeCell ref="I934:J934"/>
    <mergeCell ref="M934:O934"/>
    <mergeCell ref="B970:F970"/>
    <mergeCell ref="H970:L970"/>
    <mergeCell ref="M970:Q970"/>
    <mergeCell ref="R970:R971"/>
    <mergeCell ref="I985:J985"/>
    <mergeCell ref="M985:O985"/>
    <mergeCell ref="B953:F953"/>
    <mergeCell ref="H953:L953"/>
    <mergeCell ref="M953:Q953"/>
    <mergeCell ref="R953:R954"/>
    <mergeCell ref="I968:J968"/>
    <mergeCell ref="M968:O968"/>
    <mergeCell ref="B1038:F1038"/>
    <mergeCell ref="H1038:L1038"/>
    <mergeCell ref="M1038:Q1038"/>
    <mergeCell ref="R1038:R1039"/>
    <mergeCell ref="I1053:J1053"/>
    <mergeCell ref="M1053:O1053"/>
    <mergeCell ref="I1087:J1087"/>
    <mergeCell ref="M1087:O1087"/>
    <mergeCell ref="B987:F987"/>
    <mergeCell ref="H987:L987"/>
    <mergeCell ref="M987:Q987"/>
    <mergeCell ref="R987:R988"/>
    <mergeCell ref="I1002:J1002"/>
    <mergeCell ref="M1002:O1002"/>
    <mergeCell ref="B1021:F1021"/>
    <mergeCell ref="H1021:L1021"/>
    <mergeCell ref="M1021:Q1021"/>
    <mergeCell ref="R1021:R1022"/>
    <mergeCell ref="I1036:J1036"/>
    <mergeCell ref="M1036:O1036"/>
    <mergeCell ref="B1004:F1004"/>
    <mergeCell ref="H1004:L1004"/>
    <mergeCell ref="M1004:Q1004"/>
    <mergeCell ref="R1004:R1005"/>
    <mergeCell ref="B1055:F1055"/>
    <mergeCell ref="H1055:L1055"/>
    <mergeCell ref="M1055:Q1055"/>
    <mergeCell ref="R1055:R1056"/>
    <mergeCell ref="I1070:J1070"/>
    <mergeCell ref="M1070:O1070"/>
    <mergeCell ref="B1072:F1072"/>
    <mergeCell ref="H1072:L1072"/>
    <mergeCell ref="M1072:Q1072"/>
    <mergeCell ref="R1072:R1073"/>
    <mergeCell ref="R1089:R1090"/>
    <mergeCell ref="I1104:J1104"/>
    <mergeCell ref="M1104:O1104"/>
    <mergeCell ref="B1106:F1106"/>
    <mergeCell ref="R1191:R1192"/>
    <mergeCell ref="R1208:R1209"/>
    <mergeCell ref="R1225:R1226"/>
    <mergeCell ref="B1225:F1225"/>
    <mergeCell ref="H1225:L1225"/>
    <mergeCell ref="M1225:Q1225"/>
    <mergeCell ref="H1208:L1208"/>
    <mergeCell ref="M1208:Q1208"/>
    <mergeCell ref="I1223:J1223"/>
    <mergeCell ref="M1223:O1223"/>
    <mergeCell ref="B1208:F1208"/>
    <mergeCell ref="H1191:L1191"/>
    <mergeCell ref="M1191:Q1191"/>
    <mergeCell ref="I1206:J1206"/>
    <mergeCell ref="R1157:R1158"/>
    <mergeCell ref="R1174:R1175"/>
    <mergeCell ref="B1089:F1089"/>
    <mergeCell ref="H1089:L1089"/>
    <mergeCell ref="M1089:Q1089"/>
    <mergeCell ref="I1155:J1155"/>
    <mergeCell ref="B1276:F1276"/>
    <mergeCell ref="H1276:L1276"/>
    <mergeCell ref="M1276:Q1276"/>
    <mergeCell ref="R1276:R1277"/>
    <mergeCell ref="I1291:J1291"/>
    <mergeCell ref="M1291:O1291"/>
    <mergeCell ref="B1242:F1242"/>
    <mergeCell ref="H1242:L1242"/>
    <mergeCell ref="M1242:Q1242"/>
    <mergeCell ref="R1242:R1243"/>
    <mergeCell ref="I1257:J1257"/>
    <mergeCell ref="M1257:O1257"/>
    <mergeCell ref="B1259:F1259"/>
    <mergeCell ref="H1259:L1259"/>
    <mergeCell ref="M1259:Q1259"/>
    <mergeCell ref="R1259:R1260"/>
    <mergeCell ref="I1274:J1274"/>
    <mergeCell ref="M1274:O1274"/>
    <mergeCell ref="H1344:L1344"/>
    <mergeCell ref="M1344:Q1344"/>
    <mergeCell ref="I1359:J1359"/>
    <mergeCell ref="M1359:O1359"/>
    <mergeCell ref="B1378:F1378"/>
    <mergeCell ref="H1378:L1378"/>
    <mergeCell ref="M1378:Q1378"/>
    <mergeCell ref="B1412:F1412"/>
    <mergeCell ref="H1412:L1412"/>
    <mergeCell ref="M1412:Q1412"/>
    <mergeCell ref="R1412:R1413"/>
    <mergeCell ref="I1427:J1427"/>
    <mergeCell ref="M1427:O1427"/>
    <mergeCell ref="I1393:J1393"/>
    <mergeCell ref="M1393:O1393"/>
    <mergeCell ref="B1361:F1361"/>
    <mergeCell ref="H1361:L1361"/>
    <mergeCell ref="M1361:Q1361"/>
    <mergeCell ref="I1376:J1376"/>
    <mergeCell ref="M1376:O1376"/>
    <mergeCell ref="I1410:J1410"/>
    <mergeCell ref="M1410:O1410"/>
  </mergeCells>
  <pageMargins left="0.19685039370078741" right="0.70866141732283472" top="0.19685039370078741" bottom="0.15748031496062992" header="0.31496062992125984" footer="0.31496062992125984"/>
  <pageSetup paperSize="5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cp:lastPrinted>2022-12-30T11:31:18Z</cp:lastPrinted>
  <dcterms:created xsi:type="dcterms:W3CDTF">2020-12-30T13:39:41Z</dcterms:created>
  <dcterms:modified xsi:type="dcterms:W3CDTF">2026-04-03T11:24:11Z</dcterms:modified>
</cp:coreProperties>
</file>