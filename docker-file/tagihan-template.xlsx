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PERASI SEJAHTERA-2026\"/>
    </mc:Choice>
  </mc:AlternateContent>
  <xr:revisionPtr revIDLastSave="0" documentId="13_ncr:1_{EDB3AE95-9E33-48C9-AF16-B12E05BBAAC1}" xr6:coauthVersionLast="47" xr6:coauthVersionMax="47" xr10:uidLastSave="{00000000-0000-0000-0000-000000000000}"/>
  <bookViews>
    <workbookView xWindow="-120" yWindow="-120" windowWidth="20640" windowHeight="11040" activeTab="4" xr2:uid="{00000000-000D-0000-FFFF-FFFF00000000}"/>
  </bookViews>
  <sheets>
    <sheet name="Jan'26" sheetId="60" r:id="rId1"/>
    <sheet name="PEB 26" sheetId="71" r:id="rId2"/>
    <sheet name="MARET-26" sheetId="72" r:id="rId3"/>
    <sheet name="APRIL-26" sheetId="73" r:id="rId4"/>
    <sheet name="MEI-2026" sheetId="74" r:id="rId5"/>
    <sheet name="JUNI-26" sheetId="75" r:id="rId6"/>
    <sheet name="JULI-26" sheetId="76" r:id="rId7"/>
    <sheet name="AGUSTS" sheetId="77" r:id="rId8"/>
    <sheet name="SEPT-25" sheetId="78" r:id="rId9"/>
    <sheet name="OKT-25" sheetId="79" r:id="rId10"/>
    <sheet name="NOP-25" sheetId="80" r:id="rId11"/>
    <sheet name="DES-25" sheetId="8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4">'MEI-2026'!$A$1:$L$72</definedName>
    <definedName name="_xlnm.Print_Area" localSheetId="8">'SEPT-25'!$A$1:$G$59</definedName>
  </definedNames>
  <calcPr calcId="191029"/>
</workbook>
</file>

<file path=xl/calcChain.xml><?xml version="1.0" encoding="utf-8"?>
<calcChain xmlns="http://schemas.openxmlformats.org/spreadsheetml/2006/main">
  <c r="F26" i="74" l="1"/>
  <c r="F25" i="74"/>
  <c r="F24" i="74"/>
  <c r="F21" i="74"/>
  <c r="F22" i="74"/>
  <c r="F23" i="74"/>
  <c r="F20" i="74"/>
  <c r="F19" i="74"/>
  <c r="C29" i="74"/>
  <c r="C28" i="74"/>
  <c r="C27" i="74"/>
  <c r="F18" i="74"/>
  <c r="F17" i="74"/>
  <c r="F16" i="74"/>
  <c r="C21" i="74"/>
  <c r="F13" i="74"/>
  <c r="C20" i="74"/>
  <c r="C19" i="74"/>
  <c r="F27" i="74"/>
  <c r="C18" i="74"/>
  <c r="F12" i="74"/>
  <c r="F11" i="74"/>
  <c r="F15" i="74"/>
  <c r="F10" i="74"/>
  <c r="F9" i="74"/>
  <c r="F8" i="74"/>
  <c r="F7" i="74"/>
  <c r="F6" i="74"/>
  <c r="F5" i="74"/>
  <c r="C17" i="74"/>
  <c r="C16" i="74"/>
  <c r="F14" i="74"/>
  <c r="C15" i="74"/>
  <c r="C14" i="74"/>
  <c r="C13" i="74"/>
  <c r="C12" i="74"/>
  <c r="C11" i="74"/>
  <c r="C10" i="74"/>
  <c r="C9" i="74"/>
  <c r="C8" i="74"/>
  <c r="C7" i="74"/>
  <c r="C6" i="74"/>
  <c r="C5" i="74"/>
  <c r="F28" i="74"/>
  <c r="F25" i="73"/>
  <c r="F18" i="73"/>
  <c r="C22" i="73"/>
  <c r="C18" i="73" l="1"/>
  <c r="F13" i="73"/>
  <c r="F12" i="73"/>
  <c r="F11" i="73"/>
  <c r="C25" i="73"/>
  <c r="F15" i="73"/>
  <c r="C27" i="73"/>
  <c r="F10" i="73"/>
  <c r="F8" i="73"/>
  <c r="F7" i="73"/>
  <c r="F14" i="73"/>
  <c r="F6" i="73"/>
  <c r="F5" i="73"/>
  <c r="C32" i="73"/>
  <c r="C31" i="73"/>
  <c r="C16" i="73"/>
  <c r="C15" i="73"/>
  <c r="C14" i="73"/>
  <c r="C13" i="73"/>
  <c r="C12" i="73"/>
  <c r="C11" i="73"/>
  <c r="C10" i="73"/>
  <c r="C6" i="73"/>
  <c r="C7" i="73"/>
  <c r="C26" i="73"/>
  <c r="C21" i="73"/>
  <c r="C27" i="72"/>
  <c r="F26" i="72"/>
  <c r="F19" i="72"/>
  <c r="C23" i="72"/>
  <c r="C22" i="72"/>
  <c r="F14" i="72"/>
  <c r="C21" i="72"/>
  <c r="C19" i="72"/>
  <c r="F13" i="72"/>
  <c r="F12" i="72"/>
  <c r="C26" i="72"/>
  <c r="F16" i="72"/>
  <c r="F11" i="72"/>
  <c r="F9" i="72"/>
  <c r="F7" i="72"/>
  <c r="F6" i="72"/>
  <c r="F5" i="72"/>
  <c r="F15" i="72"/>
  <c r="C33" i="72"/>
  <c r="C32" i="72"/>
  <c r="C17" i="72"/>
  <c r="C16" i="72"/>
  <c r="C15" i="72"/>
  <c r="C14" i="72"/>
  <c r="C13" i="72"/>
  <c r="C12" i="72"/>
  <c r="C11" i="72"/>
  <c r="C10" i="72"/>
  <c r="C7" i="72"/>
  <c r="C6" i="72"/>
  <c r="C37" i="72"/>
  <c r="C10" i="71"/>
  <c r="C7" i="71"/>
  <c r="C6" i="71"/>
  <c r="F27" i="60" l="1"/>
  <c r="F26" i="60"/>
  <c r="F20" i="60"/>
  <c r="C23" i="60"/>
  <c r="F15" i="60"/>
  <c r="C22" i="60"/>
  <c r="C20" i="60"/>
  <c r="F14" i="60"/>
  <c r="C27" i="60"/>
  <c r="F17" i="60"/>
  <c r="F12" i="60"/>
  <c r="C29" i="60"/>
  <c r="F10" i="60"/>
  <c r="F9" i="60"/>
  <c r="F8" i="60"/>
  <c r="F7" i="60"/>
  <c r="F6" i="60"/>
  <c r="F5" i="60"/>
  <c r="C34" i="60"/>
  <c r="C33" i="60"/>
  <c r="C25" i="60"/>
  <c r="C18" i="60"/>
  <c r="C17" i="60"/>
  <c r="F16" i="60"/>
  <c r="C16" i="60"/>
  <c r="C15" i="60"/>
  <c r="C14" i="60"/>
  <c r="C12" i="60"/>
  <c r="C11" i="60"/>
  <c r="C28" i="60"/>
  <c r="C32" i="60"/>
  <c r="C31" i="60"/>
  <c r="C30" i="60"/>
  <c r="C24" i="60"/>
  <c r="C21" i="60"/>
  <c r="C19" i="60"/>
  <c r="C10" i="60"/>
  <c r="C8" i="60"/>
  <c r="C7" i="60"/>
  <c r="C6" i="60"/>
  <c r="C5" i="60"/>
  <c r="F29" i="81"/>
  <c r="F23" i="81"/>
  <c r="F22" i="81"/>
  <c r="C24" i="81"/>
  <c r="C23" i="81"/>
  <c r="F17" i="81"/>
  <c r="C20" i="81"/>
  <c r="F16" i="81"/>
  <c r="F15" i="81"/>
  <c r="C27" i="81"/>
  <c r="F19" i="81"/>
  <c r="F14" i="81"/>
  <c r="C29" i="81"/>
  <c r="C26" i="81"/>
  <c r="F12" i="81"/>
  <c r="F11" i="81"/>
  <c r="F10" i="81"/>
  <c r="F9" i="81"/>
  <c r="F8" i="81"/>
  <c r="F7" i="81"/>
  <c r="F6" i="81"/>
  <c r="F5" i="81"/>
  <c r="C25" i="81"/>
  <c r="C19" i="81"/>
  <c r="C18" i="81"/>
  <c r="C17" i="81"/>
  <c r="F18" i="81"/>
  <c r="C16" i="81"/>
  <c r="C15" i="81"/>
  <c r="C14" i="81"/>
  <c r="C13" i="81"/>
  <c r="C12" i="81"/>
  <c r="C11" i="81"/>
  <c r="C10" i="81"/>
  <c r="C8" i="81"/>
  <c r="C7" i="81"/>
  <c r="F28" i="81"/>
  <c r="C28" i="81"/>
  <c r="F27" i="81"/>
  <c r="F26" i="81"/>
  <c r="F25" i="81"/>
  <c r="F24" i="81"/>
  <c r="C22" i="81"/>
  <c r="F21" i="81"/>
  <c r="C21" i="81"/>
  <c r="F20" i="81"/>
  <c r="F13" i="81"/>
  <c r="C9" i="81"/>
  <c r="C6" i="81"/>
  <c r="F34" i="81"/>
  <c r="C5" i="81"/>
  <c r="C34" i="81" s="1"/>
  <c r="C17" i="80"/>
  <c r="F29" i="80" l="1"/>
  <c r="F28" i="80"/>
  <c r="F22" i="80"/>
  <c r="C23" i="80"/>
  <c r="F17" i="80"/>
  <c r="C20" i="80"/>
  <c r="F16" i="80"/>
  <c r="F15" i="80"/>
  <c r="C27" i="80"/>
  <c r="F19" i="80"/>
  <c r="F14" i="80"/>
  <c r="C29" i="80"/>
  <c r="F12" i="80"/>
  <c r="F11" i="80"/>
  <c r="F10" i="80"/>
  <c r="F9" i="80"/>
  <c r="F8" i="80"/>
  <c r="F7" i="80"/>
  <c r="F6" i="80"/>
  <c r="F5" i="80"/>
  <c r="C19" i="80"/>
  <c r="C18" i="80"/>
  <c r="F18" i="80"/>
  <c r="C16" i="80"/>
  <c r="C15" i="80"/>
  <c r="C14" i="80"/>
  <c r="C13" i="80"/>
  <c r="C12" i="80"/>
  <c r="C8" i="80"/>
  <c r="C11" i="80"/>
  <c r="C7" i="80"/>
  <c r="C28" i="80" l="1"/>
  <c r="F27" i="80"/>
  <c r="F26" i="80"/>
  <c r="C26" i="80"/>
  <c r="F25" i="80"/>
  <c r="C25" i="80"/>
  <c r="F24" i="80"/>
  <c r="C24" i="80"/>
  <c r="F23" i="80"/>
  <c r="C22" i="80"/>
  <c r="F21" i="80"/>
  <c r="C21" i="80"/>
  <c r="F20" i="80"/>
  <c r="F13" i="80"/>
  <c r="C10" i="80"/>
  <c r="C9" i="80"/>
  <c r="C6" i="80"/>
  <c r="F34" i="80"/>
  <c r="C5" i="80"/>
  <c r="C34" i="80" s="1"/>
  <c r="F29" i="79"/>
  <c r="F28" i="79"/>
  <c r="F22" i="79"/>
  <c r="C23" i="79"/>
  <c r="F17" i="79"/>
  <c r="C20" i="79"/>
  <c r="F16" i="79"/>
  <c r="F15" i="79"/>
  <c r="C27" i="79"/>
  <c r="F19" i="79"/>
  <c r="F14" i="79"/>
  <c r="C29" i="79"/>
  <c r="C26" i="79"/>
  <c r="F12" i="79"/>
  <c r="F11" i="79"/>
  <c r="F10" i="79"/>
  <c r="F9" i="79"/>
  <c r="F8" i="79"/>
  <c r="F7" i="79"/>
  <c r="F6" i="79"/>
  <c r="F5" i="79"/>
  <c r="C19" i="79"/>
  <c r="C18" i="79"/>
  <c r="C17" i="79"/>
  <c r="F18" i="79"/>
  <c r="C16" i="79"/>
  <c r="C15" i="79"/>
  <c r="C14" i="79"/>
  <c r="C13" i="79"/>
  <c r="C12" i="79"/>
  <c r="C11" i="79"/>
  <c r="C8" i="79"/>
  <c r="C7" i="79"/>
  <c r="C28" i="79"/>
  <c r="F27" i="79"/>
  <c r="F26" i="79"/>
  <c r="F25" i="79"/>
  <c r="C25" i="79"/>
  <c r="F24" i="79"/>
  <c r="C24" i="79"/>
  <c r="F23" i="79"/>
  <c r="C22" i="79"/>
  <c r="F21" i="79"/>
  <c r="C21" i="79"/>
  <c r="F20" i="79"/>
  <c r="F13" i="79"/>
  <c r="C10" i="79"/>
  <c r="C9" i="79"/>
  <c r="C6" i="79"/>
  <c r="F34" i="79"/>
  <c r="C5" i="79"/>
  <c r="C34" i="79" s="1"/>
  <c r="F28" i="78"/>
  <c r="F22" i="78"/>
  <c r="C23" i="78"/>
  <c r="F17" i="78"/>
  <c r="C20" i="78"/>
  <c r="F16" i="78"/>
  <c r="F15" i="78"/>
  <c r="C27" i="78"/>
  <c r="F19" i="78"/>
  <c r="F14" i="78"/>
  <c r="C29" i="78"/>
  <c r="F12" i="78"/>
  <c r="F11" i="78"/>
  <c r="F10" i="78"/>
  <c r="F9" i="78"/>
  <c r="F8" i="78"/>
  <c r="F7" i="78"/>
  <c r="F6" i="78"/>
  <c r="F5" i="78"/>
  <c r="C18" i="78"/>
  <c r="C17" i="78"/>
  <c r="F18" i="78"/>
  <c r="C16" i="78"/>
  <c r="C15" i="78"/>
  <c r="C13" i="78"/>
  <c r="C12" i="78"/>
  <c r="C11" i="78"/>
  <c r="C8" i="78"/>
  <c r="C7" i="78"/>
  <c r="C5" i="78"/>
  <c r="F27" i="78"/>
  <c r="F26" i="78"/>
  <c r="F25" i="78"/>
  <c r="F24" i="78"/>
  <c r="F23" i="78"/>
  <c r="C28" i="78"/>
  <c r="C26" i="78"/>
  <c r="C25" i="78"/>
  <c r="C24" i="78"/>
  <c r="C22" i="78"/>
  <c r="F21" i="78"/>
  <c r="C21" i="78"/>
  <c r="F20" i="78"/>
  <c r="C19" i="78"/>
  <c r="C14" i="78"/>
  <c r="F13" i="78"/>
  <c r="C10" i="78"/>
  <c r="C9" i="78"/>
  <c r="C6" i="78"/>
  <c r="F34" i="78"/>
  <c r="C34" i="78"/>
  <c r="F29" i="77"/>
  <c r="F23" i="77"/>
  <c r="C24" i="77"/>
  <c r="C23" i="77"/>
  <c r="F17" i="77"/>
  <c r="C20" i="77"/>
  <c r="F16" i="77"/>
  <c r="F15" i="77"/>
  <c r="C27" i="77"/>
  <c r="F19" i="77"/>
  <c r="F14" i="77"/>
  <c r="C29" i="77"/>
  <c r="F12" i="77"/>
  <c r="F11" i="77"/>
  <c r="F10" i="77"/>
  <c r="F9" i="77"/>
  <c r="F8" i="77"/>
  <c r="F7" i="77"/>
  <c r="F6" i="77"/>
  <c r="F5" i="77"/>
  <c r="C18" i="77"/>
  <c r="C17" i="77"/>
  <c r="F18" i="77"/>
  <c r="C16" i="77"/>
  <c r="C15" i="77"/>
  <c r="C13" i="77"/>
  <c r="C12" i="77"/>
  <c r="C11" i="77"/>
  <c r="C8" i="77"/>
  <c r="C7" i="77"/>
  <c r="F28" i="77"/>
  <c r="C28" i="77"/>
  <c r="F27" i="77"/>
  <c r="F26" i="77"/>
  <c r="C26" i="77"/>
  <c r="F25" i="77"/>
  <c r="C25" i="77"/>
  <c r="F24" i="77"/>
  <c r="C22" i="77"/>
  <c r="F21" i="77"/>
  <c r="C21" i="77"/>
  <c r="F20" i="77"/>
  <c r="C19" i="77"/>
  <c r="C14" i="77"/>
  <c r="F13" i="77"/>
  <c r="C10" i="77"/>
  <c r="C9" i="77"/>
  <c r="C6" i="77"/>
  <c r="F35" i="77"/>
  <c r="C5" i="77"/>
  <c r="C35" i="77" s="1"/>
  <c r="F9" i="76"/>
  <c r="F29" i="76" l="1"/>
  <c r="F23" i="76"/>
  <c r="C23" i="76"/>
  <c r="F17" i="76"/>
  <c r="C20" i="76"/>
  <c r="F15" i="76"/>
  <c r="C27" i="76"/>
  <c r="F19" i="76"/>
  <c r="F14" i="76"/>
  <c r="C29" i="76"/>
  <c r="C26" i="76"/>
  <c r="F12" i="76"/>
  <c r="F10" i="76"/>
  <c r="F8" i="76"/>
  <c r="F7" i="76"/>
  <c r="F6" i="76"/>
  <c r="C19" i="76"/>
  <c r="C18" i="76"/>
  <c r="C17" i="76"/>
  <c r="F18" i="76"/>
  <c r="C16" i="76"/>
  <c r="C15" i="76"/>
  <c r="C13" i="76"/>
  <c r="C12" i="76"/>
  <c r="C8" i="76"/>
  <c r="C11" i="76"/>
  <c r="C7" i="76"/>
  <c r="F28" i="76"/>
  <c r="C28" i="76"/>
  <c r="F27" i="76"/>
  <c r="F26" i="76"/>
  <c r="F25" i="76"/>
  <c r="C25" i="76"/>
  <c r="F24" i="76"/>
  <c r="C24" i="76"/>
  <c r="F22" i="76"/>
  <c r="C22" i="76"/>
  <c r="F21" i="76"/>
  <c r="C21" i="76"/>
  <c r="F20" i="76"/>
  <c r="F16" i="76"/>
  <c r="C14" i="76"/>
  <c r="F13" i="76"/>
  <c r="C10" i="76"/>
  <c r="C9" i="76"/>
  <c r="C6" i="76"/>
  <c r="F5" i="76"/>
  <c r="C5" i="76"/>
  <c r="C35" i="76" s="1"/>
  <c r="F15" i="75"/>
  <c r="C27" i="75"/>
  <c r="F19" i="75"/>
  <c r="C29" i="75"/>
  <c r="C26" i="75"/>
  <c r="F14" i="75"/>
  <c r="F12" i="75"/>
  <c r="F11" i="75"/>
  <c r="F10" i="75"/>
  <c r="F9" i="75"/>
  <c r="F8" i="75"/>
  <c r="F7" i="75"/>
  <c r="F6" i="75"/>
  <c r="F23" i="75"/>
  <c r="C23" i="75"/>
  <c r="F17" i="75"/>
  <c r="C22" i="75"/>
  <c r="C21" i="75"/>
  <c r="C18" i="75"/>
  <c r="C17" i="75"/>
  <c r="C16" i="75"/>
  <c r="C28" i="75"/>
  <c r="C25" i="75"/>
  <c r="C24" i="75"/>
  <c r="C19" i="75"/>
  <c r="C15" i="75"/>
  <c r="C13" i="75"/>
  <c r="C12" i="75"/>
  <c r="C11" i="75"/>
  <c r="C8" i="75"/>
  <c r="C7" i="75"/>
  <c r="F28" i="75"/>
  <c r="F27" i="75"/>
  <c r="F26" i="75"/>
  <c r="F25" i="75"/>
  <c r="F22" i="75"/>
  <c r="F21" i="75"/>
  <c r="F20" i="75"/>
  <c r="F16" i="75"/>
  <c r="C14" i="75"/>
  <c r="F13" i="75"/>
  <c r="C10" i="75"/>
  <c r="C9" i="75"/>
  <c r="C6" i="75"/>
  <c r="F5" i="75"/>
  <c r="C5" i="75"/>
  <c r="F35" i="74"/>
  <c r="C35" i="74"/>
  <c r="F35" i="73" l="1"/>
  <c r="C9" i="60" l="1"/>
  <c r="AC9" i="60" l="1"/>
  <c r="AC7" i="60"/>
  <c r="AC6" i="60"/>
  <c r="AC5" i="60"/>
  <c r="AC13" i="60" l="1"/>
  <c r="AC11" i="60"/>
  <c r="AF20" i="60" l="1"/>
  <c r="AF19" i="60"/>
  <c r="AF18" i="60"/>
  <c r="AF16" i="60"/>
  <c r="AF15" i="60"/>
  <c r="AF14" i="60"/>
  <c r="AF12" i="60"/>
  <c r="AC35" i="60"/>
  <c r="AC30" i="60"/>
  <c r="AC26" i="60"/>
  <c r="AC25" i="60"/>
  <c r="AC23" i="60"/>
  <c r="AC22" i="60"/>
  <c r="AC21" i="60"/>
  <c r="AC19" i="60"/>
  <c r="AC18" i="60"/>
  <c r="AC17" i="60"/>
  <c r="AC16" i="60"/>
  <c r="AC14" i="60"/>
  <c r="AC8" i="60"/>
  <c r="AF11" i="60"/>
  <c r="AF10" i="60"/>
  <c r="AF9" i="60"/>
  <c r="AF8" i="60"/>
  <c r="AF7" i="60"/>
  <c r="AF6" i="60"/>
  <c r="AF5" i="60"/>
  <c r="AF36" i="60" s="1"/>
  <c r="AC36" i="60"/>
  <c r="F36" i="60" l="1"/>
  <c r="F37" i="71" l="1"/>
  <c r="C37" i="71" l="1"/>
  <c r="F24" i="75" l="1"/>
  <c r="F18" i="75" l="1"/>
  <c r="F35" i="75" s="1"/>
  <c r="C20" i="75" l="1"/>
  <c r="C35" i="75" s="1"/>
  <c r="F11" i="76" l="1"/>
  <c r="F35" i="76" s="1"/>
  <c r="C13" i="60" l="1"/>
  <c r="C26" i="60" l="1"/>
  <c r="C36" i="60" s="1"/>
  <c r="F8" i="72" l="1"/>
  <c r="F37" i="72" s="1"/>
  <c r="C20" i="73" l="1"/>
  <c r="C35" i="73" s="1"/>
</calcChain>
</file>

<file path=xl/sharedStrings.xml><?xml version="1.0" encoding="utf-8"?>
<sst xmlns="http://schemas.openxmlformats.org/spreadsheetml/2006/main" count="865" uniqueCount="97">
  <si>
    <t>NO</t>
  </si>
  <si>
    <t>NAMA</t>
  </si>
  <si>
    <t>JUMLAH</t>
  </si>
  <si>
    <t>MINTORINI,SPd</t>
  </si>
  <si>
    <t>SUHAEBUDIN,ST</t>
  </si>
  <si>
    <t>SUGIONO</t>
  </si>
  <si>
    <t>BASUKI</t>
  </si>
  <si>
    <t>SAROPAH</t>
  </si>
  <si>
    <t>MASHURI</t>
  </si>
  <si>
    <t>JUNAIDAH</t>
  </si>
  <si>
    <t>LATIEF Gz</t>
  </si>
  <si>
    <t>Drs. NURKASAN</t>
  </si>
  <si>
    <t>DIAN RIFQI E, SPdI</t>
  </si>
  <si>
    <t>ROHMADIANI R</t>
  </si>
  <si>
    <t>ZAENAL ARIFIN</t>
  </si>
  <si>
    <t>PRASTOPO, S.Pd</t>
  </si>
  <si>
    <t>R.TRI WIJAYANTI</t>
  </si>
  <si>
    <t>RINI WP,SPd</t>
  </si>
  <si>
    <t>YULAIKAH, S.Pd</t>
  </si>
  <si>
    <t>NANIK HIDAYATI, S.Pd</t>
  </si>
  <si>
    <t>JOHAN SYAH, S.Pd</t>
  </si>
  <si>
    <t>SUGIANTO</t>
  </si>
  <si>
    <t>Tagihan Koperasi Sejahtera</t>
  </si>
  <si>
    <t>KARUNIA R</t>
  </si>
  <si>
    <t>PUTRI RAFLESSIA, S.Pd</t>
  </si>
  <si>
    <t>SITI NUNIK, S.Pd</t>
  </si>
  <si>
    <t>IM. MUJAHID, S.Pd</t>
  </si>
  <si>
    <t>Drs. ONNY HERDIONO</t>
  </si>
  <si>
    <t>KALINGGA</t>
  </si>
  <si>
    <t>ANDY N</t>
  </si>
  <si>
    <t>SUSANTI</t>
  </si>
  <si>
    <t>Bendahara</t>
  </si>
  <si>
    <t>SULASTRI</t>
  </si>
  <si>
    <t>SRI WAHYUNINGSIH</t>
  </si>
  <si>
    <t>WAHYU SRI HANDAYANI</t>
  </si>
  <si>
    <t>ARIS W,S.Pd</t>
  </si>
  <si>
    <t>SUYANTO,S.Pd</t>
  </si>
  <si>
    <t>ANGGRAINI B,S.Pd</t>
  </si>
  <si>
    <t>ARINA ASWIN,S.Pd</t>
  </si>
  <si>
    <t>RAHAYU SAPTO., S.Pd</t>
  </si>
  <si>
    <t>SITI RODIYAH,S.Pd</t>
  </si>
  <si>
    <t>SULASTRI,S.Pd</t>
  </si>
  <si>
    <t>HANIK S,S.Pd</t>
  </si>
  <si>
    <t>GUNAWAN,S.Pd</t>
  </si>
  <si>
    <t>SUGENG H,S.Pd</t>
  </si>
  <si>
    <t>ROKHMAH,S.Pd</t>
  </si>
  <si>
    <t>NISWATUL A, S.Pd</t>
  </si>
  <si>
    <t>WIWIK Dewi S,S.Pd</t>
  </si>
  <si>
    <t>SYAMSUL A, S.Pd</t>
  </si>
  <si>
    <t>M.YUSUF,S.Pd</t>
  </si>
  <si>
    <t>FAHIMAH D,S.Pd</t>
  </si>
  <si>
    <t>EVA KUSUMA DEWI,S.Pd</t>
  </si>
  <si>
    <t>REVALDO L,S.Pd</t>
  </si>
  <si>
    <t>Bulan Januari  2024</t>
  </si>
  <si>
    <t>Grogol, 02 Januari 2024</t>
  </si>
  <si>
    <t>SATRIA</t>
  </si>
  <si>
    <t>ADITYA</t>
  </si>
  <si>
    <t>DEWI ASTUTIK</t>
  </si>
  <si>
    <t>M.TAMZIS</t>
  </si>
  <si>
    <t>FITRIANI</t>
  </si>
  <si>
    <t>SITI AMIN</t>
  </si>
  <si>
    <t>SITI NURASIH</t>
  </si>
  <si>
    <t>INDAH LESTARI</t>
  </si>
  <si>
    <t>QORINA AL AULIA</t>
  </si>
  <si>
    <t>FHITA MUSTIKASARI</t>
  </si>
  <si>
    <t>WIWIK DEWI S,S.Pd</t>
  </si>
  <si>
    <t>ANGGUN</t>
  </si>
  <si>
    <t>MAQDUM</t>
  </si>
  <si>
    <t>KRISNADI</t>
  </si>
  <si>
    <t>NOUFARA</t>
  </si>
  <si>
    <t>Bulan Juni 2025</t>
  </si>
  <si>
    <t xml:space="preserve">Grogol, 02 Juni 2025 </t>
  </si>
  <si>
    <t>LUTFI RIZKITA</t>
  </si>
  <si>
    <t>Bulan Juli 2025</t>
  </si>
  <si>
    <t xml:space="preserve">Grogol, 01 Juli 2025 </t>
  </si>
  <si>
    <t>Bulan Agustus 2025</t>
  </si>
  <si>
    <t xml:space="preserve">Grogol, 01Agustus 2025 </t>
  </si>
  <si>
    <t>Bulan September 2025</t>
  </si>
  <si>
    <t xml:space="preserve">Grogol, 01 September 2025 </t>
  </si>
  <si>
    <t>Bulan Oktober 2025</t>
  </si>
  <si>
    <t xml:space="preserve">Grogol, 01 Oktober 2025 </t>
  </si>
  <si>
    <t>Bulan Nopember 2025</t>
  </si>
  <si>
    <t xml:space="preserve">Grogol, 01 Nopember 2025 </t>
  </si>
  <si>
    <t>Bulan Desember 2025</t>
  </si>
  <si>
    <t xml:space="preserve">Grogol, 01 Desember 2025 </t>
  </si>
  <si>
    <t>Bulan Januari  2026</t>
  </si>
  <si>
    <t>Grogol, 02 Januari 2026</t>
  </si>
  <si>
    <t>Bulan Februari 2026</t>
  </si>
  <si>
    <t>Grogol, 02 Februari 2026</t>
  </si>
  <si>
    <t>Grogol, 02 Maret 2026</t>
  </si>
  <si>
    <t>Bulan Maret 2026</t>
  </si>
  <si>
    <t>Grogol, 01 April  2026</t>
  </si>
  <si>
    <t>Bulan April 2026</t>
  </si>
  <si>
    <t>Bulan Mei 2026</t>
  </si>
  <si>
    <t xml:space="preserve">Grogol, 02 Mei 2026 </t>
  </si>
  <si>
    <t>ASRINING KUSUMA</t>
  </si>
  <si>
    <t>AHMAT ALI TAMZIS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</si>
</sst>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2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1"/>
      <color theme="1"/>
      <name val="Calibri"/>
      <family val="2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5" fillId="0" borderId="1" xfId="1" applyFont="1" applyBorder="1" applyAlignment="1">
      <alignment horizontal="center" vertical="center"/>
    </xf>
    <xf numFmtId="164" fontId="5" fillId="0" borderId="1" xfId="1" applyFont="1" applyBorder="1" applyAlignment="1">
      <alignment horizontal="right" vertical="center"/>
    </xf>
    <xf numFmtId="164" fontId="6" fillId="0" borderId="2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3" fontId="1" fillId="0" borderId="1" xfId="0" quotePrefix="1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/>
    <xf numFmtId="3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6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JANUARI-%202026.xlsx" TargetMode="External"/><Relationship Id="rId1" Type="http://schemas.openxmlformats.org/officeDocument/2006/relationships/externalLinkPath" Target="KARTU%20REKENING%20JANUARI-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PEBRUARI-%202026.xlsx" TargetMode="External"/><Relationship Id="rId1" Type="http://schemas.openxmlformats.org/officeDocument/2006/relationships/externalLinkPath" Target="KARTU%20REKENING%20PEBRUARI-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4\KARTU%20REKENING%20%20JANUARI%20%202024.xlsx" TargetMode="External"/><Relationship Id="rId1" Type="http://schemas.openxmlformats.org/officeDocument/2006/relationships/externalLinkPath" Target="/KOPERASI%20SEJAHTERA%20SIGRO%202024/KARTU%20REKENING%20%20JANUARI%20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DESEMBER%20%202023.xlsx" TargetMode="External"/><Relationship Id="rId1" Type="http://schemas.openxmlformats.org/officeDocument/2006/relationships/externalLinkPath" Target="/KOPERASI%20SEJAHTERA%20SIGRO%202023/KARTU%20REKENING%20%20DESEMBER%20%20202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OKTOBER%202023.xlsx" TargetMode="External"/><Relationship Id="rId1" Type="http://schemas.openxmlformats.org/officeDocument/2006/relationships/externalLinkPath" Target="/KOPERASI%20SEJAHTERA%20SIGRO%202023/KARTU%20REKENING%20%20OKTOBER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JANUARI%20%202025.xlsx" TargetMode="External"/><Relationship Id="rId1" Type="http://schemas.openxmlformats.org/officeDocument/2006/relationships/externalLinkPath" Target="/KOPERASI%20SEJAHTERA%202025/KARTU%20REKENING%20JANUARI%20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APRIL%20%202023.xlsx" TargetMode="External"/><Relationship Id="rId1" Type="http://schemas.openxmlformats.org/officeDocument/2006/relationships/externalLinkPath" Target="/KOPERASI%20SEJAHTERA%20SIGRO%202023/KARTU%20REKENING%20%20APRIL%20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JUNI%202023.xlsx" TargetMode="External"/><Relationship Id="rId1" Type="http://schemas.openxmlformats.org/officeDocument/2006/relationships/externalLinkPath" Target="/KOPERASI%20SEJAHTERA%20SIGRO%202023/KARTU%20REKENING%20%20JUNI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NOPEMBER%202023.xlsx" TargetMode="External"/><Relationship Id="rId1" Type="http://schemas.openxmlformats.org/officeDocument/2006/relationships/externalLinkPath" Target="/KOPERASI%20SEJAHTERA%20SIGRO%202023/KARTU%20REKENING%20%20NOPEMBER%20202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MARET-%202026.xlsx" TargetMode="External"/><Relationship Id="rId1" Type="http://schemas.openxmlformats.org/officeDocument/2006/relationships/externalLinkPath" Target="KARTU%20REKENING%20MARET-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APRIL-%202026.xlsx" TargetMode="External"/><Relationship Id="rId1" Type="http://schemas.openxmlformats.org/officeDocument/2006/relationships/externalLinkPath" Target="KARTU%20REKENING%20APRIL-%20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MEI%20-%202026.xlsx" TargetMode="External"/><Relationship Id="rId1" Type="http://schemas.openxmlformats.org/officeDocument/2006/relationships/externalLinkPath" Target="KARTU%20REKENING%20MEI%20-%20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MEI-%202025.xlsx" TargetMode="External"/><Relationship Id="rId1" Type="http://schemas.openxmlformats.org/officeDocument/2006/relationships/externalLinkPath" Target="/KOPERASI%20SEJAHTERA%202025/KARTU%20REKENING%20MEI-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JUNI%20-%202025.xlsx" TargetMode="External"/><Relationship Id="rId1" Type="http://schemas.openxmlformats.org/officeDocument/2006/relationships/externalLinkPath" Target="/KOPERASI%20SEJAHTERA%202025/KARTU%20REKENING%20JUNI%20-%20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MARET-%202025.xlsx" TargetMode="External"/><Relationship Id="rId1" Type="http://schemas.openxmlformats.org/officeDocument/2006/relationships/externalLinkPath" Target="/KOPERASI%20SEJAHTERA%202025/KARTU%20REKENING%20MARET-%202025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JULI%20-%202025.xlsx" TargetMode="External"/><Relationship Id="rId1" Type="http://schemas.openxmlformats.org/officeDocument/2006/relationships/externalLinkPath" Target="/KOPERASI%20SEJAHTERA%202025/KARTU%20REKENING%20JULI%20-%202025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AGUSTUS%20-%202025.xlsx" TargetMode="External"/><Relationship Id="rId1" Type="http://schemas.openxmlformats.org/officeDocument/2006/relationships/externalLinkPath" Target="/KOPERASI%20SEJAHTERA%202025/KARTU%20REKENING%20AGUSTUS%20-%20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SEPTEMBER%20-%202025.xlsx" TargetMode="External"/><Relationship Id="rId1" Type="http://schemas.openxmlformats.org/officeDocument/2006/relationships/externalLinkPath" Target="/KOPERASI%20SEJAHTERA%202025/KARTU%20REKENING%20SEPTEMBER%20-%202025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OKTOBER%20-%202025.xlsx" TargetMode="External"/><Relationship Id="rId1" Type="http://schemas.openxmlformats.org/officeDocument/2006/relationships/externalLinkPath" Target="/KOPERASI%20SEJAHTERA%202025/KARTU%20REKENING%20OKTOBER%20-%202025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NOPEMBER%20-%202025.xlsx" TargetMode="External"/><Relationship Id="rId1" Type="http://schemas.openxmlformats.org/officeDocument/2006/relationships/externalLinkPath" Target="/KOPERASI%20SEJAHTERA%202025/KARTU%20REKENING%20NOPEMBER%20-%202025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DESEMBER%20-%202025.xlsx" TargetMode="External"/><Relationship Id="rId1" Type="http://schemas.openxmlformats.org/officeDocument/2006/relationships/externalLinkPath" Target="KARTU%20REKENING%20DESEMBER%20-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1">
          <cell r="R21">
            <v>200000</v>
          </cell>
        </row>
        <row r="140">
          <cell r="R140">
            <v>1230000</v>
          </cell>
        </row>
        <row r="225">
          <cell r="R225">
            <v>1200000</v>
          </cell>
        </row>
        <row r="242">
          <cell r="R242">
            <v>2167500</v>
          </cell>
        </row>
        <row r="276">
          <cell r="R276">
            <v>1437500</v>
          </cell>
        </row>
        <row r="310">
          <cell r="R310">
            <v>600000</v>
          </cell>
        </row>
        <row r="582">
          <cell r="R582">
            <v>125000</v>
          </cell>
        </row>
        <row r="1092">
          <cell r="R1092">
            <v>475000</v>
          </cell>
        </row>
        <row r="1160">
          <cell r="R1160">
            <v>460000</v>
          </cell>
        </row>
        <row r="1245">
          <cell r="R1245">
            <v>300000</v>
          </cell>
        </row>
        <row r="1262">
          <cell r="R1262">
            <v>350000</v>
          </cell>
        </row>
        <row r="1296">
          <cell r="R1296">
            <v>300000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43">
          <cell r="R243">
            <v>2149500</v>
          </cell>
        </row>
        <row r="277">
          <cell r="R277">
            <v>1430000</v>
          </cell>
        </row>
        <row r="328">
          <cell r="R328">
            <v>848750</v>
          </cell>
        </row>
        <row r="362">
          <cell r="R362">
            <v>1865000</v>
          </cell>
        </row>
        <row r="379">
          <cell r="R379">
            <v>1183800</v>
          </cell>
        </row>
        <row r="396">
          <cell r="R396">
            <v>1580000</v>
          </cell>
        </row>
        <row r="447">
          <cell r="R447">
            <v>1377500</v>
          </cell>
        </row>
        <row r="498">
          <cell r="R498">
            <v>835315</v>
          </cell>
        </row>
        <row r="515">
          <cell r="R515">
            <v>926000</v>
          </cell>
        </row>
        <row r="549">
          <cell r="R549">
            <v>1252500</v>
          </cell>
        </row>
        <row r="566">
          <cell r="R566">
            <v>3860000</v>
          </cell>
        </row>
        <row r="651">
          <cell r="R651">
            <v>900000</v>
          </cell>
        </row>
        <row r="685">
          <cell r="R685">
            <v>1890000</v>
          </cell>
        </row>
        <row r="736">
          <cell r="R736">
            <v>-960000</v>
          </cell>
        </row>
        <row r="753">
          <cell r="R753">
            <v>326250</v>
          </cell>
        </row>
        <row r="770">
          <cell r="R770">
            <v>-6564500</v>
          </cell>
        </row>
        <row r="787">
          <cell r="R787">
            <v>678750</v>
          </cell>
        </row>
        <row r="804">
          <cell r="R804">
            <v>384500</v>
          </cell>
        </row>
        <row r="821">
          <cell r="R821">
            <v>509750</v>
          </cell>
        </row>
        <row r="855">
          <cell r="R855">
            <v>453000</v>
          </cell>
        </row>
        <row r="889">
          <cell r="R889">
            <v>270000</v>
          </cell>
        </row>
        <row r="906">
          <cell r="R906">
            <v>1105000</v>
          </cell>
        </row>
        <row r="974">
          <cell r="R974">
            <v>805000</v>
          </cell>
        </row>
        <row r="991">
          <cell r="R991">
            <v>1960000</v>
          </cell>
        </row>
        <row r="1008">
          <cell r="R1008">
            <v>636250</v>
          </cell>
        </row>
        <row r="1042">
          <cell r="R1042">
            <v>635000</v>
          </cell>
        </row>
        <row r="1059">
          <cell r="R1059">
            <v>899000</v>
          </cell>
        </row>
        <row r="1110">
          <cell r="R1110">
            <v>1785000</v>
          </cell>
        </row>
        <row r="1127">
          <cell r="R1127">
            <v>950875</v>
          </cell>
        </row>
        <row r="1144">
          <cell r="R1144">
            <v>1057500</v>
          </cell>
        </row>
        <row r="1229">
          <cell r="R1229">
            <v>520750</v>
          </cell>
        </row>
        <row r="1382">
          <cell r="R1382">
            <v>220000</v>
          </cell>
        </row>
        <row r="1399">
          <cell r="R1399">
            <v>1265000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06">
          <cell r="R106">
            <v>760000</v>
          </cell>
        </row>
        <row r="140">
          <cell r="R140">
            <v>950000</v>
          </cell>
        </row>
        <row r="191">
          <cell r="R191">
            <v>810000</v>
          </cell>
        </row>
        <row r="242">
          <cell r="R242">
            <v>1390000</v>
          </cell>
        </row>
        <row r="276">
          <cell r="R276">
            <v>1417500</v>
          </cell>
        </row>
        <row r="310">
          <cell r="R310">
            <v>1160000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338">
          <cell r="R338">
            <v>751250</v>
          </cell>
        </row>
        <row r="389">
          <cell r="R389">
            <v>1326300</v>
          </cell>
        </row>
        <row r="406">
          <cell r="R406">
            <v>2755000</v>
          </cell>
        </row>
        <row r="423">
          <cell r="R423">
            <v>1585000</v>
          </cell>
        </row>
        <row r="457">
          <cell r="R457">
            <v>1437500</v>
          </cell>
        </row>
        <row r="508">
          <cell r="R508">
            <v>893815</v>
          </cell>
        </row>
        <row r="525">
          <cell r="R525">
            <v>1067000</v>
          </cell>
        </row>
        <row r="559">
          <cell r="R559">
            <v>1347500</v>
          </cell>
        </row>
        <row r="576">
          <cell r="R576">
            <v>2375000</v>
          </cell>
        </row>
        <row r="695">
          <cell r="R695">
            <v>830000</v>
          </cell>
        </row>
        <row r="746">
          <cell r="R746">
            <v>547500</v>
          </cell>
        </row>
        <row r="763">
          <cell r="R763">
            <v>302750</v>
          </cell>
        </row>
        <row r="780">
          <cell r="R780">
            <v>627500</v>
          </cell>
        </row>
        <row r="797">
          <cell r="R797">
            <v>574250</v>
          </cell>
        </row>
        <row r="814">
          <cell r="R814">
            <v>417500</v>
          </cell>
        </row>
        <row r="831">
          <cell r="R831">
            <v>3671750</v>
          </cell>
        </row>
        <row r="865">
          <cell r="R865">
            <v>534000</v>
          </cell>
        </row>
        <row r="899">
          <cell r="R899">
            <v>667500</v>
          </cell>
        </row>
        <row r="984">
          <cell r="R984">
            <v>883000</v>
          </cell>
        </row>
        <row r="1001">
          <cell r="R1001">
            <v>-585000</v>
          </cell>
        </row>
        <row r="1052">
          <cell r="R1052">
            <v>412500</v>
          </cell>
        </row>
        <row r="1086">
          <cell r="R1086">
            <v>342500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34">
          <cell r="R234">
            <v>1000000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1">
          <cell r="R21">
            <v>200000</v>
          </cell>
        </row>
        <row r="140">
          <cell r="R140">
            <v>1150000</v>
          </cell>
        </row>
        <row r="225">
          <cell r="R225">
            <v>1000000</v>
          </cell>
        </row>
        <row r="293">
          <cell r="R293">
            <v>1800000</v>
          </cell>
        </row>
        <row r="582">
          <cell r="R582">
            <v>125000</v>
          </cell>
        </row>
        <row r="1041">
          <cell r="R1041">
            <v>75000</v>
          </cell>
        </row>
        <row r="1177">
          <cell r="R1177">
            <v>250000</v>
          </cell>
        </row>
        <row r="1211">
          <cell r="R1211">
            <v>100000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027">
          <cell r="R1027">
            <v>80000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30">
          <cell r="E230">
            <v>500000</v>
          </cell>
        </row>
        <row r="1182">
          <cell r="R1182">
            <v>200000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84">
          <cell r="J184">
            <v>0</v>
          </cell>
        </row>
        <row r="1068">
          <cell r="R1068">
            <v>618250</v>
          </cell>
        </row>
        <row r="1170">
          <cell r="R1170">
            <v>696250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3">
          <cell r="I23">
            <v>1000000</v>
          </cell>
          <cell r="R23">
            <v>1500000</v>
          </cell>
        </row>
        <row r="244">
          <cell r="R244">
            <v>2131500</v>
          </cell>
        </row>
        <row r="278">
          <cell r="R278">
            <v>1422500</v>
          </cell>
        </row>
        <row r="329">
          <cell r="R329">
            <v>845000</v>
          </cell>
        </row>
        <row r="363">
          <cell r="R363">
            <v>1857500</v>
          </cell>
        </row>
        <row r="380">
          <cell r="R380">
            <v>1176300</v>
          </cell>
        </row>
        <row r="397">
          <cell r="R397">
            <v>1565000</v>
          </cell>
        </row>
        <row r="448">
          <cell r="R448">
            <v>1370000</v>
          </cell>
        </row>
        <row r="499">
          <cell r="R499">
            <v>833065</v>
          </cell>
        </row>
        <row r="516">
          <cell r="R516">
            <v>920000</v>
          </cell>
        </row>
        <row r="550">
          <cell r="R550">
            <v>1245000</v>
          </cell>
        </row>
        <row r="567">
          <cell r="R567">
            <v>530000</v>
          </cell>
        </row>
        <row r="686">
          <cell r="R686">
            <v>-3132500</v>
          </cell>
        </row>
        <row r="737">
          <cell r="R737">
            <v>536250</v>
          </cell>
        </row>
        <row r="754">
          <cell r="R754">
            <v>323250</v>
          </cell>
        </row>
        <row r="788">
          <cell r="R788">
            <v>674250</v>
          </cell>
        </row>
        <row r="805">
          <cell r="R805">
            <v>-2593444</v>
          </cell>
        </row>
        <row r="822">
          <cell r="R822">
            <v>509000</v>
          </cell>
        </row>
        <row r="856">
          <cell r="R856">
            <v>447000</v>
          </cell>
        </row>
        <row r="975">
          <cell r="R975">
            <v>802000</v>
          </cell>
        </row>
        <row r="992">
          <cell r="R992">
            <v>2012500</v>
          </cell>
        </row>
        <row r="1009">
          <cell r="R1009">
            <v>628750</v>
          </cell>
        </row>
        <row r="1026">
          <cell r="R1026">
            <v>275000</v>
          </cell>
        </row>
        <row r="1043">
          <cell r="R1043">
            <v>627500</v>
          </cell>
        </row>
        <row r="1060">
          <cell r="R1060">
            <v>966500</v>
          </cell>
        </row>
        <row r="1111">
          <cell r="R1111">
            <v>6770000</v>
          </cell>
        </row>
        <row r="1128">
          <cell r="R1128">
            <v>943375</v>
          </cell>
        </row>
        <row r="1145">
          <cell r="R1145">
            <v>550000</v>
          </cell>
        </row>
        <row r="1162">
          <cell r="R1162">
            <v>740500</v>
          </cell>
        </row>
        <row r="1230">
          <cell r="R1230">
            <v>514750</v>
          </cell>
        </row>
        <row r="1400">
          <cell r="R1400">
            <v>1250000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4">
          <cell r="J24">
            <v>18000000</v>
          </cell>
          <cell r="R24">
            <v>885000</v>
          </cell>
        </row>
        <row r="245">
          <cell r="R245">
            <v>313500</v>
          </cell>
        </row>
        <row r="279">
          <cell r="R279">
            <v>-4585000</v>
          </cell>
        </row>
        <row r="330">
          <cell r="R330">
            <v>-1558750</v>
          </cell>
        </row>
        <row r="364">
          <cell r="R364">
            <v>1850000</v>
          </cell>
        </row>
        <row r="381">
          <cell r="R381">
            <v>718800</v>
          </cell>
        </row>
        <row r="398">
          <cell r="R398">
            <v>-850000</v>
          </cell>
        </row>
        <row r="449">
          <cell r="R449">
            <v>-1037500</v>
          </cell>
        </row>
        <row r="500">
          <cell r="R500">
            <v>230815</v>
          </cell>
        </row>
        <row r="517">
          <cell r="R517">
            <v>614000</v>
          </cell>
        </row>
        <row r="551">
          <cell r="R551">
            <v>-562500</v>
          </cell>
        </row>
        <row r="687">
          <cell r="R687">
            <v>4445000</v>
          </cell>
        </row>
        <row r="738">
          <cell r="R738">
            <v>532500</v>
          </cell>
        </row>
        <row r="755">
          <cell r="R755">
            <v>320250</v>
          </cell>
        </row>
        <row r="789">
          <cell r="R789">
            <v>-1730250</v>
          </cell>
        </row>
        <row r="823">
          <cell r="R823">
            <v>-751750</v>
          </cell>
        </row>
        <row r="857">
          <cell r="R857">
            <v>441000</v>
          </cell>
        </row>
        <row r="908">
          <cell r="R908">
            <v>-113000</v>
          </cell>
        </row>
        <row r="976">
          <cell r="R976">
            <v>-5201000</v>
          </cell>
        </row>
        <row r="993">
          <cell r="R993">
            <v>2065000</v>
          </cell>
        </row>
        <row r="1010">
          <cell r="R1010">
            <v>621250</v>
          </cell>
        </row>
        <row r="1027">
          <cell r="R1027">
            <v>32750</v>
          </cell>
        </row>
        <row r="1044">
          <cell r="R1044">
            <v>20000</v>
          </cell>
        </row>
        <row r="1061">
          <cell r="R1061">
            <v>-241000</v>
          </cell>
        </row>
        <row r="1112">
          <cell r="R1112">
            <v>2680000</v>
          </cell>
        </row>
        <row r="1129">
          <cell r="R1129">
            <v>935875</v>
          </cell>
        </row>
        <row r="1163">
          <cell r="R1163">
            <v>136000</v>
          </cell>
        </row>
        <row r="1231">
          <cell r="R1231">
            <v>-91250</v>
          </cell>
        </row>
        <row r="1401">
          <cell r="R1401">
            <v>35000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8">
          <cell r="G8">
            <v>125000</v>
          </cell>
        </row>
        <row r="229">
          <cell r="R229">
            <v>1200000</v>
          </cell>
        </row>
        <row r="246">
          <cell r="R246">
            <v>2095500</v>
          </cell>
        </row>
        <row r="280">
          <cell r="R280">
            <v>1407500</v>
          </cell>
        </row>
        <row r="297">
          <cell r="R297">
            <v>1800000</v>
          </cell>
        </row>
        <row r="314">
          <cell r="R314">
            <v>600000</v>
          </cell>
        </row>
        <row r="331">
          <cell r="R331">
            <v>837500</v>
          </cell>
        </row>
        <row r="365">
          <cell r="R365">
            <v>2442500</v>
          </cell>
        </row>
        <row r="382">
          <cell r="R382">
            <v>1161300</v>
          </cell>
        </row>
        <row r="399">
          <cell r="R399">
            <v>2535000</v>
          </cell>
        </row>
        <row r="450">
          <cell r="R450">
            <v>1355000</v>
          </cell>
        </row>
        <row r="501">
          <cell r="R501">
            <v>828565</v>
          </cell>
        </row>
        <row r="518">
          <cell r="R518">
            <v>908000</v>
          </cell>
        </row>
        <row r="552">
          <cell r="R552">
            <v>1230000</v>
          </cell>
        </row>
        <row r="586">
          <cell r="R586">
            <v>125000</v>
          </cell>
        </row>
        <row r="756">
          <cell r="R756">
            <v>317250</v>
          </cell>
        </row>
        <row r="790">
          <cell r="R790">
            <v>665250</v>
          </cell>
        </row>
        <row r="824">
          <cell r="R824">
            <v>507500</v>
          </cell>
        </row>
        <row r="858">
          <cell r="R858">
            <v>435000</v>
          </cell>
        </row>
        <row r="926">
          <cell r="R926">
            <v>100000</v>
          </cell>
        </row>
        <row r="977">
          <cell r="R977">
            <v>796000</v>
          </cell>
        </row>
        <row r="994">
          <cell r="R994">
            <v>2042500</v>
          </cell>
        </row>
        <row r="1028">
          <cell r="R1028">
            <v>270500</v>
          </cell>
        </row>
        <row r="1045">
          <cell r="R1045">
            <v>612500</v>
          </cell>
        </row>
        <row r="1062">
          <cell r="R1062">
            <v>951500</v>
          </cell>
        </row>
        <row r="1079">
          <cell r="R1079">
            <v>100000</v>
          </cell>
        </row>
        <row r="1096">
          <cell r="R1096">
            <v>475000</v>
          </cell>
        </row>
        <row r="1113">
          <cell r="R1113">
            <v>1650000</v>
          </cell>
        </row>
        <row r="1130">
          <cell r="R1130">
            <v>928375</v>
          </cell>
        </row>
        <row r="1164">
          <cell r="R1164">
            <v>731500</v>
          </cell>
        </row>
        <row r="1181">
          <cell r="R1181">
            <v>250000</v>
          </cell>
        </row>
        <row r="1198">
          <cell r="R1198">
            <v>360000</v>
          </cell>
        </row>
        <row r="1232">
          <cell r="R1232">
            <v>502750</v>
          </cell>
        </row>
        <row r="1249">
          <cell r="R1249">
            <v>300000</v>
          </cell>
        </row>
        <row r="1266">
          <cell r="R1266">
            <v>350000</v>
          </cell>
        </row>
        <row r="1283">
          <cell r="R1283">
            <v>150000</v>
          </cell>
        </row>
        <row r="1300">
          <cell r="R1300">
            <v>300000</v>
          </cell>
        </row>
        <row r="1317">
          <cell r="R1317">
            <v>100000</v>
          </cell>
        </row>
        <row r="1385">
          <cell r="R1385">
            <v>220000</v>
          </cell>
        </row>
        <row r="1402">
          <cell r="R1402">
            <v>1220000</v>
          </cell>
        </row>
        <row r="1419">
          <cell r="R1419">
            <v>50000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314">
          <cell r="R314">
            <v>420000</v>
          </cell>
        </row>
        <row r="399">
          <cell r="R399">
            <v>505000</v>
          </cell>
        </row>
        <row r="688">
          <cell r="R688">
            <v>325000</v>
          </cell>
        </row>
        <row r="1164">
          <cell r="R1164">
            <v>360000</v>
          </cell>
        </row>
        <row r="1198">
          <cell r="R1198">
            <v>200000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47">
          <cell r="R247">
            <v>1145000</v>
          </cell>
        </row>
        <row r="281">
          <cell r="R281">
            <v>1490000</v>
          </cell>
        </row>
        <row r="332">
          <cell r="R332">
            <v>848750</v>
          </cell>
        </row>
        <row r="366">
          <cell r="R366">
            <v>1925000</v>
          </cell>
        </row>
        <row r="383">
          <cell r="R383">
            <v>1243800</v>
          </cell>
        </row>
        <row r="451">
          <cell r="R451">
            <v>1437500</v>
          </cell>
        </row>
        <row r="502">
          <cell r="R502">
            <v>853315</v>
          </cell>
        </row>
        <row r="519">
          <cell r="R519">
            <v>974000</v>
          </cell>
        </row>
        <row r="553">
          <cell r="R553">
            <v>1312500</v>
          </cell>
        </row>
        <row r="570">
          <cell r="R570">
            <v>-61445000</v>
          </cell>
        </row>
        <row r="740">
          <cell r="R740">
            <v>570000</v>
          </cell>
        </row>
        <row r="757">
          <cell r="R757">
            <v>350250</v>
          </cell>
        </row>
        <row r="774">
          <cell r="R774">
            <v>682500</v>
          </cell>
        </row>
        <row r="791">
          <cell r="R791">
            <v>-405250</v>
          </cell>
        </row>
        <row r="808">
          <cell r="R808">
            <v>420500</v>
          </cell>
        </row>
        <row r="825">
          <cell r="R825">
            <v>508250</v>
          </cell>
        </row>
        <row r="859">
          <cell r="R859">
            <v>501000</v>
          </cell>
        </row>
        <row r="893">
          <cell r="R893">
            <v>18480000</v>
          </cell>
        </row>
        <row r="910">
          <cell r="R910">
            <v>1177000</v>
          </cell>
        </row>
        <row r="978">
          <cell r="R978">
            <v>329000</v>
          </cell>
        </row>
        <row r="995">
          <cell r="R995">
            <v>2065000</v>
          </cell>
        </row>
        <row r="1012">
          <cell r="R1012">
            <v>382500</v>
          </cell>
        </row>
        <row r="1029">
          <cell r="R1029">
            <v>345000</v>
          </cell>
        </row>
        <row r="1063">
          <cell r="R1063">
            <v>847000</v>
          </cell>
        </row>
        <row r="1097">
          <cell r="R1097">
            <v>475000</v>
          </cell>
        </row>
        <row r="1114">
          <cell r="R1114">
            <v>275000</v>
          </cell>
        </row>
        <row r="1131">
          <cell r="R1131">
            <v>977500</v>
          </cell>
        </row>
        <row r="1148">
          <cell r="R1148">
            <v>1117500</v>
          </cell>
        </row>
        <row r="1233">
          <cell r="R1233">
            <v>299750</v>
          </cell>
        </row>
        <row r="1284">
          <cell r="R1284">
            <v>-2350000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652">
          <cell r="R652">
            <v>-700000</v>
          </cell>
        </row>
        <row r="924">
          <cell r="R924">
            <v>100000</v>
          </cell>
        </row>
        <row r="1281">
          <cell r="R1281">
            <v>650000</v>
          </cell>
        </row>
        <row r="1315">
          <cell r="R1315">
            <v>100000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48">
          <cell r="R248">
            <v>1137500</v>
          </cell>
        </row>
        <row r="282">
          <cell r="R282">
            <v>482500</v>
          </cell>
        </row>
        <row r="333">
          <cell r="R333">
            <v>845000</v>
          </cell>
        </row>
        <row r="367">
          <cell r="R367">
            <v>1917500</v>
          </cell>
        </row>
        <row r="384">
          <cell r="R384">
            <v>1236300</v>
          </cell>
        </row>
        <row r="452">
          <cell r="R452">
            <v>1430000</v>
          </cell>
        </row>
        <row r="503">
          <cell r="R503">
            <v>851065</v>
          </cell>
        </row>
        <row r="520">
          <cell r="R520">
            <v>968000</v>
          </cell>
        </row>
        <row r="554">
          <cell r="R554">
            <v>1305000</v>
          </cell>
        </row>
        <row r="571">
          <cell r="R571">
            <v>2590000</v>
          </cell>
        </row>
        <row r="588">
          <cell r="R588">
            <v>125000</v>
          </cell>
        </row>
        <row r="741">
          <cell r="R741">
            <v>566250</v>
          </cell>
        </row>
        <row r="758">
          <cell r="R758">
            <v>347250</v>
          </cell>
        </row>
        <row r="775">
          <cell r="R775">
            <v>675000</v>
          </cell>
        </row>
        <row r="792">
          <cell r="R792">
            <v>665250</v>
          </cell>
        </row>
        <row r="809">
          <cell r="R809">
            <v>416000</v>
          </cell>
        </row>
        <row r="826">
          <cell r="R826">
            <v>515000</v>
          </cell>
        </row>
        <row r="860">
          <cell r="R860">
            <v>495000</v>
          </cell>
        </row>
        <row r="894">
          <cell r="R894">
            <v>210000</v>
          </cell>
        </row>
        <row r="911">
          <cell r="R911">
            <v>6168000</v>
          </cell>
        </row>
        <row r="979">
          <cell r="R979">
            <v>826000</v>
          </cell>
        </row>
        <row r="996">
          <cell r="R996">
            <v>2042500</v>
          </cell>
        </row>
        <row r="1013">
          <cell r="R1013">
            <v>688750</v>
          </cell>
        </row>
        <row r="1030">
          <cell r="R1030">
            <v>341250</v>
          </cell>
        </row>
        <row r="1064">
          <cell r="R1064">
            <v>841000</v>
          </cell>
        </row>
        <row r="1132">
          <cell r="R1132">
            <v>1003375</v>
          </cell>
        </row>
        <row r="1149">
          <cell r="R1149">
            <v>1110000</v>
          </cell>
        </row>
        <row r="1234">
          <cell r="R1234">
            <v>296750</v>
          </cell>
        </row>
        <row r="1387">
          <cell r="R1387">
            <v>440000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49">
          <cell r="R249">
            <v>1130000</v>
          </cell>
        </row>
        <row r="283">
          <cell r="R283">
            <v>1475000</v>
          </cell>
        </row>
        <row r="334">
          <cell r="R334">
            <v>841250</v>
          </cell>
        </row>
        <row r="368">
          <cell r="R368">
            <v>1910000</v>
          </cell>
        </row>
        <row r="385">
          <cell r="R385">
            <v>1228800</v>
          </cell>
        </row>
        <row r="453">
          <cell r="R453">
            <v>1422500</v>
          </cell>
        </row>
        <row r="504">
          <cell r="R504">
            <v>848815</v>
          </cell>
        </row>
        <row r="521">
          <cell r="R521">
            <v>962000</v>
          </cell>
        </row>
        <row r="555">
          <cell r="R555">
            <v>1297500</v>
          </cell>
        </row>
        <row r="572">
          <cell r="R572">
            <v>2575000</v>
          </cell>
        </row>
        <row r="691">
          <cell r="R691">
            <v>2025000</v>
          </cell>
        </row>
        <row r="742">
          <cell r="R742">
            <v>562500</v>
          </cell>
        </row>
        <row r="759">
          <cell r="R759">
            <v>344250</v>
          </cell>
        </row>
        <row r="776">
          <cell r="R776">
            <v>667500</v>
          </cell>
        </row>
        <row r="793">
          <cell r="R793">
            <v>660750</v>
          </cell>
        </row>
        <row r="810">
          <cell r="R810">
            <v>411500</v>
          </cell>
        </row>
        <row r="827">
          <cell r="R827">
            <v>514250</v>
          </cell>
        </row>
        <row r="861">
          <cell r="R861">
            <v>489000</v>
          </cell>
        </row>
        <row r="912">
          <cell r="R912">
            <v>-5841000</v>
          </cell>
        </row>
        <row r="980">
          <cell r="R980">
            <v>823000</v>
          </cell>
        </row>
        <row r="997">
          <cell r="R997">
            <v>2020000</v>
          </cell>
        </row>
        <row r="1014">
          <cell r="R1014">
            <v>681250</v>
          </cell>
        </row>
        <row r="1031">
          <cell r="R1031">
            <v>337500</v>
          </cell>
        </row>
        <row r="1048">
          <cell r="R1048">
            <v>680000</v>
          </cell>
        </row>
        <row r="1065">
          <cell r="R1065">
            <v>835000</v>
          </cell>
        </row>
        <row r="1133">
          <cell r="R1133">
            <v>995875</v>
          </cell>
        </row>
        <row r="1150">
          <cell r="R1150">
            <v>1102500</v>
          </cell>
        </row>
        <row r="1166">
          <cell r="R1166">
            <v>360000</v>
          </cell>
        </row>
        <row r="1235">
          <cell r="R1235">
            <v>293750</v>
          </cell>
        </row>
        <row r="1388">
          <cell r="R1388">
            <v>436250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48">
          <cell r="O148">
            <v>4000000</v>
          </cell>
          <cell r="R148">
            <v>1230000</v>
          </cell>
        </row>
        <row r="250">
          <cell r="R250">
            <v>1122500</v>
          </cell>
        </row>
        <row r="284">
          <cell r="R284">
            <v>1467500</v>
          </cell>
        </row>
        <row r="335">
          <cell r="R335">
            <v>837500</v>
          </cell>
        </row>
        <row r="369">
          <cell r="R369">
            <v>1902500</v>
          </cell>
        </row>
        <row r="386">
          <cell r="R386">
            <v>1221300</v>
          </cell>
        </row>
        <row r="454">
          <cell r="R454">
            <v>1415000</v>
          </cell>
        </row>
        <row r="505">
          <cell r="R505">
            <v>846565</v>
          </cell>
        </row>
        <row r="522">
          <cell r="R522">
            <v>996000</v>
          </cell>
        </row>
        <row r="556">
          <cell r="R556">
            <v>1290000</v>
          </cell>
        </row>
        <row r="573">
          <cell r="R573">
            <v>2950000</v>
          </cell>
        </row>
        <row r="692">
          <cell r="R692">
            <v>2077500</v>
          </cell>
        </row>
        <row r="743">
          <cell r="R743">
            <v>633750</v>
          </cell>
        </row>
        <row r="760">
          <cell r="R760">
            <v>341250</v>
          </cell>
        </row>
        <row r="777">
          <cell r="R777">
            <v>660000</v>
          </cell>
        </row>
        <row r="794">
          <cell r="R794">
            <v>656250</v>
          </cell>
        </row>
        <row r="811">
          <cell r="R811">
            <v>407000</v>
          </cell>
        </row>
        <row r="828">
          <cell r="R828">
            <v>513500</v>
          </cell>
        </row>
        <row r="862">
          <cell r="R862">
            <v>483000</v>
          </cell>
        </row>
        <row r="913">
          <cell r="R913">
            <v>1150000</v>
          </cell>
        </row>
        <row r="981">
          <cell r="R981">
            <v>820000</v>
          </cell>
        </row>
        <row r="998">
          <cell r="R998">
            <v>1997500</v>
          </cell>
        </row>
        <row r="1015">
          <cell r="R1015">
            <v>673750</v>
          </cell>
        </row>
        <row r="1032">
          <cell r="R1032">
            <v>333750</v>
          </cell>
        </row>
        <row r="1049">
          <cell r="R1049">
            <v>672500</v>
          </cell>
        </row>
        <row r="1066">
          <cell r="R1066">
            <v>829000</v>
          </cell>
        </row>
        <row r="1134">
          <cell r="R1134">
            <v>988375</v>
          </cell>
        </row>
        <row r="1151">
          <cell r="R1151">
            <v>1095000</v>
          </cell>
        </row>
        <row r="1236">
          <cell r="R1236">
            <v>550750</v>
          </cell>
        </row>
        <row r="1389">
          <cell r="R1389">
            <v>432500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51">
          <cell r="R251">
            <v>1115000</v>
          </cell>
        </row>
        <row r="285">
          <cell r="R285">
            <v>1460000</v>
          </cell>
        </row>
        <row r="336">
          <cell r="R336">
            <v>873750</v>
          </cell>
        </row>
        <row r="370">
          <cell r="R370">
            <v>1895000</v>
          </cell>
        </row>
        <row r="387">
          <cell r="R387">
            <v>413800</v>
          </cell>
        </row>
        <row r="404">
          <cell r="R404">
            <v>1640000</v>
          </cell>
        </row>
        <row r="455">
          <cell r="R455">
            <v>-2192500</v>
          </cell>
        </row>
        <row r="506">
          <cell r="R506">
            <v>844315</v>
          </cell>
        </row>
        <row r="523">
          <cell r="R523">
            <v>1010000</v>
          </cell>
        </row>
        <row r="557">
          <cell r="R557">
            <v>-1117500</v>
          </cell>
        </row>
        <row r="574">
          <cell r="R574">
            <v>2935000</v>
          </cell>
        </row>
        <row r="591">
          <cell r="R591">
            <v>3350000</v>
          </cell>
        </row>
        <row r="693">
          <cell r="R693">
            <v>-6020000</v>
          </cell>
        </row>
        <row r="744">
          <cell r="R744">
            <v>555000</v>
          </cell>
        </row>
        <row r="761">
          <cell r="R761">
            <v>338250</v>
          </cell>
        </row>
        <row r="778">
          <cell r="R778">
            <v>652500</v>
          </cell>
        </row>
        <row r="795">
          <cell r="R795">
            <v>651750</v>
          </cell>
        </row>
        <row r="812">
          <cell r="R812">
            <v>402500</v>
          </cell>
        </row>
        <row r="829">
          <cell r="R829">
            <v>512750</v>
          </cell>
        </row>
        <row r="863">
          <cell r="R863">
            <v>477000</v>
          </cell>
        </row>
        <row r="897">
          <cell r="R897">
            <v>310000</v>
          </cell>
        </row>
        <row r="914">
          <cell r="R914">
            <v>1141000</v>
          </cell>
        </row>
        <row r="982">
          <cell r="R982">
            <v>817000</v>
          </cell>
        </row>
        <row r="999">
          <cell r="R999">
            <v>1975000</v>
          </cell>
        </row>
        <row r="1016">
          <cell r="R1016">
            <v>666250</v>
          </cell>
        </row>
        <row r="1032">
          <cell r="R1032">
            <v>333750</v>
          </cell>
        </row>
        <row r="1050">
          <cell r="R1050">
            <v>665000</v>
          </cell>
        </row>
        <row r="1067">
          <cell r="R1067">
            <v>823000</v>
          </cell>
        </row>
        <row r="1135">
          <cell r="R1135">
            <v>980875</v>
          </cell>
        </row>
        <row r="1152">
          <cell r="R1152">
            <v>1087500</v>
          </cell>
        </row>
        <row r="1237">
          <cell r="R1237">
            <v>544750</v>
          </cell>
        </row>
        <row r="1390">
          <cell r="R1390">
            <v>100000</v>
          </cell>
        </row>
        <row r="1407">
          <cell r="R1407">
            <v>1325000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52">
          <cell r="R252">
            <v>1107500</v>
          </cell>
        </row>
        <row r="286">
          <cell r="R286">
            <v>1452500</v>
          </cell>
        </row>
        <row r="337">
          <cell r="R337">
            <v>870000</v>
          </cell>
        </row>
        <row r="371">
          <cell r="R371">
            <v>1887500</v>
          </cell>
        </row>
        <row r="388">
          <cell r="R388">
            <v>1206300</v>
          </cell>
        </row>
        <row r="405">
          <cell r="R405">
            <v>1625000</v>
          </cell>
        </row>
        <row r="456">
          <cell r="R456">
            <v>1400000</v>
          </cell>
        </row>
        <row r="507">
          <cell r="R507">
            <v>842065</v>
          </cell>
        </row>
        <row r="524">
          <cell r="R524">
            <v>1004000</v>
          </cell>
        </row>
        <row r="558">
          <cell r="R558">
            <v>1275000</v>
          </cell>
        </row>
        <row r="575">
          <cell r="R575">
            <v>2920000</v>
          </cell>
        </row>
        <row r="592">
          <cell r="R592">
            <v>12305000</v>
          </cell>
        </row>
        <row r="694">
          <cell r="R694">
            <v>5957500</v>
          </cell>
        </row>
        <row r="745">
          <cell r="R745">
            <v>551250</v>
          </cell>
        </row>
        <row r="762">
          <cell r="R762">
            <v>335250</v>
          </cell>
        </row>
        <row r="779">
          <cell r="R779">
            <v>645000</v>
          </cell>
        </row>
        <row r="796">
          <cell r="R796">
            <v>647250</v>
          </cell>
        </row>
        <row r="813">
          <cell r="R813">
            <v>398000</v>
          </cell>
        </row>
        <row r="830">
          <cell r="R830">
            <v>512000</v>
          </cell>
        </row>
        <row r="864">
          <cell r="R864">
            <v>471000</v>
          </cell>
        </row>
        <row r="915">
          <cell r="R915">
            <v>1132000</v>
          </cell>
        </row>
        <row r="983">
          <cell r="R983">
            <v>814000</v>
          </cell>
        </row>
        <row r="1000">
          <cell r="R1000">
            <v>1952500</v>
          </cell>
        </row>
        <row r="1017">
          <cell r="R1017">
            <v>658750</v>
          </cell>
        </row>
        <row r="1034">
          <cell r="R1034">
            <v>80000</v>
          </cell>
        </row>
        <row r="1051">
          <cell r="R1051">
            <v>657500</v>
          </cell>
        </row>
        <row r="1068">
          <cell r="R1068">
            <v>847000</v>
          </cell>
        </row>
        <row r="1136">
          <cell r="R1136">
            <v>973375</v>
          </cell>
        </row>
        <row r="1153">
          <cell r="R1153">
            <v>1080000</v>
          </cell>
        </row>
        <row r="1238">
          <cell r="R1238">
            <v>538750</v>
          </cell>
        </row>
        <row r="1391">
          <cell r="R1391">
            <v>220000</v>
          </cell>
        </row>
        <row r="1408">
          <cell r="R1408">
            <v>1310000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53">
          <cell r="J253">
            <v>39500000</v>
          </cell>
          <cell r="R253">
            <v>1100000</v>
          </cell>
        </row>
        <row r="287">
          <cell r="R287">
            <v>1445000</v>
          </cell>
        </row>
        <row r="321">
          <cell r="R321">
            <v>600000</v>
          </cell>
        </row>
        <row r="338">
          <cell r="R338">
            <v>866250</v>
          </cell>
        </row>
        <row r="372">
          <cell r="R372">
            <v>1880000</v>
          </cell>
        </row>
        <row r="389">
          <cell r="R389">
            <v>1198800</v>
          </cell>
        </row>
        <row r="406">
          <cell r="R406">
            <v>1610000</v>
          </cell>
        </row>
        <row r="457">
          <cell r="R457">
            <v>1392500</v>
          </cell>
        </row>
        <row r="508">
          <cell r="R508">
            <v>839815</v>
          </cell>
        </row>
        <row r="525">
          <cell r="R525">
            <v>938000</v>
          </cell>
        </row>
        <row r="559">
          <cell r="R559">
            <v>1267500</v>
          </cell>
        </row>
        <row r="576">
          <cell r="R576">
            <v>2905000</v>
          </cell>
        </row>
        <row r="593">
          <cell r="R593">
            <v>125000</v>
          </cell>
        </row>
        <row r="660">
          <cell r="R660">
            <v>800000</v>
          </cell>
        </row>
        <row r="695">
          <cell r="R695">
            <v>4935000</v>
          </cell>
        </row>
        <row r="746">
          <cell r="R746">
            <v>547500</v>
          </cell>
        </row>
        <row r="763">
          <cell r="R763">
            <v>332250</v>
          </cell>
        </row>
        <row r="780">
          <cell r="R780">
            <v>637500</v>
          </cell>
        </row>
        <row r="797">
          <cell r="R797">
            <v>642750</v>
          </cell>
        </row>
        <row r="814">
          <cell r="R814">
            <v>393500</v>
          </cell>
        </row>
        <row r="831">
          <cell r="R831">
            <v>511250</v>
          </cell>
        </row>
        <row r="865">
          <cell r="R865">
            <v>465000</v>
          </cell>
        </row>
        <row r="899">
          <cell r="R899">
            <v>270000</v>
          </cell>
        </row>
        <row r="916">
          <cell r="R916">
            <v>1123000</v>
          </cell>
        </row>
        <row r="984">
          <cell r="R984">
            <v>811000</v>
          </cell>
        </row>
        <row r="1001">
          <cell r="R1001">
            <v>1930000</v>
          </cell>
        </row>
        <row r="1018">
          <cell r="R1018">
            <v>651250</v>
          </cell>
        </row>
        <row r="1035">
          <cell r="R1035">
            <v>80000</v>
          </cell>
        </row>
        <row r="1052">
          <cell r="R1052">
            <v>650000</v>
          </cell>
        </row>
        <row r="1069">
          <cell r="R1069">
            <v>811000</v>
          </cell>
        </row>
        <row r="1137">
          <cell r="R1137">
            <v>965875</v>
          </cell>
        </row>
        <row r="1154">
          <cell r="R1154">
            <v>-2777500</v>
          </cell>
        </row>
        <row r="1171">
          <cell r="R1171">
            <v>460000</v>
          </cell>
        </row>
        <row r="1239">
          <cell r="R1239">
            <v>532750</v>
          </cell>
        </row>
        <row r="1290">
          <cell r="R1290">
            <v>150000</v>
          </cell>
        </row>
        <row r="1409">
          <cell r="R1409">
            <v>1295000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8"/>
  <sheetViews>
    <sheetView zoomScaleNormal="100" workbookViewId="0">
      <selection activeCell="C24" sqref="C24"/>
    </sheetView>
  </sheetViews>
  <sheetFormatPr defaultColWidth="9.140625" defaultRowHeight="15" x14ac:dyDescent="0.25"/>
  <cols>
    <col min="1" max="1" width="6.42578125" customWidth="1"/>
    <col min="2" max="2" width="26.28515625" customWidth="1"/>
    <col min="3" max="3" width="14.28515625" bestFit="1" customWidth="1"/>
    <col min="4" max="4" width="4.42578125" customWidth="1"/>
    <col min="5" max="5" width="26.28515625" customWidth="1"/>
    <col min="6" max="6" width="22.140625" customWidth="1"/>
    <col min="26" max="26" width="9.140625" customWidth="1"/>
    <col min="27" max="27" width="4.28515625" customWidth="1"/>
    <col min="28" max="28" width="26" customWidth="1"/>
    <col min="29" max="29" width="20" customWidth="1"/>
    <col min="30" max="30" width="5.7109375" customWidth="1"/>
    <col min="31" max="31" width="23.140625" customWidth="1"/>
    <col min="32" max="32" width="18" customWidth="1"/>
  </cols>
  <sheetData>
    <row r="1" spans="1:32" x14ac:dyDescent="0.25">
      <c r="A1" s="26" t="s">
        <v>22</v>
      </c>
      <c r="B1" s="26"/>
      <c r="C1" s="26"/>
      <c r="D1" s="26"/>
      <c r="E1" s="26"/>
      <c r="F1" s="26"/>
      <c r="AA1" s="26" t="s">
        <v>22</v>
      </c>
      <c r="AB1" s="26"/>
      <c r="AC1" s="26"/>
      <c r="AD1" s="26"/>
      <c r="AE1" s="26"/>
      <c r="AF1" s="26"/>
    </row>
    <row r="2" spans="1:32" x14ac:dyDescent="0.25">
      <c r="A2" s="26" t="s">
        <v>85</v>
      </c>
      <c r="B2" s="26"/>
      <c r="C2" s="26"/>
      <c r="D2" s="26"/>
      <c r="E2" s="26"/>
      <c r="F2" s="26"/>
      <c r="AA2" s="26" t="s">
        <v>53</v>
      </c>
      <c r="AB2" s="26"/>
      <c r="AC2" s="26"/>
      <c r="AD2" s="26"/>
      <c r="AE2" s="26"/>
      <c r="AF2" s="26"/>
    </row>
    <row r="3" spans="1:32" ht="15.75" x14ac:dyDescent="0.25">
      <c r="A3" s="4"/>
      <c r="B3" s="4"/>
      <c r="C3" s="4"/>
      <c r="D3" s="4"/>
      <c r="E3" s="4"/>
      <c r="F3" s="4"/>
      <c r="AA3" s="4"/>
      <c r="AB3" s="4"/>
      <c r="AC3" s="4"/>
      <c r="AD3" s="4"/>
      <c r="AE3" s="4"/>
      <c r="AF3" s="4"/>
    </row>
    <row r="4" spans="1:32" ht="23.25" customHeight="1" x14ac:dyDescent="0.25">
      <c r="A4" s="5" t="s">
        <v>0</v>
      </c>
      <c r="B4" s="5" t="s">
        <v>1</v>
      </c>
      <c r="C4" s="5" t="s">
        <v>2</v>
      </c>
      <c r="D4" s="5" t="s">
        <v>0</v>
      </c>
      <c r="E4" s="5" t="s">
        <v>1</v>
      </c>
      <c r="F4" s="5" t="s">
        <v>2</v>
      </c>
      <c r="AA4" s="5" t="s">
        <v>0</v>
      </c>
      <c r="AB4" s="5" t="s">
        <v>1</v>
      </c>
      <c r="AC4" s="5" t="s">
        <v>2</v>
      </c>
      <c r="AD4" s="5" t="s">
        <v>0</v>
      </c>
      <c r="AE4" s="5" t="s">
        <v>1</v>
      </c>
      <c r="AF4" s="5" t="s">
        <v>2</v>
      </c>
    </row>
    <row r="5" spans="1:32" ht="21" customHeight="1" x14ac:dyDescent="0.25">
      <c r="A5" s="5">
        <v>1</v>
      </c>
      <c r="B5" s="6" t="s">
        <v>46</v>
      </c>
      <c r="C5" s="7">
        <f>[1]krnmei!$R$140</f>
        <v>1230000</v>
      </c>
      <c r="D5" s="5">
        <v>31</v>
      </c>
      <c r="E5" s="6" t="s">
        <v>5</v>
      </c>
      <c r="F5" s="7">
        <f>[2]krnmei!$R$753</f>
        <v>326250</v>
      </c>
      <c r="AA5" s="5">
        <v>1</v>
      </c>
      <c r="AB5" s="6" t="s">
        <v>45</v>
      </c>
      <c r="AC5" s="7">
        <f>[3]krnmei!$R$106</f>
        <v>760000</v>
      </c>
      <c r="AD5" s="5">
        <v>32</v>
      </c>
      <c r="AE5" s="6" t="s">
        <v>3</v>
      </c>
      <c r="AF5" s="7">
        <f>[4]krnmei!$R$695</f>
        <v>830000</v>
      </c>
    </row>
    <row r="6" spans="1:32" ht="21" customHeight="1" x14ac:dyDescent="0.25">
      <c r="A6" s="5">
        <v>2</v>
      </c>
      <c r="B6" s="6" t="s">
        <v>65</v>
      </c>
      <c r="C6" s="7">
        <f>[1]krnmei!$R$225</f>
        <v>1200000</v>
      </c>
      <c r="D6" s="5">
        <v>32</v>
      </c>
      <c r="E6" s="6" t="s">
        <v>6</v>
      </c>
      <c r="F6" s="7">
        <f>[2]krnmei!$R$770</f>
        <v>-6564500</v>
      </c>
      <c r="AA6" s="5">
        <v>2</v>
      </c>
      <c r="AB6" s="6" t="s">
        <v>46</v>
      </c>
      <c r="AC6" s="7">
        <f>[3]krnmei!$R$140</f>
        <v>950000</v>
      </c>
      <c r="AD6" s="5">
        <v>33</v>
      </c>
      <c r="AE6" s="6" t="s">
        <v>4</v>
      </c>
      <c r="AF6" s="7">
        <f>[4]krnmei!$R$746</f>
        <v>547500</v>
      </c>
    </row>
    <row r="7" spans="1:32" ht="21" customHeight="1" x14ac:dyDescent="0.25">
      <c r="A7" s="5">
        <v>3</v>
      </c>
      <c r="B7" s="6" t="s">
        <v>48</v>
      </c>
      <c r="C7" s="7">
        <f>[1]krnmei!$R$242</f>
        <v>2167500</v>
      </c>
      <c r="D7" s="5">
        <v>33</v>
      </c>
      <c r="E7" s="6" t="s">
        <v>7</v>
      </c>
      <c r="F7" s="8">
        <f>[2]krnmei!$R$787</f>
        <v>678750</v>
      </c>
      <c r="AA7" s="5">
        <v>3</v>
      </c>
      <c r="AB7" s="6" t="s">
        <v>11</v>
      </c>
      <c r="AC7" s="9">
        <f>[3]krnmei!$R$191</f>
        <v>810000</v>
      </c>
      <c r="AD7" s="5">
        <v>34</v>
      </c>
      <c r="AE7" s="6" t="s">
        <v>5</v>
      </c>
      <c r="AF7" s="8">
        <f>[4]krnmei!$R$763</f>
        <v>302750</v>
      </c>
    </row>
    <row r="8" spans="1:32" ht="21" customHeight="1" x14ac:dyDescent="0.25">
      <c r="A8" s="5">
        <v>4</v>
      </c>
      <c r="B8" s="6" t="s">
        <v>41</v>
      </c>
      <c r="C8" s="7">
        <f>[1]krnmei!$R$276</f>
        <v>1437500</v>
      </c>
      <c r="D8" s="5">
        <v>34</v>
      </c>
      <c r="E8" s="6" t="s">
        <v>8</v>
      </c>
      <c r="F8" s="7">
        <f>[2]krnmei!$R$804</f>
        <v>384500</v>
      </c>
      <c r="AA8" s="5">
        <v>4</v>
      </c>
      <c r="AB8" s="6" t="s">
        <v>47</v>
      </c>
      <c r="AC8" s="7">
        <f>[5]krnmei!$R$234</f>
        <v>1000000</v>
      </c>
      <c r="AD8" s="5">
        <v>35</v>
      </c>
      <c r="AE8" s="6" t="s">
        <v>6</v>
      </c>
      <c r="AF8" s="7">
        <f>[4]krnmei!$R$780</f>
        <v>627500</v>
      </c>
    </row>
    <row r="9" spans="1:32" ht="21" customHeight="1" x14ac:dyDescent="0.25">
      <c r="A9" s="5">
        <v>5</v>
      </c>
      <c r="B9" s="6" t="s">
        <v>42</v>
      </c>
      <c r="C9" s="9">
        <f>[6]krnmei!$R$293</f>
        <v>1800000</v>
      </c>
      <c r="D9" s="5">
        <v>35</v>
      </c>
      <c r="E9" s="6" t="s">
        <v>9</v>
      </c>
      <c r="F9" s="7">
        <f>[2]krnmei!$R$821</f>
        <v>509750</v>
      </c>
      <c r="AA9" s="5">
        <v>5</v>
      </c>
      <c r="AB9" s="6" t="s">
        <v>48</v>
      </c>
      <c r="AC9" s="7">
        <f>[3]krnmei!$R$242</f>
        <v>1390000</v>
      </c>
      <c r="AD9" s="5">
        <v>36</v>
      </c>
      <c r="AE9" s="6" t="s">
        <v>7</v>
      </c>
      <c r="AF9" s="7">
        <f>[4]krnmei!$R$797</f>
        <v>574250</v>
      </c>
    </row>
    <row r="10" spans="1:32" ht="21" customHeight="1" x14ac:dyDescent="0.25">
      <c r="A10" s="5">
        <v>6</v>
      </c>
      <c r="B10" s="6" t="s">
        <v>43</v>
      </c>
      <c r="C10" s="7">
        <f>[1]krnmei!$R$310</f>
        <v>600000</v>
      </c>
      <c r="D10" s="5">
        <v>36</v>
      </c>
      <c r="E10" s="6" t="s">
        <v>10</v>
      </c>
      <c r="F10" s="7">
        <f>[2]krnmei!$R$855</f>
        <v>453000</v>
      </c>
      <c r="AA10" s="5">
        <v>6</v>
      </c>
      <c r="AB10" s="6" t="s">
        <v>49</v>
      </c>
      <c r="AC10" s="7">
        <v>1200000</v>
      </c>
      <c r="AD10" s="5">
        <v>37</v>
      </c>
      <c r="AE10" s="6" t="s">
        <v>8</v>
      </c>
      <c r="AF10" s="7">
        <f>[4]krnmei!$R$814</f>
        <v>417500</v>
      </c>
    </row>
    <row r="11" spans="1:32" ht="21" customHeight="1" x14ac:dyDescent="0.25">
      <c r="A11" s="5">
        <v>7</v>
      </c>
      <c r="B11" s="6" t="s">
        <v>15</v>
      </c>
      <c r="C11" s="7">
        <f>[2]krnmei!$R$328</f>
        <v>848750</v>
      </c>
      <c r="D11" s="5">
        <v>37</v>
      </c>
      <c r="E11" s="6" t="s">
        <v>14</v>
      </c>
      <c r="F11" s="7">
        <v>100000</v>
      </c>
      <c r="AA11" s="5">
        <v>7</v>
      </c>
      <c r="AB11" s="6" t="s">
        <v>41</v>
      </c>
      <c r="AC11" s="7">
        <f>[3]krnmei!$R$276</f>
        <v>1417500</v>
      </c>
      <c r="AD11" s="5">
        <v>38</v>
      </c>
      <c r="AE11" s="6" t="s">
        <v>9</v>
      </c>
      <c r="AF11" s="7">
        <f>[4]krnmei!$R$831</f>
        <v>3671750</v>
      </c>
    </row>
    <row r="12" spans="1:32" ht="21" customHeight="1" x14ac:dyDescent="0.25">
      <c r="A12" s="5">
        <v>8</v>
      </c>
      <c r="B12" s="6" t="s">
        <v>44</v>
      </c>
      <c r="C12" s="7">
        <f>[2]krnmei!$R$362</f>
        <v>1865000</v>
      </c>
      <c r="D12" s="5">
        <v>38</v>
      </c>
      <c r="E12" s="6" t="s">
        <v>16</v>
      </c>
      <c r="F12" s="7">
        <f>[2]krnmei!$R$974</f>
        <v>805000</v>
      </c>
      <c r="AA12" s="5">
        <v>8</v>
      </c>
      <c r="AB12" s="6" t="s">
        <v>42</v>
      </c>
      <c r="AC12" s="7">
        <v>1700000</v>
      </c>
      <c r="AD12" s="5">
        <v>39</v>
      </c>
      <c r="AE12" s="6" t="s">
        <v>10</v>
      </c>
      <c r="AF12" s="7">
        <f>[4]krnmei!$R$865</f>
        <v>534000</v>
      </c>
    </row>
    <row r="13" spans="1:32" ht="21" customHeight="1" x14ac:dyDescent="0.25">
      <c r="A13" s="5">
        <v>9</v>
      </c>
      <c r="B13" s="6" t="s">
        <v>37</v>
      </c>
      <c r="C13" s="7">
        <f>[2]krnmei!$R$379</f>
        <v>1183800</v>
      </c>
      <c r="D13" s="5">
        <v>39</v>
      </c>
      <c r="E13" s="6" t="s">
        <v>23</v>
      </c>
      <c r="F13" s="7">
        <v>80000</v>
      </c>
      <c r="AA13" s="5">
        <v>9</v>
      </c>
      <c r="AB13" s="6" t="s">
        <v>43</v>
      </c>
      <c r="AC13" s="7">
        <f>[3]krnmei!$R$310</f>
        <v>1160000</v>
      </c>
      <c r="AD13" s="5">
        <v>40</v>
      </c>
      <c r="AE13" s="6" t="s">
        <v>14</v>
      </c>
      <c r="AF13" s="7">
        <v>100000</v>
      </c>
    </row>
    <row r="14" spans="1:32" ht="21" customHeight="1" x14ac:dyDescent="0.25">
      <c r="A14" s="5">
        <v>10</v>
      </c>
      <c r="B14" s="6" t="s">
        <v>36</v>
      </c>
      <c r="C14" s="7">
        <f>[2]krnmei!$R$396</f>
        <v>1580000</v>
      </c>
      <c r="D14" s="5">
        <v>40</v>
      </c>
      <c r="E14" s="6" t="s">
        <v>21</v>
      </c>
      <c r="F14" s="7">
        <f>[2]krnmei!$R$1042</f>
        <v>635000</v>
      </c>
      <c r="AA14" s="5">
        <v>10</v>
      </c>
      <c r="AB14" s="6" t="s">
        <v>15</v>
      </c>
      <c r="AC14" s="7">
        <f>[4]krnmei!$R$338</f>
        <v>751250</v>
      </c>
      <c r="AD14" s="5">
        <v>41</v>
      </c>
      <c r="AE14" s="6" t="s">
        <v>16</v>
      </c>
      <c r="AF14" s="7">
        <f>[4]krnmei!$R$984</f>
        <v>883000</v>
      </c>
    </row>
    <row r="15" spans="1:32" ht="21" customHeight="1" x14ac:dyDescent="0.25">
      <c r="A15" s="5">
        <v>11</v>
      </c>
      <c r="B15" s="6" t="s">
        <v>38</v>
      </c>
      <c r="C15" s="7">
        <f>[2]krnmei!$R$447</f>
        <v>1377500</v>
      </c>
      <c r="D15" s="5">
        <v>41</v>
      </c>
      <c r="E15" s="6" t="s">
        <v>28</v>
      </c>
      <c r="F15" s="7">
        <f>[2]krnmei!$R$1127</f>
        <v>950875</v>
      </c>
      <c r="AA15" s="5">
        <v>11</v>
      </c>
      <c r="AB15" s="6" t="s">
        <v>44</v>
      </c>
      <c r="AC15" s="7">
        <v>1000000</v>
      </c>
      <c r="AD15" s="5">
        <v>42</v>
      </c>
      <c r="AE15" s="6" t="s">
        <v>23</v>
      </c>
      <c r="AF15" s="7">
        <f>[7]krnmei!$R$1027</f>
        <v>80000</v>
      </c>
    </row>
    <row r="16" spans="1:32" ht="21" customHeight="1" x14ac:dyDescent="0.25">
      <c r="A16" s="5">
        <v>12</v>
      </c>
      <c r="B16" s="6" t="s">
        <v>39</v>
      </c>
      <c r="C16" s="7">
        <f>[2]krnmei!$R$515</f>
        <v>926000</v>
      </c>
      <c r="D16" s="5">
        <v>42</v>
      </c>
      <c r="E16" s="6" t="s">
        <v>29</v>
      </c>
      <c r="F16" s="7">
        <f>[2]krnmei!$R$498</f>
        <v>835315</v>
      </c>
      <c r="AA16" s="5">
        <v>12</v>
      </c>
      <c r="AB16" s="6" t="s">
        <v>37</v>
      </c>
      <c r="AC16" s="7">
        <f>[4]krnmei!$R$389</f>
        <v>1326300</v>
      </c>
      <c r="AD16" s="5">
        <v>43</v>
      </c>
      <c r="AE16" s="6" t="s">
        <v>21</v>
      </c>
      <c r="AF16" s="7">
        <f>[4]krnmei!$R$1052</f>
        <v>412500</v>
      </c>
    </row>
    <row r="17" spans="1:32" ht="21" customHeight="1" x14ac:dyDescent="0.25">
      <c r="A17" s="5">
        <v>13</v>
      </c>
      <c r="B17" s="6" t="s">
        <v>18</v>
      </c>
      <c r="C17" s="7">
        <f>[2]krnmei!$R$549</f>
        <v>1252500</v>
      </c>
      <c r="D17" s="5">
        <v>43</v>
      </c>
      <c r="E17" s="6" t="s">
        <v>30</v>
      </c>
      <c r="F17" s="7">
        <f>[2]krnmei!$R$991</f>
        <v>1960000</v>
      </c>
      <c r="AA17" s="5">
        <v>13</v>
      </c>
      <c r="AB17" s="6" t="s">
        <v>36</v>
      </c>
      <c r="AC17" s="7">
        <f>[4]krnmei!$R$406</f>
        <v>2755000</v>
      </c>
      <c r="AD17" s="5">
        <v>44</v>
      </c>
      <c r="AE17" s="6" t="s">
        <v>28</v>
      </c>
      <c r="AF17" s="7">
        <v>225000</v>
      </c>
    </row>
    <row r="18" spans="1:32" ht="21" customHeight="1" x14ac:dyDescent="0.25">
      <c r="A18" s="5">
        <v>14</v>
      </c>
      <c r="B18" s="6" t="s">
        <v>19</v>
      </c>
      <c r="C18" s="7">
        <f>[2]krnmei!$R$566</f>
        <v>3860000</v>
      </c>
      <c r="D18" s="5">
        <v>44</v>
      </c>
      <c r="E18" s="10" t="s">
        <v>33</v>
      </c>
      <c r="F18" s="7">
        <v>250000</v>
      </c>
      <c r="AA18" s="5">
        <v>14</v>
      </c>
      <c r="AB18" s="6" t="s">
        <v>35</v>
      </c>
      <c r="AC18" s="7">
        <f>[4]krnmei!$R$423</f>
        <v>1585000</v>
      </c>
      <c r="AD18" s="5">
        <v>45</v>
      </c>
      <c r="AE18" s="10" t="s">
        <v>29</v>
      </c>
      <c r="AF18" s="7">
        <f>[4]krnmei!$R$508</f>
        <v>893815</v>
      </c>
    </row>
    <row r="19" spans="1:32" ht="21" customHeight="1" x14ac:dyDescent="0.25">
      <c r="A19" s="5">
        <v>15</v>
      </c>
      <c r="B19" s="6" t="s">
        <v>20</v>
      </c>
      <c r="C19" s="7">
        <f>[1]krnmei!$R$582</f>
        <v>125000</v>
      </c>
      <c r="D19" s="5">
        <v>45</v>
      </c>
      <c r="E19" s="11" t="s">
        <v>69</v>
      </c>
      <c r="F19" s="7">
        <v>200000</v>
      </c>
      <c r="AA19" s="5">
        <v>15</v>
      </c>
      <c r="AB19" s="6" t="s">
        <v>38</v>
      </c>
      <c r="AC19" s="7">
        <f>[4]krnmei!$R$457</f>
        <v>1437500</v>
      </c>
      <c r="AD19" s="5">
        <v>46</v>
      </c>
      <c r="AE19" s="11" t="s">
        <v>30</v>
      </c>
      <c r="AF19" s="7">
        <f>[4]krnmei!$R$1001</f>
        <v>-585000</v>
      </c>
    </row>
    <row r="20" spans="1:32" ht="21" customHeight="1" x14ac:dyDescent="0.25">
      <c r="A20" s="5">
        <v>16</v>
      </c>
      <c r="B20" s="6" t="s">
        <v>26</v>
      </c>
      <c r="C20" s="7">
        <f>[2]krnmei!$R$1059</f>
        <v>899000</v>
      </c>
      <c r="D20" s="5">
        <v>46</v>
      </c>
      <c r="E20" s="10" t="s">
        <v>56</v>
      </c>
      <c r="F20" s="7">
        <f>[2]krnmei!$R$1229</f>
        <v>520750</v>
      </c>
      <c r="AA20" s="5">
        <v>16</v>
      </c>
      <c r="AB20" s="6" t="s">
        <v>17</v>
      </c>
      <c r="AC20" s="7">
        <v>710000</v>
      </c>
      <c r="AD20" s="5">
        <v>47</v>
      </c>
      <c r="AE20" s="10" t="s">
        <v>33</v>
      </c>
      <c r="AF20" s="7">
        <f>[8]krnmei!$R$1182</f>
        <v>200000</v>
      </c>
    </row>
    <row r="21" spans="1:32" ht="21" customHeight="1" x14ac:dyDescent="0.25">
      <c r="A21" s="5">
        <v>17</v>
      </c>
      <c r="B21" s="12" t="s">
        <v>24</v>
      </c>
      <c r="C21" s="7">
        <f>[1]krnmei!$R$1092</f>
        <v>475000</v>
      </c>
      <c r="D21" s="5">
        <v>47</v>
      </c>
      <c r="E21" s="11" t="s">
        <v>59</v>
      </c>
      <c r="F21" s="7">
        <v>150000</v>
      </c>
      <c r="AA21" s="5">
        <v>17</v>
      </c>
      <c r="AB21" s="6" t="s">
        <v>39</v>
      </c>
      <c r="AC21" s="7">
        <f>[4]krnmei!$R$525</f>
        <v>1067000</v>
      </c>
      <c r="AD21" s="5"/>
      <c r="AE21" s="10"/>
      <c r="AF21" s="7"/>
    </row>
    <row r="22" spans="1:32" ht="21" customHeight="1" x14ac:dyDescent="0.25">
      <c r="A22" s="5">
        <v>18</v>
      </c>
      <c r="B22" s="6" t="s">
        <v>25</v>
      </c>
      <c r="C22" s="7">
        <f>[2]krnmei!$R$1110</f>
        <v>1785000</v>
      </c>
      <c r="D22" s="5">
        <v>48</v>
      </c>
      <c r="E22" s="10" t="s">
        <v>61</v>
      </c>
      <c r="F22" s="7">
        <v>100000</v>
      </c>
      <c r="AA22" s="5">
        <v>18</v>
      </c>
      <c r="AB22" s="6" t="s">
        <v>18</v>
      </c>
      <c r="AC22" s="7">
        <f>[4]krnmei!$R$559</f>
        <v>1347500</v>
      </c>
      <c r="AD22" s="5"/>
      <c r="AE22" s="10"/>
      <c r="AF22" s="7"/>
    </row>
    <row r="23" spans="1:32" ht="21" customHeight="1" x14ac:dyDescent="0.25">
      <c r="A23" s="5">
        <v>19</v>
      </c>
      <c r="B23" s="6" t="s">
        <v>40</v>
      </c>
      <c r="C23" s="7">
        <f>[2]krnmei!$R$1144</f>
        <v>1057500</v>
      </c>
      <c r="D23" s="5">
        <v>49</v>
      </c>
      <c r="E23" s="10" t="s">
        <v>62</v>
      </c>
      <c r="F23" s="7">
        <v>100000</v>
      </c>
      <c r="AA23" s="5">
        <v>19</v>
      </c>
      <c r="AB23" s="6" t="s">
        <v>19</v>
      </c>
      <c r="AC23" s="7">
        <f>[4]krnmei!$R$576</f>
        <v>2375000</v>
      </c>
      <c r="AD23" s="5"/>
      <c r="AE23" s="10"/>
      <c r="AF23" s="7"/>
    </row>
    <row r="24" spans="1:32" ht="21" customHeight="1" x14ac:dyDescent="0.25">
      <c r="A24" s="5">
        <v>20</v>
      </c>
      <c r="B24" s="6" t="s">
        <v>50</v>
      </c>
      <c r="C24" s="7">
        <f>[1]krnmei!$R$1160</f>
        <v>460000</v>
      </c>
      <c r="D24" s="5">
        <v>50</v>
      </c>
      <c r="E24" s="10" t="s">
        <v>63</v>
      </c>
      <c r="F24" s="7">
        <v>100000</v>
      </c>
      <c r="AA24" s="5">
        <v>20</v>
      </c>
      <c r="AB24" s="6" t="s">
        <v>20</v>
      </c>
      <c r="AC24" s="7">
        <v>125000</v>
      </c>
      <c r="AD24" s="5"/>
      <c r="AE24" s="10"/>
      <c r="AF24" s="7"/>
    </row>
    <row r="25" spans="1:32" ht="21" customHeight="1" x14ac:dyDescent="0.25">
      <c r="A25" s="5">
        <v>21</v>
      </c>
      <c r="B25" s="14" t="s">
        <v>51</v>
      </c>
      <c r="C25" s="7">
        <f>[2]krnmei!$R$651</f>
        <v>900000</v>
      </c>
      <c r="D25" s="5">
        <v>51</v>
      </c>
      <c r="E25" s="6" t="s">
        <v>64</v>
      </c>
      <c r="F25" s="8">
        <v>100000</v>
      </c>
      <c r="AA25" s="5">
        <v>21</v>
      </c>
      <c r="AB25" s="6" t="s">
        <v>26</v>
      </c>
      <c r="AC25" s="7">
        <f>[9]krnmei!$R$1068</f>
        <v>618250</v>
      </c>
      <c r="AD25" s="5"/>
      <c r="AE25" s="6"/>
      <c r="AF25" s="8"/>
    </row>
    <row r="26" spans="1:32" ht="21" customHeight="1" x14ac:dyDescent="0.25">
      <c r="A26" s="5">
        <v>22</v>
      </c>
      <c r="B26" s="16" t="s">
        <v>12</v>
      </c>
      <c r="C26" s="7">
        <f>[2]krnmei!$R$889</f>
        <v>270000</v>
      </c>
      <c r="D26" s="5">
        <v>52</v>
      </c>
      <c r="E26" s="20" t="s">
        <v>66</v>
      </c>
      <c r="F26" s="7">
        <f>[2]krnmei!$R$1382</f>
        <v>220000</v>
      </c>
      <c r="AA26" s="5">
        <v>22</v>
      </c>
      <c r="AB26" s="12" t="s">
        <v>27</v>
      </c>
      <c r="AC26" s="7">
        <f>[4]krnmei!$R$1086</f>
        <v>342500</v>
      </c>
      <c r="AD26" s="5"/>
      <c r="AE26" s="20"/>
      <c r="AF26" s="7"/>
    </row>
    <row r="27" spans="1:32" ht="21" customHeight="1" x14ac:dyDescent="0.25">
      <c r="A27" s="5">
        <v>23</v>
      </c>
      <c r="B27" s="14" t="s">
        <v>52</v>
      </c>
      <c r="C27" s="7">
        <f>[2]krnmei!$R$1008</f>
        <v>636250</v>
      </c>
      <c r="D27" s="5">
        <v>53</v>
      </c>
      <c r="E27" s="20" t="s">
        <v>67</v>
      </c>
      <c r="F27" s="7">
        <f>[2]krnmei!$R$1399</f>
        <v>1265000</v>
      </c>
      <c r="AA27" s="5">
        <v>23</v>
      </c>
      <c r="AB27" s="6" t="s">
        <v>24</v>
      </c>
      <c r="AC27" s="7">
        <v>275000</v>
      </c>
      <c r="AD27" s="5"/>
      <c r="AE27" s="20"/>
      <c r="AF27" s="7"/>
    </row>
    <row r="28" spans="1:32" ht="21" customHeight="1" x14ac:dyDescent="0.25">
      <c r="A28" s="5">
        <v>24</v>
      </c>
      <c r="B28" s="14" t="s">
        <v>34</v>
      </c>
      <c r="C28" s="7">
        <f>[1]krnmei!$R$21</f>
        <v>200000</v>
      </c>
      <c r="D28" s="5">
        <v>54</v>
      </c>
      <c r="E28" s="20" t="s">
        <v>68</v>
      </c>
      <c r="F28" s="7">
        <v>50000</v>
      </c>
      <c r="AA28" s="5">
        <v>24</v>
      </c>
      <c r="AB28" s="6" t="s">
        <v>25</v>
      </c>
      <c r="AC28" s="7">
        <v>275000</v>
      </c>
      <c r="AD28" s="5"/>
      <c r="AE28" s="20"/>
      <c r="AF28" s="7"/>
    </row>
    <row r="29" spans="1:32" ht="21" customHeight="1" x14ac:dyDescent="0.25">
      <c r="A29" s="5">
        <v>25</v>
      </c>
      <c r="B29" s="25" t="s">
        <v>13</v>
      </c>
      <c r="C29" s="7">
        <f>[2]krnmei!$R$906</f>
        <v>1105000</v>
      </c>
      <c r="D29" s="5">
        <v>55</v>
      </c>
      <c r="E29" s="20" t="s">
        <v>72</v>
      </c>
      <c r="F29" s="7">
        <v>100000</v>
      </c>
      <c r="AA29" s="5">
        <v>25</v>
      </c>
      <c r="AB29" s="6" t="s">
        <v>40</v>
      </c>
      <c r="AC29" s="7">
        <v>300000</v>
      </c>
      <c r="AD29" s="5"/>
      <c r="AE29" s="20"/>
      <c r="AF29" s="7"/>
    </row>
    <row r="30" spans="1:32" ht="21" customHeight="1" x14ac:dyDescent="0.25">
      <c r="A30" s="5">
        <v>26</v>
      </c>
      <c r="B30" s="25" t="s">
        <v>57</v>
      </c>
      <c r="C30" s="7">
        <f>[1]krnmei!$R$1245</f>
        <v>300000</v>
      </c>
      <c r="D30" s="5"/>
      <c r="E30" s="10"/>
      <c r="F30" s="7"/>
      <c r="AA30" s="5">
        <v>26</v>
      </c>
      <c r="AB30" s="14" t="s">
        <v>50</v>
      </c>
      <c r="AC30" s="7">
        <f>[9]krnmei!$R$1170</f>
        <v>696250</v>
      </c>
      <c r="AD30" s="5"/>
      <c r="AE30" s="10"/>
      <c r="AF30" s="7"/>
    </row>
    <row r="31" spans="1:32" ht="21" customHeight="1" x14ac:dyDescent="0.25">
      <c r="A31" s="5">
        <v>27</v>
      </c>
      <c r="B31" s="14" t="s">
        <v>58</v>
      </c>
      <c r="C31" s="7">
        <f>[1]krnmei!$R$1262</f>
        <v>350000</v>
      </c>
      <c r="D31" s="5"/>
      <c r="E31" s="6"/>
      <c r="F31" s="7"/>
      <c r="AA31" s="5">
        <v>27</v>
      </c>
      <c r="AB31" s="16" t="s">
        <v>51</v>
      </c>
      <c r="AC31" s="7">
        <v>500000</v>
      </c>
      <c r="AD31" s="5"/>
      <c r="AE31" s="11"/>
      <c r="AF31" s="7"/>
    </row>
    <row r="32" spans="1:32" ht="21" customHeight="1" x14ac:dyDescent="0.25">
      <c r="A32" s="5">
        <v>28</v>
      </c>
      <c r="B32" s="14" t="s">
        <v>60</v>
      </c>
      <c r="C32" s="8">
        <f>[1]krnmei!$R$1296</f>
        <v>300000</v>
      </c>
      <c r="D32" s="5"/>
      <c r="E32" s="6"/>
      <c r="F32" s="7"/>
      <c r="AA32" s="5"/>
      <c r="AB32" s="16"/>
      <c r="AC32" s="7"/>
      <c r="AD32" s="5"/>
      <c r="AE32" s="11"/>
      <c r="AF32" s="7"/>
    </row>
    <row r="33" spans="1:32" ht="21" customHeight="1" x14ac:dyDescent="0.25">
      <c r="A33" s="5">
        <v>29</v>
      </c>
      <c r="B33" s="20" t="s">
        <v>3</v>
      </c>
      <c r="C33" s="7">
        <f>[2]krnmei!$R$685</f>
        <v>1890000</v>
      </c>
      <c r="D33" s="5"/>
      <c r="E33" s="6"/>
      <c r="F33" s="7"/>
      <c r="AA33" s="5"/>
      <c r="AB33" s="16"/>
      <c r="AC33" s="7"/>
      <c r="AD33" s="5"/>
      <c r="AE33" s="11"/>
      <c r="AF33" s="7"/>
    </row>
    <row r="34" spans="1:32" ht="21" customHeight="1" x14ac:dyDescent="0.25">
      <c r="A34" s="5">
        <v>30</v>
      </c>
      <c r="B34" s="25" t="s">
        <v>4</v>
      </c>
      <c r="C34" s="7">
        <f>[2]krnmei!$R$736</f>
        <v>-960000</v>
      </c>
      <c r="D34" s="5"/>
      <c r="E34" s="6"/>
      <c r="F34" s="7"/>
      <c r="AA34" s="5"/>
      <c r="AB34" s="16"/>
      <c r="AC34" s="7"/>
      <c r="AD34" s="5"/>
      <c r="AE34" s="11"/>
      <c r="AF34" s="7"/>
    </row>
    <row r="35" spans="1:32" ht="21" customHeight="1" x14ac:dyDescent="0.25">
      <c r="A35" s="5"/>
      <c r="B35" s="25"/>
      <c r="C35" s="7"/>
      <c r="D35" s="5"/>
      <c r="E35" s="10"/>
      <c r="F35" s="7"/>
      <c r="AA35" s="5">
        <v>28</v>
      </c>
      <c r="AB35" s="14" t="s">
        <v>12</v>
      </c>
      <c r="AC35" s="7">
        <f>[4]krnmei!$R$899</f>
        <v>667500</v>
      </c>
      <c r="AD35" s="5"/>
      <c r="AE35" s="10"/>
      <c r="AF35" s="7"/>
    </row>
    <row r="36" spans="1:32" ht="21" customHeight="1" x14ac:dyDescent="0.25">
      <c r="A36" s="27" t="s">
        <v>2</v>
      </c>
      <c r="B36" s="28"/>
      <c r="C36" s="18">
        <f>SUM(C5:C35)</f>
        <v>31121300</v>
      </c>
      <c r="D36" s="27" t="s">
        <v>2</v>
      </c>
      <c r="E36" s="28"/>
      <c r="F36" s="19">
        <f>SUM(F5:F35)</f>
        <v>4309690</v>
      </c>
      <c r="AA36" s="27" t="s">
        <v>2</v>
      </c>
      <c r="AB36" s="28"/>
      <c r="AC36" s="18">
        <f>SUM(AC5:AC35)</f>
        <v>28541550</v>
      </c>
      <c r="AD36" s="27" t="s">
        <v>2</v>
      </c>
      <c r="AE36" s="28"/>
      <c r="AF36" s="19">
        <f>SUM(AF5:AF35)</f>
        <v>9714565</v>
      </c>
    </row>
    <row r="37" spans="1:32" x14ac:dyDescent="0.25">
      <c r="A37" s="21"/>
      <c r="B37" s="21"/>
      <c r="C37" s="23"/>
      <c r="D37" s="21"/>
      <c r="E37" s="21"/>
      <c r="F37" s="24"/>
      <c r="AA37" s="21"/>
      <c r="AB37" s="21"/>
      <c r="AC37" s="23"/>
      <c r="AD37" s="21"/>
      <c r="AE37" s="21"/>
      <c r="AF37" s="24"/>
    </row>
    <row r="38" spans="1:32" x14ac:dyDescent="0.25">
      <c r="A38" s="21"/>
      <c r="B38" s="21"/>
      <c r="C38" s="23"/>
      <c r="D38" s="21"/>
      <c r="E38" s="21"/>
      <c r="F38" s="24"/>
      <c r="AA38" s="21"/>
      <c r="AB38" s="21"/>
      <c r="AC38" s="23"/>
      <c r="AD38" s="21"/>
      <c r="AE38" s="21"/>
      <c r="AF38" s="24"/>
    </row>
    <row r="39" spans="1:32" ht="15.75" x14ac:dyDescent="0.25">
      <c r="E39" s="22" t="s">
        <v>86</v>
      </c>
      <c r="AE39" s="22" t="s">
        <v>54</v>
      </c>
    </row>
    <row r="40" spans="1:32" ht="15.75" x14ac:dyDescent="0.25">
      <c r="E40" s="22" t="s">
        <v>31</v>
      </c>
      <c r="AE40" s="22" t="s">
        <v>31</v>
      </c>
    </row>
    <row r="41" spans="1:32" ht="15.75" x14ac:dyDescent="0.25">
      <c r="E41" s="22"/>
      <c r="AE41" s="22"/>
    </row>
    <row r="42" spans="1:32" ht="15.75" x14ac:dyDescent="0.25">
      <c r="E42" s="22"/>
      <c r="AE42" s="22"/>
    </row>
    <row r="43" spans="1:32" ht="15.75" x14ac:dyDescent="0.25">
      <c r="E43" s="22"/>
      <c r="AE43" s="22" t="s">
        <v>32</v>
      </c>
    </row>
    <row r="44" spans="1:32" ht="15.75" x14ac:dyDescent="0.25">
      <c r="E44" s="22" t="s">
        <v>32</v>
      </c>
    </row>
    <row r="45" spans="1:32" x14ac:dyDescent="0.25">
      <c r="B45" s="2"/>
    </row>
    <row r="46" spans="1:32" x14ac:dyDescent="0.25">
      <c r="F46" s="3"/>
    </row>
    <row r="48" spans="1:32" x14ac:dyDescent="0.25">
      <c r="I48" s="1"/>
    </row>
  </sheetData>
  <mergeCells count="8">
    <mergeCell ref="A1:F1"/>
    <mergeCell ref="A2:F2"/>
    <mergeCell ref="A36:B36"/>
    <mergeCell ref="AA1:AF1"/>
    <mergeCell ref="AA2:AF2"/>
    <mergeCell ref="AA36:AB36"/>
    <mergeCell ref="AD36:AE36"/>
    <mergeCell ref="D36:E36"/>
  </mergeCells>
  <printOptions horizontalCentered="1"/>
  <pageMargins left="0" right="0" top="0.74803149606299213" bottom="1.1417322834645669" header="0.31496062992125984" footer="0.31496062992125984"/>
  <pageSetup paperSize="5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4D9E-E16E-4EE3-B520-5B7B925F2F0F}">
  <dimension ref="A1:F49"/>
  <sheetViews>
    <sheetView topLeftCell="A30" workbookViewId="0">
      <selection sqref="A1:F46"/>
    </sheetView>
  </sheetViews>
  <sheetFormatPr defaultRowHeight="15" x14ac:dyDescent="0.25"/>
  <cols>
    <col min="1" max="1" width="6.42578125" customWidth="1"/>
    <col min="2" max="2" width="26.5703125" customWidth="1"/>
    <col min="3" max="3" width="14.28515625" bestFit="1" customWidth="1"/>
    <col min="4" max="4" width="4.42578125" customWidth="1"/>
    <col min="5" max="5" width="26.28515625" customWidth="1"/>
    <col min="6" max="6" width="22.140625" customWidth="1"/>
  </cols>
  <sheetData>
    <row r="1" spans="1:6" x14ac:dyDescent="0.25">
      <c r="A1" s="26" t="s">
        <v>22</v>
      </c>
      <c r="B1" s="26"/>
      <c r="C1" s="26"/>
      <c r="D1" s="26"/>
      <c r="E1" s="26"/>
      <c r="F1" s="26"/>
    </row>
    <row r="2" spans="1:6" x14ac:dyDescent="0.25">
      <c r="A2" s="26" t="s">
        <v>87</v>
      </c>
      <c r="B2" s="26"/>
      <c r="C2" s="26"/>
      <c r="D2" s="26"/>
      <c r="E2" s="26"/>
      <c r="F2" s="26"/>
    </row>
    <row r="3" spans="1:6" ht="15.75" x14ac:dyDescent="0.25">
      <c r="A3" s="4"/>
      <c r="B3" s="4"/>
      <c r="C3" s="4"/>
      <c r="D3" s="4"/>
      <c r="E3" s="4"/>
      <c r="F3" s="4"/>
    </row>
    <row r="4" spans="1:6" ht="30" customHeight="1" x14ac:dyDescent="0.25">
      <c r="A4" s="5" t="s">
        <v>0</v>
      </c>
      <c r="B4" s="5" t="s">
        <v>1</v>
      </c>
      <c r="C4" s="5" t="s">
        <v>2</v>
      </c>
      <c r="D4" s="5" t="s">
        <v>0</v>
      </c>
      <c r="E4" s="5" t="s">
        <v>1</v>
      </c>
      <c r="F4" s="5" t="s">
        <v>2</v>
      </c>
    </row>
    <row r="5" spans="1:6" ht="17.25" customHeight="1" x14ac:dyDescent="0.25">
      <c r="A5" s="5">
        <v>1</v>
      </c>
      <c r="B5" s="6" t="s">
        <v>65</v>
      </c>
      <c r="C5" s="7">
        <v>1200000</v>
      </c>
      <c r="D5" s="5">
        <v>30</v>
      </c>
      <c r="E5" s="6" t="s">
        <v>5</v>
      </c>
      <c r="F5" s="7">
        <v>326250</v>
      </c>
    </row>
    <row r="6" spans="1:6" ht="17.25" customHeight="1" x14ac:dyDescent="0.25">
      <c r="A6" s="5">
        <v>2</v>
      </c>
      <c r="B6" s="6" t="s">
        <v>48</v>
      </c>
      <c r="C6" s="7">
        <f>[2]krnmei!$R$243</f>
        <v>2149500</v>
      </c>
      <c r="D6" s="5">
        <v>31</v>
      </c>
      <c r="E6" s="6" t="s">
        <v>6</v>
      </c>
      <c r="F6" s="7">
        <v>622500</v>
      </c>
    </row>
    <row r="7" spans="1:6" ht="17.25" customHeight="1" x14ac:dyDescent="0.25">
      <c r="A7" s="5">
        <v>3</v>
      </c>
      <c r="B7" s="6" t="s">
        <v>41</v>
      </c>
      <c r="C7" s="7">
        <f>[2]krnmei!$R$277</f>
        <v>1430000</v>
      </c>
      <c r="D7" s="5">
        <v>32</v>
      </c>
      <c r="E7" s="6" t="s">
        <v>7</v>
      </c>
      <c r="F7" s="8">
        <v>678750</v>
      </c>
    </row>
    <row r="8" spans="1:6" ht="17.25" customHeight="1" x14ac:dyDescent="0.25">
      <c r="A8" s="5">
        <v>4</v>
      </c>
      <c r="B8" s="6" t="s">
        <v>42</v>
      </c>
      <c r="C8" s="7">
        <v>1800000</v>
      </c>
      <c r="D8" s="5">
        <v>33</v>
      </c>
      <c r="E8" s="6" t="s">
        <v>8</v>
      </c>
      <c r="F8" s="7">
        <v>384500</v>
      </c>
    </row>
    <row r="9" spans="1:6" ht="17.25" customHeight="1" x14ac:dyDescent="0.25">
      <c r="A9" s="5">
        <v>5</v>
      </c>
      <c r="B9" s="6" t="s">
        <v>43</v>
      </c>
      <c r="C9" s="9">
        <v>600000</v>
      </c>
      <c r="D9" s="5">
        <v>34</v>
      </c>
      <c r="E9" s="6" t="s">
        <v>9</v>
      </c>
      <c r="F9" s="7">
        <v>509750</v>
      </c>
    </row>
    <row r="10" spans="1:6" ht="17.25" customHeight="1" x14ac:dyDescent="0.25">
      <c r="A10" s="5">
        <v>6</v>
      </c>
      <c r="B10" s="6" t="s">
        <v>15</v>
      </c>
      <c r="C10" s="7">
        <f>[2]krnmei!$R$328</f>
        <v>848750</v>
      </c>
      <c r="D10" s="5">
        <v>35</v>
      </c>
      <c r="E10" s="6" t="s">
        <v>10</v>
      </c>
      <c r="F10" s="7">
        <v>453000</v>
      </c>
    </row>
    <row r="11" spans="1:6" ht="17.25" customHeight="1" x14ac:dyDescent="0.25">
      <c r="A11" s="5">
        <v>7</v>
      </c>
      <c r="B11" s="6" t="s">
        <v>44</v>
      </c>
      <c r="C11" s="7">
        <v>1865000</v>
      </c>
      <c r="D11" s="5">
        <v>36</v>
      </c>
      <c r="E11" s="6" t="s">
        <v>14</v>
      </c>
      <c r="F11" s="7">
        <v>100000</v>
      </c>
    </row>
    <row r="12" spans="1:6" ht="17.25" customHeight="1" x14ac:dyDescent="0.25">
      <c r="A12" s="5">
        <v>8</v>
      </c>
      <c r="B12" s="6" t="s">
        <v>37</v>
      </c>
      <c r="C12" s="7">
        <v>1183800</v>
      </c>
      <c r="D12" s="5">
        <v>37</v>
      </c>
      <c r="E12" s="6" t="s">
        <v>16</v>
      </c>
      <c r="F12" s="7">
        <v>805000</v>
      </c>
    </row>
    <row r="13" spans="1:6" ht="17.25" customHeight="1" x14ac:dyDescent="0.25">
      <c r="A13" s="5">
        <v>9</v>
      </c>
      <c r="B13" s="6" t="s">
        <v>36</v>
      </c>
      <c r="C13" s="7">
        <v>1580000</v>
      </c>
      <c r="D13" s="5">
        <v>38</v>
      </c>
      <c r="E13" s="6" t="s">
        <v>23</v>
      </c>
      <c r="F13" s="7">
        <v>80000</v>
      </c>
    </row>
    <row r="14" spans="1:6" ht="17.25" customHeight="1" x14ac:dyDescent="0.25">
      <c r="A14" s="5">
        <v>10</v>
      </c>
      <c r="B14" s="6" t="s">
        <v>38</v>
      </c>
      <c r="C14" s="7">
        <v>1377500</v>
      </c>
      <c r="D14" s="5">
        <v>39</v>
      </c>
      <c r="E14" s="6" t="s">
        <v>21</v>
      </c>
      <c r="F14" s="7">
        <v>635000</v>
      </c>
    </row>
    <row r="15" spans="1:6" ht="17.25" customHeight="1" x14ac:dyDescent="0.25">
      <c r="A15" s="5">
        <v>11</v>
      </c>
      <c r="B15" s="6" t="s">
        <v>39</v>
      </c>
      <c r="C15" s="7">
        <v>926000</v>
      </c>
      <c r="D15" s="5">
        <v>40</v>
      </c>
      <c r="E15" s="6" t="s">
        <v>28</v>
      </c>
      <c r="F15" s="7">
        <v>950875</v>
      </c>
    </row>
    <row r="16" spans="1:6" ht="17.25" customHeight="1" x14ac:dyDescent="0.25">
      <c r="A16" s="5">
        <v>12</v>
      </c>
      <c r="B16" s="6" t="s">
        <v>18</v>
      </c>
      <c r="C16" s="7">
        <v>1252500</v>
      </c>
      <c r="D16" s="5">
        <v>41</v>
      </c>
      <c r="E16" s="6" t="s">
        <v>29</v>
      </c>
      <c r="F16" s="7">
        <v>835315</v>
      </c>
    </row>
    <row r="17" spans="1:6" ht="17.25" customHeight="1" x14ac:dyDescent="0.25">
      <c r="A17" s="5">
        <v>13</v>
      </c>
      <c r="B17" s="6" t="s">
        <v>19</v>
      </c>
      <c r="C17" s="7">
        <v>3860000</v>
      </c>
      <c r="D17" s="5">
        <v>42</v>
      </c>
      <c r="E17" s="6" t="s">
        <v>30</v>
      </c>
      <c r="F17" s="7">
        <v>1960000</v>
      </c>
    </row>
    <row r="18" spans="1:6" ht="17.25" customHeight="1" x14ac:dyDescent="0.25">
      <c r="A18" s="5">
        <v>14</v>
      </c>
      <c r="B18" s="6" t="s">
        <v>20</v>
      </c>
      <c r="C18" s="7">
        <v>125000</v>
      </c>
      <c r="D18" s="5">
        <v>43</v>
      </c>
      <c r="E18" s="10" t="s">
        <v>33</v>
      </c>
      <c r="F18" s="7">
        <v>250000</v>
      </c>
    </row>
    <row r="19" spans="1:6" ht="17.25" customHeight="1" x14ac:dyDescent="0.25">
      <c r="A19" s="5">
        <v>15</v>
      </c>
      <c r="B19" s="6" t="s">
        <v>26</v>
      </c>
      <c r="C19" s="7">
        <v>899000</v>
      </c>
      <c r="D19" s="5">
        <v>44</v>
      </c>
      <c r="E19" s="11" t="s">
        <v>69</v>
      </c>
      <c r="F19" s="7">
        <v>200000</v>
      </c>
    </row>
    <row r="20" spans="1:6" ht="17.25" customHeight="1" x14ac:dyDescent="0.25">
      <c r="A20" s="5">
        <v>16</v>
      </c>
      <c r="B20" s="6" t="s">
        <v>24</v>
      </c>
      <c r="C20" s="7">
        <v>475000</v>
      </c>
      <c r="D20" s="5">
        <v>45</v>
      </c>
      <c r="E20" s="10" t="s">
        <v>56</v>
      </c>
      <c r="F20" s="7">
        <v>520750</v>
      </c>
    </row>
    <row r="21" spans="1:6" ht="17.25" customHeight="1" x14ac:dyDescent="0.25">
      <c r="A21" s="5">
        <v>17</v>
      </c>
      <c r="B21" s="6" t="s">
        <v>25</v>
      </c>
      <c r="C21" s="7">
        <v>1815000</v>
      </c>
      <c r="D21" s="5">
        <v>46</v>
      </c>
      <c r="E21" s="11" t="s">
        <v>59</v>
      </c>
      <c r="F21" s="7">
        <v>150000</v>
      </c>
    </row>
    <row r="22" spans="1:6" ht="17.25" customHeight="1" x14ac:dyDescent="0.25">
      <c r="A22" s="5">
        <v>18</v>
      </c>
      <c r="B22" s="12" t="s">
        <v>40</v>
      </c>
      <c r="C22" s="7">
        <v>1057500</v>
      </c>
      <c r="D22" s="5">
        <v>47</v>
      </c>
      <c r="E22" s="10" t="s">
        <v>61</v>
      </c>
      <c r="F22" s="7">
        <v>100000</v>
      </c>
    </row>
    <row r="23" spans="1:6" ht="17.25" customHeight="1" x14ac:dyDescent="0.25">
      <c r="A23" s="5">
        <v>19</v>
      </c>
      <c r="B23" s="6" t="s">
        <v>50</v>
      </c>
      <c r="C23" s="7">
        <v>745000</v>
      </c>
      <c r="D23" s="5">
        <v>48</v>
      </c>
      <c r="E23" s="10" t="s">
        <v>62</v>
      </c>
      <c r="F23" s="7">
        <v>100000</v>
      </c>
    </row>
    <row r="24" spans="1:6" ht="17.25" customHeight="1" x14ac:dyDescent="0.25">
      <c r="A24" s="5">
        <v>20</v>
      </c>
      <c r="B24" s="6" t="s">
        <v>51</v>
      </c>
      <c r="C24" s="7">
        <v>900000</v>
      </c>
      <c r="D24" s="5">
        <v>49</v>
      </c>
      <c r="E24" s="20" t="s">
        <v>63</v>
      </c>
      <c r="F24" s="7">
        <v>100000</v>
      </c>
    </row>
    <row r="25" spans="1:6" ht="17.25" customHeight="1" x14ac:dyDescent="0.25">
      <c r="A25" s="5">
        <v>21</v>
      </c>
      <c r="B25" s="6" t="s">
        <v>12</v>
      </c>
      <c r="C25" s="7">
        <v>270000</v>
      </c>
      <c r="D25" s="5">
        <v>50</v>
      </c>
      <c r="E25" s="20" t="s">
        <v>64</v>
      </c>
      <c r="F25" s="7">
        <v>100000</v>
      </c>
    </row>
    <row r="26" spans="1:6" ht="17.25" customHeight="1" x14ac:dyDescent="0.25">
      <c r="A26" s="5">
        <v>22</v>
      </c>
      <c r="B26" s="14" t="s">
        <v>52</v>
      </c>
      <c r="C26" s="7">
        <v>636250</v>
      </c>
      <c r="D26" s="5">
        <v>51</v>
      </c>
      <c r="E26" s="20" t="s">
        <v>66</v>
      </c>
      <c r="F26" s="7">
        <v>220000</v>
      </c>
    </row>
    <row r="27" spans="1:6" ht="17.25" customHeight="1" x14ac:dyDescent="0.25">
      <c r="A27" s="5">
        <v>23</v>
      </c>
      <c r="B27" s="16" t="s">
        <v>34</v>
      </c>
      <c r="C27" s="7">
        <v>200000</v>
      </c>
      <c r="D27" s="5">
        <v>52</v>
      </c>
      <c r="E27" s="10" t="s">
        <v>67</v>
      </c>
      <c r="F27" s="7">
        <v>1265000</v>
      </c>
    </row>
    <row r="28" spans="1:6" ht="17.25" customHeight="1" x14ac:dyDescent="0.25">
      <c r="A28" s="5">
        <v>24</v>
      </c>
      <c r="B28" s="14" t="s">
        <v>13</v>
      </c>
      <c r="C28" s="7">
        <v>1105000</v>
      </c>
      <c r="D28" s="5">
        <v>53</v>
      </c>
      <c r="E28" s="6" t="s">
        <v>68</v>
      </c>
      <c r="F28" s="7">
        <v>50000</v>
      </c>
    </row>
    <row r="29" spans="1:6" ht="17.25" customHeight="1" x14ac:dyDescent="0.25">
      <c r="A29" s="5">
        <v>25</v>
      </c>
      <c r="B29" s="14" t="s">
        <v>57</v>
      </c>
      <c r="C29" s="7">
        <v>300000</v>
      </c>
      <c r="D29" s="5">
        <v>54</v>
      </c>
      <c r="E29" s="10" t="s">
        <v>72</v>
      </c>
      <c r="F29" s="7">
        <v>100000</v>
      </c>
    </row>
    <row r="30" spans="1:6" ht="17.25" customHeight="1" x14ac:dyDescent="0.25">
      <c r="A30" s="5">
        <v>26</v>
      </c>
      <c r="B30" s="25" t="s">
        <v>58</v>
      </c>
      <c r="C30" s="7">
        <v>350000</v>
      </c>
      <c r="D30" s="5"/>
      <c r="E30" s="10"/>
      <c r="F30" s="7"/>
    </row>
    <row r="31" spans="1:6" ht="17.25" customHeight="1" x14ac:dyDescent="0.25">
      <c r="A31" s="5">
        <v>27</v>
      </c>
      <c r="B31" s="25" t="s">
        <v>60</v>
      </c>
      <c r="C31" s="7">
        <v>300000</v>
      </c>
      <c r="D31" s="5"/>
      <c r="E31" s="6"/>
      <c r="F31" s="7"/>
    </row>
    <row r="32" spans="1:6" ht="17.25" customHeight="1" x14ac:dyDescent="0.25">
      <c r="A32" s="5">
        <v>28</v>
      </c>
      <c r="B32" s="14" t="s">
        <v>3</v>
      </c>
      <c r="C32" s="7">
        <v>1890000</v>
      </c>
      <c r="D32" s="5"/>
      <c r="E32" s="10"/>
      <c r="F32" s="7"/>
    </row>
    <row r="33" spans="1:6" ht="17.25" customHeight="1" x14ac:dyDescent="0.25">
      <c r="A33" s="5">
        <v>29</v>
      </c>
      <c r="B33" s="16" t="s">
        <v>4</v>
      </c>
      <c r="C33" s="7">
        <v>540000</v>
      </c>
      <c r="D33" s="5"/>
      <c r="E33" s="10"/>
      <c r="F33" s="13"/>
    </row>
    <row r="34" spans="1:6" ht="17.25" customHeight="1" x14ac:dyDescent="0.25">
      <c r="A34" s="5"/>
      <c r="B34" s="14"/>
      <c r="C34" s="7"/>
      <c r="D34" s="5"/>
      <c r="E34" s="10"/>
      <c r="F34" s="13"/>
    </row>
    <row r="35" spans="1:6" ht="17.25" customHeight="1" x14ac:dyDescent="0.25">
      <c r="A35" s="5"/>
      <c r="B35" s="14"/>
      <c r="C35" s="7"/>
      <c r="D35" s="5"/>
      <c r="E35" s="10"/>
      <c r="F35" s="15"/>
    </row>
    <row r="36" spans="1:6" ht="17.25" customHeight="1" x14ac:dyDescent="0.25">
      <c r="A36" s="5"/>
      <c r="B36" s="25"/>
      <c r="C36" s="7"/>
      <c r="D36" s="5"/>
      <c r="E36" s="17"/>
      <c r="F36" s="17"/>
    </row>
    <row r="37" spans="1:6" ht="17.25" customHeight="1" x14ac:dyDescent="0.25">
      <c r="A37" s="27" t="s">
        <v>2</v>
      </c>
      <c r="B37" s="28"/>
      <c r="C37" s="18">
        <f>SUM(C5:C36)</f>
        <v>31680800</v>
      </c>
      <c r="D37" s="27" t="s">
        <v>2</v>
      </c>
      <c r="E37" s="28"/>
      <c r="F37" s="19">
        <f>SUM(F5:F36)</f>
        <v>11496690</v>
      </c>
    </row>
    <row r="38" spans="1:6" ht="17.25" customHeight="1" x14ac:dyDescent="0.25">
      <c r="A38" s="21"/>
      <c r="B38" s="21"/>
      <c r="C38" s="23"/>
      <c r="D38" s="21"/>
      <c r="E38" s="21"/>
      <c r="F38" s="24"/>
    </row>
    <row r="39" spans="1:6" ht="17.25" customHeight="1" x14ac:dyDescent="0.25">
      <c r="A39" s="21"/>
      <c r="B39" s="21"/>
      <c r="C39" s="23"/>
      <c r="D39" s="21"/>
      <c r="E39" s="21"/>
      <c r="F39" s="24"/>
    </row>
    <row r="40" spans="1:6" ht="17.25" customHeight="1" x14ac:dyDescent="0.25">
      <c r="E40" s="22" t="s">
        <v>88</v>
      </c>
    </row>
    <row r="41" spans="1:6" ht="17.25" customHeight="1" x14ac:dyDescent="0.25">
      <c r="E41" s="22" t="s">
        <v>31</v>
      </c>
    </row>
    <row r="42" spans="1:6" ht="17.25" customHeight="1" x14ac:dyDescent="0.25">
      <c r="E42" s="22"/>
    </row>
    <row r="43" spans="1:6" ht="15.75" x14ac:dyDescent="0.25">
      <c r="E43" s="22"/>
    </row>
    <row r="44" spans="1:6" ht="15.75" x14ac:dyDescent="0.25">
      <c r="E44" s="22" t="s">
        <v>32</v>
      </c>
    </row>
    <row r="46" spans="1:6" ht="15.75" x14ac:dyDescent="0.25">
      <c r="E46" s="22"/>
    </row>
    <row r="47" spans="1:6" ht="15.75" x14ac:dyDescent="0.25">
      <c r="E47" s="22"/>
    </row>
    <row r="48" spans="1:6" ht="15.75" x14ac:dyDescent="0.25">
      <c r="E48" s="22"/>
    </row>
    <row r="49" spans="5:5" ht="15.75" x14ac:dyDescent="0.25">
      <c r="E49" s="22"/>
    </row>
  </sheetData>
  <mergeCells count="4">
    <mergeCell ref="A1:F1"/>
    <mergeCell ref="A2:F2"/>
    <mergeCell ref="A37:B37"/>
    <mergeCell ref="D37:E37"/>
  </mergeCells>
  <pageMargins left="0.31496062992125984" right="0.31496062992125984" top="0.94488188976377963" bottom="1.3385826771653544" header="0.31496062992125984" footer="0.31496062992125984"/>
  <pageSetup paperSize="5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4E8C-B6B0-488D-AAF3-BE6F68DAE2B5}">
  <dimension ref="A1:F46"/>
  <sheetViews>
    <sheetView topLeftCell="A11" workbookViewId="0">
      <selection activeCell="C32" sqref="C32:C33"/>
    </sheetView>
  </sheetViews>
  <sheetFormatPr defaultRowHeight="15" x14ac:dyDescent="0.25"/>
  <cols>
    <col min="1" max="1" width="6.42578125" customWidth="1"/>
    <col min="2" max="2" width="26.5703125" customWidth="1"/>
    <col min="3" max="3" width="15.85546875" customWidth="1"/>
    <col min="4" max="4" width="4.42578125" customWidth="1"/>
    <col min="5" max="5" width="24.42578125" customWidth="1"/>
    <col min="6" max="6" width="16.7109375" customWidth="1"/>
  </cols>
  <sheetData>
    <row r="1" spans="1:6" x14ac:dyDescent="0.25">
      <c r="A1" s="26" t="s">
        <v>22</v>
      </c>
      <c r="B1" s="26"/>
      <c r="C1" s="26"/>
      <c r="D1" s="26"/>
      <c r="E1" s="26"/>
      <c r="F1" s="26"/>
    </row>
    <row r="2" spans="1:6" x14ac:dyDescent="0.25">
      <c r="A2" s="26" t="s">
        <v>90</v>
      </c>
      <c r="B2" s="26"/>
      <c r="C2" s="26"/>
      <c r="D2" s="26"/>
      <c r="E2" s="26"/>
      <c r="F2" s="26"/>
    </row>
    <row r="3" spans="1:6" ht="15.75" x14ac:dyDescent="0.25">
      <c r="A3" s="4"/>
      <c r="B3" s="4"/>
      <c r="C3" s="4"/>
      <c r="D3" s="4"/>
      <c r="E3" s="4"/>
      <c r="F3" s="4"/>
    </row>
    <row r="4" spans="1:6" ht="21.75" customHeight="1" x14ac:dyDescent="0.25">
      <c r="A4" s="5" t="s">
        <v>0</v>
      </c>
      <c r="B4" s="5" t="s">
        <v>1</v>
      </c>
      <c r="C4" s="5" t="s">
        <v>2</v>
      </c>
      <c r="D4" s="5" t="s">
        <v>0</v>
      </c>
      <c r="E4" s="5" t="s">
        <v>1</v>
      </c>
      <c r="F4" s="5" t="s">
        <v>2</v>
      </c>
    </row>
    <row r="5" spans="1:6" ht="21" customHeight="1" x14ac:dyDescent="0.25">
      <c r="A5" s="5">
        <v>1</v>
      </c>
      <c r="B5" s="6" t="s">
        <v>65</v>
      </c>
      <c r="C5" s="7">
        <v>1200000</v>
      </c>
      <c r="D5" s="5">
        <v>30</v>
      </c>
      <c r="E5" s="6" t="s">
        <v>5</v>
      </c>
      <c r="F5" s="7">
        <f>[10]krnmei!$R$754</f>
        <v>323250</v>
      </c>
    </row>
    <row r="6" spans="1:6" ht="21" customHeight="1" x14ac:dyDescent="0.25">
      <c r="A6" s="5">
        <v>2</v>
      </c>
      <c r="B6" s="6" t="s">
        <v>48</v>
      </c>
      <c r="C6" s="7">
        <f>[10]krnmei!$R$244</f>
        <v>2131500</v>
      </c>
      <c r="D6" s="5">
        <v>31</v>
      </c>
      <c r="E6" s="6" t="s">
        <v>7</v>
      </c>
      <c r="F6" s="8">
        <f>[10]krnmei!$R$788</f>
        <v>674250</v>
      </c>
    </row>
    <row r="7" spans="1:6" ht="21" customHeight="1" x14ac:dyDescent="0.25">
      <c r="A7" s="5">
        <v>3</v>
      </c>
      <c r="B7" s="6" t="s">
        <v>41</v>
      </c>
      <c r="C7" s="7">
        <f>[10]krnmei!$R$278</f>
        <v>1422500</v>
      </c>
      <c r="D7" s="5">
        <v>32</v>
      </c>
      <c r="E7" s="6" t="s">
        <v>8</v>
      </c>
      <c r="F7" s="7">
        <f>[10]krnmei!$R$805</f>
        <v>-2593444</v>
      </c>
    </row>
    <row r="8" spans="1:6" ht="21" customHeight="1" x14ac:dyDescent="0.25">
      <c r="A8" s="5">
        <v>4</v>
      </c>
      <c r="B8" s="6" t="s">
        <v>42</v>
      </c>
      <c r="C8" s="7">
        <v>1800000</v>
      </c>
      <c r="D8" s="5">
        <v>33</v>
      </c>
      <c r="E8" s="6" t="s">
        <v>9</v>
      </c>
      <c r="F8" s="7">
        <f>[10]krnmei!$R$822</f>
        <v>509000</v>
      </c>
    </row>
    <row r="9" spans="1:6" ht="21" customHeight="1" x14ac:dyDescent="0.25">
      <c r="A9" s="5">
        <v>5</v>
      </c>
      <c r="B9" s="6" t="s">
        <v>43</v>
      </c>
      <c r="C9" s="9">
        <v>600000</v>
      </c>
      <c r="D9" s="5">
        <v>34</v>
      </c>
      <c r="E9" s="6" t="s">
        <v>10</v>
      </c>
      <c r="F9" s="7">
        <f>[10]krnmei!$R$856</f>
        <v>447000</v>
      </c>
    </row>
    <row r="10" spans="1:6" ht="21" customHeight="1" x14ac:dyDescent="0.25">
      <c r="A10" s="5">
        <v>6</v>
      </c>
      <c r="B10" s="6" t="s">
        <v>15</v>
      </c>
      <c r="C10" s="7">
        <f>[10]krnmei!$R$329</f>
        <v>845000</v>
      </c>
      <c r="D10" s="5">
        <v>35</v>
      </c>
      <c r="E10" s="6" t="s">
        <v>14</v>
      </c>
      <c r="F10" s="7">
        <v>100000</v>
      </c>
    </row>
    <row r="11" spans="1:6" ht="21" customHeight="1" x14ac:dyDescent="0.25">
      <c r="A11" s="5">
        <v>7</v>
      </c>
      <c r="B11" s="6" t="s">
        <v>44</v>
      </c>
      <c r="C11" s="7">
        <f>[10]krnmei!$R$363</f>
        <v>1857500</v>
      </c>
      <c r="D11" s="5">
        <v>36</v>
      </c>
      <c r="E11" s="6" t="s">
        <v>16</v>
      </c>
      <c r="F11" s="7">
        <f>[10]krnmei!$R$975</f>
        <v>802000</v>
      </c>
    </row>
    <row r="12" spans="1:6" ht="21" customHeight="1" x14ac:dyDescent="0.25">
      <c r="A12" s="5">
        <v>8</v>
      </c>
      <c r="B12" s="6" t="s">
        <v>37</v>
      </c>
      <c r="C12" s="7">
        <f>[10]krnmei!$R$380</f>
        <v>1176300</v>
      </c>
      <c r="D12" s="5">
        <v>37</v>
      </c>
      <c r="E12" s="6" t="s">
        <v>23</v>
      </c>
      <c r="F12" s="7">
        <f>[10]krnmei!$R$1026</f>
        <v>275000</v>
      </c>
    </row>
    <row r="13" spans="1:6" ht="21" customHeight="1" x14ac:dyDescent="0.25">
      <c r="A13" s="5">
        <v>9</v>
      </c>
      <c r="B13" s="6" t="s">
        <v>36</v>
      </c>
      <c r="C13" s="7">
        <f>[10]krnmei!$R$397</f>
        <v>1565000</v>
      </c>
      <c r="D13" s="5">
        <v>38</v>
      </c>
      <c r="E13" s="6" t="s">
        <v>21</v>
      </c>
      <c r="F13" s="7">
        <f>[10]krnmei!$R$1043</f>
        <v>627500</v>
      </c>
    </row>
    <row r="14" spans="1:6" ht="21" customHeight="1" x14ac:dyDescent="0.25">
      <c r="A14" s="5">
        <v>10</v>
      </c>
      <c r="B14" s="6" t="s">
        <v>38</v>
      </c>
      <c r="C14" s="7">
        <f>[10]krnmei!$R$448</f>
        <v>1370000</v>
      </c>
      <c r="D14" s="5">
        <v>39</v>
      </c>
      <c r="E14" s="6" t="s">
        <v>28</v>
      </c>
      <c r="F14" s="7">
        <f>[10]krnmei!$R$1128</f>
        <v>943375</v>
      </c>
    </row>
    <row r="15" spans="1:6" ht="21" customHeight="1" x14ac:dyDescent="0.25">
      <c r="A15" s="5">
        <v>11</v>
      </c>
      <c r="B15" s="6" t="s">
        <v>39</v>
      </c>
      <c r="C15" s="7">
        <f>[10]krnmei!$R$516</f>
        <v>920000</v>
      </c>
      <c r="D15" s="5">
        <v>40</v>
      </c>
      <c r="E15" s="6" t="s">
        <v>29</v>
      </c>
      <c r="F15" s="7">
        <f>[10]krnmei!$R$499</f>
        <v>833065</v>
      </c>
    </row>
    <row r="16" spans="1:6" ht="21" customHeight="1" x14ac:dyDescent="0.25">
      <c r="A16" s="5">
        <v>12</v>
      </c>
      <c r="B16" s="6" t="s">
        <v>18</v>
      </c>
      <c r="C16" s="7">
        <f>[10]krnmei!$R$550</f>
        <v>1245000</v>
      </c>
      <c r="D16" s="5">
        <v>41</v>
      </c>
      <c r="E16" s="6" t="s">
        <v>30</v>
      </c>
      <c r="F16" s="7">
        <f>[10]krnmei!$R$992</f>
        <v>2012500</v>
      </c>
    </row>
    <row r="17" spans="1:6" ht="21" customHeight="1" x14ac:dyDescent="0.25">
      <c r="A17" s="5">
        <v>13</v>
      </c>
      <c r="B17" s="6" t="s">
        <v>19</v>
      </c>
      <c r="C17" s="7">
        <f>[10]krnmei!$R$567</f>
        <v>530000</v>
      </c>
      <c r="D17" s="5">
        <v>42</v>
      </c>
      <c r="E17" s="10" t="s">
        <v>33</v>
      </c>
      <c r="F17" s="7">
        <v>250000</v>
      </c>
    </row>
    <row r="18" spans="1:6" ht="21" customHeight="1" x14ac:dyDescent="0.25">
      <c r="A18" s="5">
        <v>14</v>
      </c>
      <c r="B18" s="6" t="s">
        <v>20</v>
      </c>
      <c r="C18" s="7">
        <v>125000</v>
      </c>
      <c r="D18" s="5">
        <v>43</v>
      </c>
      <c r="E18" s="11" t="s">
        <v>69</v>
      </c>
      <c r="F18" s="7">
        <v>200000</v>
      </c>
    </row>
    <row r="19" spans="1:6" ht="21" customHeight="1" x14ac:dyDescent="0.25">
      <c r="A19" s="5">
        <v>15</v>
      </c>
      <c r="B19" s="6" t="s">
        <v>26</v>
      </c>
      <c r="C19" s="7">
        <f>[10]krnmei!$R$1060</f>
        <v>966500</v>
      </c>
      <c r="D19" s="5">
        <v>44</v>
      </c>
      <c r="E19" s="10" t="s">
        <v>56</v>
      </c>
      <c r="F19" s="7">
        <f>[10]krnmei!$R$1230</f>
        <v>514750</v>
      </c>
    </row>
    <row r="20" spans="1:6" ht="21" customHeight="1" x14ac:dyDescent="0.25">
      <c r="A20" s="5">
        <v>16</v>
      </c>
      <c r="B20" s="6" t="s">
        <v>24</v>
      </c>
      <c r="C20" s="7">
        <v>475000</v>
      </c>
      <c r="D20" s="5">
        <v>45</v>
      </c>
      <c r="E20" s="11" t="s">
        <v>59</v>
      </c>
      <c r="F20" s="7">
        <v>150000</v>
      </c>
    </row>
    <row r="21" spans="1:6" ht="21" customHeight="1" x14ac:dyDescent="0.25">
      <c r="A21" s="5">
        <v>17</v>
      </c>
      <c r="B21" s="6" t="s">
        <v>25</v>
      </c>
      <c r="C21" s="7">
        <f>[10]krnmei!$R$1111</f>
        <v>6770000</v>
      </c>
      <c r="D21" s="5">
        <v>46</v>
      </c>
      <c r="E21" s="10" t="s">
        <v>61</v>
      </c>
      <c r="F21" s="7">
        <v>100000</v>
      </c>
    </row>
    <row r="22" spans="1:6" ht="21" customHeight="1" x14ac:dyDescent="0.25">
      <c r="A22" s="5">
        <v>18</v>
      </c>
      <c r="B22" s="12" t="s">
        <v>40</v>
      </c>
      <c r="C22" s="7">
        <f>[10]krnmei!$R$1145</f>
        <v>550000</v>
      </c>
      <c r="D22" s="5">
        <v>47</v>
      </c>
      <c r="E22" s="10" t="s">
        <v>62</v>
      </c>
      <c r="F22" s="7">
        <v>100000</v>
      </c>
    </row>
    <row r="23" spans="1:6" ht="21" customHeight="1" x14ac:dyDescent="0.25">
      <c r="A23" s="5">
        <v>19</v>
      </c>
      <c r="B23" s="6" t="s">
        <v>50</v>
      </c>
      <c r="C23" s="7">
        <f>[10]krnmei!$R$1162</f>
        <v>740500</v>
      </c>
      <c r="D23" s="5">
        <v>48</v>
      </c>
      <c r="E23" s="20" t="s">
        <v>63</v>
      </c>
      <c r="F23" s="7">
        <v>100000</v>
      </c>
    </row>
    <row r="24" spans="1:6" ht="21" customHeight="1" x14ac:dyDescent="0.25">
      <c r="A24" s="5">
        <v>20</v>
      </c>
      <c r="B24" s="6" t="s">
        <v>51</v>
      </c>
      <c r="C24" s="7">
        <v>900000</v>
      </c>
      <c r="D24" s="5">
        <v>49</v>
      </c>
      <c r="E24" s="20" t="s">
        <v>64</v>
      </c>
      <c r="F24" s="7">
        <v>100000</v>
      </c>
    </row>
    <row r="25" spans="1:6" ht="21" customHeight="1" x14ac:dyDescent="0.25">
      <c r="A25" s="5">
        <v>21</v>
      </c>
      <c r="B25" s="6" t="s">
        <v>12</v>
      </c>
      <c r="C25" s="7">
        <v>270000</v>
      </c>
      <c r="D25" s="5">
        <v>50</v>
      </c>
      <c r="E25" s="20" t="s">
        <v>66</v>
      </c>
      <c r="F25" s="7">
        <v>220000</v>
      </c>
    </row>
    <row r="26" spans="1:6" ht="21" customHeight="1" x14ac:dyDescent="0.25">
      <c r="A26" s="5">
        <v>22</v>
      </c>
      <c r="B26" s="14" t="s">
        <v>52</v>
      </c>
      <c r="C26" s="7">
        <f>[10]krnmei!$R$1009</f>
        <v>628750</v>
      </c>
      <c r="D26" s="5">
        <v>51</v>
      </c>
      <c r="E26" s="10" t="s">
        <v>67</v>
      </c>
      <c r="F26" s="7">
        <f>[10]krnmei!$R$1400</f>
        <v>1250000</v>
      </c>
    </row>
    <row r="27" spans="1:6" ht="21" customHeight="1" x14ac:dyDescent="0.25">
      <c r="A27" s="5">
        <v>23</v>
      </c>
      <c r="B27" s="16" t="s">
        <v>34</v>
      </c>
      <c r="C27" s="7">
        <f>[10]krnmei!$R$23</f>
        <v>1500000</v>
      </c>
      <c r="D27" s="5">
        <v>52</v>
      </c>
      <c r="E27" s="6" t="s">
        <v>68</v>
      </c>
      <c r="F27" s="7">
        <v>50000</v>
      </c>
    </row>
    <row r="28" spans="1:6" ht="21" customHeight="1" x14ac:dyDescent="0.25">
      <c r="A28" s="5">
        <v>24</v>
      </c>
      <c r="B28" s="14" t="s">
        <v>13</v>
      </c>
      <c r="C28" s="7">
        <v>1105000</v>
      </c>
      <c r="D28" s="5">
        <v>53</v>
      </c>
      <c r="E28" s="10" t="s">
        <v>72</v>
      </c>
      <c r="F28" s="7">
        <v>100000</v>
      </c>
    </row>
    <row r="29" spans="1:6" ht="21" customHeight="1" x14ac:dyDescent="0.25">
      <c r="A29" s="5">
        <v>25</v>
      </c>
      <c r="B29" s="14" t="s">
        <v>57</v>
      </c>
      <c r="C29" s="7">
        <v>300000</v>
      </c>
      <c r="D29" s="5"/>
      <c r="E29" s="10"/>
      <c r="F29" s="7"/>
    </row>
    <row r="30" spans="1:6" ht="21" customHeight="1" x14ac:dyDescent="0.25">
      <c r="A30" s="5">
        <v>26</v>
      </c>
      <c r="B30" s="25" t="s">
        <v>58</v>
      </c>
      <c r="C30" s="7">
        <v>350000</v>
      </c>
      <c r="D30" s="5"/>
      <c r="E30" s="10"/>
      <c r="F30" s="7"/>
    </row>
    <row r="31" spans="1:6" ht="21" customHeight="1" x14ac:dyDescent="0.25">
      <c r="A31" s="5">
        <v>27</v>
      </c>
      <c r="B31" s="25" t="s">
        <v>60</v>
      </c>
      <c r="C31" s="7">
        <v>300000</v>
      </c>
      <c r="D31" s="5"/>
      <c r="E31" s="6"/>
      <c r="F31" s="7"/>
    </row>
    <row r="32" spans="1:6" ht="21" customHeight="1" x14ac:dyDescent="0.25">
      <c r="A32" s="5">
        <v>28</v>
      </c>
      <c r="B32" s="14" t="s">
        <v>3</v>
      </c>
      <c r="C32" s="7">
        <f>[10]krnmei!$R$686</f>
        <v>-3132500</v>
      </c>
      <c r="D32" s="5"/>
      <c r="E32" s="10"/>
      <c r="F32" s="7"/>
    </row>
    <row r="33" spans="1:6" ht="21" customHeight="1" x14ac:dyDescent="0.25">
      <c r="A33" s="5">
        <v>29</v>
      </c>
      <c r="B33" s="16" t="s">
        <v>4</v>
      </c>
      <c r="C33" s="7">
        <f>[10]krnmei!$R$737</f>
        <v>536250</v>
      </c>
      <c r="D33" s="5"/>
      <c r="E33" s="10"/>
      <c r="F33" s="13"/>
    </row>
    <row r="34" spans="1:6" ht="21" customHeight="1" x14ac:dyDescent="0.25">
      <c r="A34" s="5"/>
      <c r="B34" s="14"/>
      <c r="C34" s="7"/>
      <c r="D34" s="5"/>
      <c r="E34" s="10"/>
      <c r="F34" s="13"/>
    </row>
    <row r="35" spans="1:6" ht="21" customHeight="1" x14ac:dyDescent="0.25">
      <c r="A35" s="5"/>
      <c r="B35" s="14"/>
      <c r="C35" s="7"/>
      <c r="D35" s="5"/>
      <c r="E35" s="10"/>
      <c r="F35" s="15"/>
    </row>
    <row r="36" spans="1:6" x14ac:dyDescent="0.25">
      <c r="A36" s="5"/>
      <c r="B36" s="25"/>
      <c r="C36" s="7"/>
      <c r="D36" s="5"/>
      <c r="E36" s="17"/>
      <c r="F36" s="17"/>
    </row>
    <row r="37" spans="1:6" x14ac:dyDescent="0.25">
      <c r="A37" s="27" t="s">
        <v>2</v>
      </c>
      <c r="B37" s="28"/>
      <c r="C37" s="18">
        <f>SUM(C5:C36)</f>
        <v>29047300</v>
      </c>
      <c r="D37" s="27" t="s">
        <v>2</v>
      </c>
      <c r="E37" s="28"/>
      <c r="F37" s="19">
        <f>SUM(F5:F36)</f>
        <v>8088246</v>
      </c>
    </row>
    <row r="38" spans="1:6" x14ac:dyDescent="0.25">
      <c r="A38" s="21"/>
      <c r="B38" s="21"/>
      <c r="C38" s="23"/>
      <c r="D38" s="21"/>
      <c r="E38" s="21"/>
      <c r="F38" s="24"/>
    </row>
    <row r="39" spans="1:6" x14ac:dyDescent="0.25">
      <c r="A39" s="21"/>
      <c r="B39" s="21"/>
      <c r="C39" s="23"/>
      <c r="D39" s="21"/>
      <c r="E39" s="21"/>
      <c r="F39" s="24"/>
    </row>
    <row r="40" spans="1:6" ht="15.75" x14ac:dyDescent="0.25">
      <c r="E40" s="22" t="s">
        <v>89</v>
      </c>
    </row>
    <row r="41" spans="1:6" ht="15.75" x14ac:dyDescent="0.25">
      <c r="E41" s="22" t="s">
        <v>31</v>
      </c>
    </row>
    <row r="42" spans="1:6" ht="15.75" x14ac:dyDescent="0.25">
      <c r="E42" s="22"/>
    </row>
    <row r="43" spans="1:6" ht="15.75" x14ac:dyDescent="0.25">
      <c r="E43" s="22"/>
    </row>
    <row r="44" spans="1:6" ht="15.75" x14ac:dyDescent="0.25">
      <c r="E44" s="22" t="s">
        <v>32</v>
      </c>
    </row>
    <row r="46" spans="1:6" ht="15.75" x14ac:dyDescent="0.25">
      <c r="E46" s="22"/>
    </row>
  </sheetData>
  <mergeCells count="4">
    <mergeCell ref="A1:F1"/>
    <mergeCell ref="A2:F2"/>
    <mergeCell ref="A37:B37"/>
    <mergeCell ref="D37:E37"/>
  </mergeCells>
  <pageMargins left="0.70866141732283472" right="0.31496062992125984" top="0.94488188976377963" bottom="1.3385826771653544" header="0.31496062992125984" footer="0.31496062992125984"/>
  <pageSetup paperSize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FE22-3710-45C8-BAF2-B174534ADDBB}">
  <dimension ref="A1:F42"/>
  <sheetViews>
    <sheetView topLeftCell="A13" workbookViewId="0">
      <selection activeCell="E5" sqref="E5:E27"/>
    </sheetView>
  </sheetViews>
  <sheetFormatPr defaultRowHeight="15" x14ac:dyDescent="0.25"/>
  <cols>
    <col min="1" max="1" width="6.42578125" customWidth="1"/>
    <col min="2" max="2" width="26.5703125" customWidth="1"/>
    <col min="3" max="3" width="15.85546875" customWidth="1"/>
    <col min="4" max="4" width="4.42578125" customWidth="1"/>
    <col min="5" max="5" width="24.42578125" customWidth="1"/>
    <col min="6" max="6" width="16.7109375" customWidth="1"/>
  </cols>
  <sheetData>
    <row r="1" spans="1:6" x14ac:dyDescent="0.25">
      <c r="A1" s="26" t="s">
        <v>22</v>
      </c>
      <c r="B1" s="26"/>
      <c r="C1" s="26"/>
      <c r="D1" s="26"/>
      <c r="E1" s="26"/>
      <c r="F1" s="26"/>
    </row>
    <row r="2" spans="1:6" x14ac:dyDescent="0.25">
      <c r="A2" s="26" t="s">
        <v>92</v>
      </c>
      <c r="B2" s="26"/>
      <c r="C2" s="26"/>
      <c r="D2" s="26"/>
      <c r="E2" s="26"/>
      <c r="F2" s="26"/>
    </row>
    <row r="3" spans="1:6" ht="15.75" x14ac:dyDescent="0.25">
      <c r="A3" s="4"/>
      <c r="B3" s="4"/>
      <c r="C3" s="4"/>
      <c r="D3" s="4"/>
      <c r="E3" s="4"/>
      <c r="F3" s="4"/>
    </row>
    <row r="4" spans="1:6" x14ac:dyDescent="0.25">
      <c r="A4" s="5" t="s">
        <v>0</v>
      </c>
      <c r="B4" s="5" t="s">
        <v>1</v>
      </c>
      <c r="C4" s="5" t="s">
        <v>2</v>
      </c>
      <c r="D4" s="5" t="s">
        <v>0</v>
      </c>
      <c r="E4" s="5" t="s">
        <v>1</v>
      </c>
      <c r="F4" s="5" t="s">
        <v>2</v>
      </c>
    </row>
    <row r="5" spans="1:6" x14ac:dyDescent="0.25">
      <c r="A5" s="5">
        <v>1</v>
      </c>
      <c r="B5" s="6" t="s">
        <v>65</v>
      </c>
      <c r="C5" s="7">
        <v>1200000</v>
      </c>
      <c r="D5" s="5">
        <v>29</v>
      </c>
      <c r="E5" s="6" t="s">
        <v>5</v>
      </c>
      <c r="F5" s="8">
        <f>[11]krnmei!$R$755</f>
        <v>320250</v>
      </c>
    </row>
    <row r="6" spans="1:6" x14ac:dyDescent="0.25">
      <c r="A6" s="5">
        <v>2</v>
      </c>
      <c r="B6" s="6" t="s">
        <v>48</v>
      </c>
      <c r="C6" s="7">
        <f>[11]krnmei!$R$245</f>
        <v>313500</v>
      </c>
      <c r="D6" s="5">
        <v>30</v>
      </c>
      <c r="E6" s="6" t="s">
        <v>7</v>
      </c>
      <c r="F6" s="7">
        <f>[11]krnmei!$R$789</f>
        <v>-1730250</v>
      </c>
    </row>
    <row r="7" spans="1:6" x14ac:dyDescent="0.25">
      <c r="A7" s="5">
        <v>3</v>
      </c>
      <c r="B7" s="6" t="s">
        <v>41</v>
      </c>
      <c r="C7" s="7">
        <f>[11]krnmei!$R$279</f>
        <v>-4585000</v>
      </c>
      <c r="D7" s="5">
        <v>31</v>
      </c>
      <c r="E7" s="6" t="s">
        <v>9</v>
      </c>
      <c r="F7" s="7">
        <f>[11]krnmei!$R$823</f>
        <v>-751750</v>
      </c>
    </row>
    <row r="8" spans="1:6" x14ac:dyDescent="0.25">
      <c r="A8" s="5">
        <v>4</v>
      </c>
      <c r="B8" s="6" t="s">
        <v>42</v>
      </c>
      <c r="C8" s="7">
        <v>1800000</v>
      </c>
      <c r="D8" s="5">
        <v>32</v>
      </c>
      <c r="E8" s="6" t="s">
        <v>10</v>
      </c>
      <c r="F8" s="7">
        <f>[11]krnmei!$R$857</f>
        <v>441000</v>
      </c>
    </row>
    <row r="9" spans="1:6" x14ac:dyDescent="0.25">
      <c r="A9" s="5">
        <v>5</v>
      </c>
      <c r="B9" s="6" t="s">
        <v>43</v>
      </c>
      <c r="C9" s="9">
        <v>600000</v>
      </c>
      <c r="D9" s="5">
        <v>33</v>
      </c>
      <c r="E9" s="6" t="s">
        <v>14</v>
      </c>
      <c r="F9" s="7">
        <v>100000</v>
      </c>
    </row>
    <row r="10" spans="1:6" x14ac:dyDescent="0.25">
      <c r="A10" s="5">
        <v>6</v>
      </c>
      <c r="B10" s="6" t="s">
        <v>15</v>
      </c>
      <c r="C10" s="7">
        <f>[11]krnmei!$R$330</f>
        <v>-1558750</v>
      </c>
      <c r="D10" s="5">
        <v>34</v>
      </c>
      <c r="E10" s="6" t="s">
        <v>16</v>
      </c>
      <c r="F10" s="7">
        <f>[11]krnmei!$R$976</f>
        <v>-5201000</v>
      </c>
    </row>
    <row r="11" spans="1:6" x14ac:dyDescent="0.25">
      <c r="A11" s="5">
        <v>7</v>
      </c>
      <c r="B11" s="6" t="s">
        <v>44</v>
      </c>
      <c r="C11" s="7">
        <f>[11]krnmei!$R$364</f>
        <v>1850000</v>
      </c>
      <c r="D11" s="5">
        <v>35</v>
      </c>
      <c r="E11" s="6" t="s">
        <v>23</v>
      </c>
      <c r="F11" s="7">
        <f>[11]krnmei!$R$1027</f>
        <v>32750</v>
      </c>
    </row>
    <row r="12" spans="1:6" x14ac:dyDescent="0.25">
      <c r="A12" s="5">
        <v>8</v>
      </c>
      <c r="B12" s="6" t="s">
        <v>37</v>
      </c>
      <c r="C12" s="7">
        <f>[11]krnmei!$R$381</f>
        <v>718800</v>
      </c>
      <c r="D12" s="5">
        <v>36</v>
      </c>
      <c r="E12" s="6" t="s">
        <v>21</v>
      </c>
      <c r="F12" s="7">
        <f>[11]krnmei!$R$1044</f>
        <v>20000</v>
      </c>
    </row>
    <row r="13" spans="1:6" x14ac:dyDescent="0.25">
      <c r="A13" s="5">
        <v>9</v>
      </c>
      <c r="B13" s="6" t="s">
        <v>36</v>
      </c>
      <c r="C13" s="7">
        <f>[11]krnmei!$R$398</f>
        <v>-850000</v>
      </c>
      <c r="D13" s="5">
        <v>37</v>
      </c>
      <c r="E13" s="6" t="s">
        <v>28</v>
      </c>
      <c r="F13" s="7">
        <f>[11]krnmei!$R$1129</f>
        <v>935875</v>
      </c>
    </row>
    <row r="14" spans="1:6" x14ac:dyDescent="0.25">
      <c r="A14" s="5">
        <v>10</v>
      </c>
      <c r="B14" s="6" t="s">
        <v>38</v>
      </c>
      <c r="C14" s="7">
        <f>[11]krnmei!$R$449</f>
        <v>-1037500</v>
      </c>
      <c r="D14" s="5">
        <v>38</v>
      </c>
      <c r="E14" s="10" t="s">
        <v>29</v>
      </c>
      <c r="F14" s="7">
        <f>[11]krnmei!$R$500</f>
        <v>230815</v>
      </c>
    </row>
    <row r="15" spans="1:6" x14ac:dyDescent="0.25">
      <c r="A15" s="5">
        <v>11</v>
      </c>
      <c r="B15" s="6" t="s">
        <v>39</v>
      </c>
      <c r="C15" s="7">
        <f>[11]krnmei!$R$517</f>
        <v>614000</v>
      </c>
      <c r="D15" s="5">
        <v>39</v>
      </c>
      <c r="E15" s="11" t="s">
        <v>30</v>
      </c>
      <c r="F15" s="7">
        <f>[11]krnmei!$R$993</f>
        <v>2065000</v>
      </c>
    </row>
    <row r="16" spans="1:6" x14ac:dyDescent="0.25">
      <c r="A16" s="5">
        <v>12</v>
      </c>
      <c r="B16" s="6" t="s">
        <v>18</v>
      </c>
      <c r="C16" s="7">
        <f>[11]krnmei!$R$551</f>
        <v>-562500</v>
      </c>
      <c r="D16" s="5">
        <v>40</v>
      </c>
      <c r="E16" s="10" t="s">
        <v>33</v>
      </c>
      <c r="F16" s="7">
        <v>250000</v>
      </c>
    </row>
    <row r="17" spans="1:6" x14ac:dyDescent="0.25">
      <c r="A17" s="5">
        <v>13</v>
      </c>
      <c r="B17" s="6" t="s">
        <v>20</v>
      </c>
      <c r="C17" s="7">
        <v>125000</v>
      </c>
      <c r="D17" s="5">
        <v>41</v>
      </c>
      <c r="E17" s="11" t="s">
        <v>69</v>
      </c>
      <c r="F17" s="7">
        <v>200000</v>
      </c>
    </row>
    <row r="18" spans="1:6" x14ac:dyDescent="0.25">
      <c r="A18" s="5">
        <v>14</v>
      </c>
      <c r="B18" s="6" t="s">
        <v>26</v>
      </c>
      <c r="C18" s="7">
        <f>[11]krnmei!$R$1061</f>
        <v>-241000</v>
      </c>
      <c r="D18" s="5">
        <v>42</v>
      </c>
      <c r="E18" s="10" t="s">
        <v>56</v>
      </c>
      <c r="F18" s="7">
        <f>[11]krnmei!$R$1231</f>
        <v>-91250</v>
      </c>
    </row>
    <row r="19" spans="1:6" x14ac:dyDescent="0.25">
      <c r="A19" s="5">
        <v>15</v>
      </c>
      <c r="B19" s="6" t="s">
        <v>24</v>
      </c>
      <c r="C19" s="7">
        <v>475000</v>
      </c>
      <c r="D19" s="5">
        <v>43</v>
      </c>
      <c r="E19" s="10" t="s">
        <v>59</v>
      </c>
      <c r="F19" s="7">
        <v>150000</v>
      </c>
    </row>
    <row r="20" spans="1:6" x14ac:dyDescent="0.25">
      <c r="A20" s="5">
        <v>16</v>
      </c>
      <c r="B20" s="12" t="s">
        <v>25</v>
      </c>
      <c r="C20" s="7">
        <f>[11]krnmei!$R$1112</f>
        <v>2680000</v>
      </c>
      <c r="D20" s="5">
        <v>44</v>
      </c>
      <c r="E20" s="20" t="s">
        <v>61</v>
      </c>
      <c r="F20" s="7">
        <v>100000</v>
      </c>
    </row>
    <row r="21" spans="1:6" x14ac:dyDescent="0.25">
      <c r="A21" s="5">
        <v>17</v>
      </c>
      <c r="B21" s="6" t="s">
        <v>40</v>
      </c>
      <c r="C21" s="7">
        <f>[10]krnmei!$R$1145</f>
        <v>550000</v>
      </c>
      <c r="D21" s="5">
        <v>45</v>
      </c>
      <c r="E21" s="20" t="s">
        <v>62</v>
      </c>
      <c r="F21" s="7">
        <v>100000</v>
      </c>
    </row>
    <row r="22" spans="1:6" x14ac:dyDescent="0.25">
      <c r="A22" s="5">
        <v>18</v>
      </c>
      <c r="B22" s="6" t="s">
        <v>50</v>
      </c>
      <c r="C22" s="7">
        <f>[11]krnmei!$R$1163</f>
        <v>136000</v>
      </c>
      <c r="D22" s="5">
        <v>46</v>
      </c>
      <c r="E22" s="20" t="s">
        <v>63</v>
      </c>
      <c r="F22" s="7">
        <v>100000</v>
      </c>
    </row>
    <row r="23" spans="1:6" x14ac:dyDescent="0.25">
      <c r="A23" s="5">
        <v>19</v>
      </c>
      <c r="B23" s="6" t="s">
        <v>51</v>
      </c>
      <c r="C23" s="7">
        <v>900000</v>
      </c>
      <c r="D23" s="5">
        <v>47</v>
      </c>
      <c r="E23" s="10" t="s">
        <v>64</v>
      </c>
      <c r="F23" s="7">
        <v>100000</v>
      </c>
    </row>
    <row r="24" spans="1:6" x14ac:dyDescent="0.25">
      <c r="A24" s="5">
        <v>20</v>
      </c>
      <c r="B24" s="14" t="s">
        <v>12</v>
      </c>
      <c r="C24" s="7">
        <v>270000</v>
      </c>
      <c r="D24" s="5">
        <v>48</v>
      </c>
      <c r="E24" s="6" t="s">
        <v>66</v>
      </c>
      <c r="F24" s="7">
        <v>220000</v>
      </c>
    </row>
    <row r="25" spans="1:6" x14ac:dyDescent="0.25">
      <c r="A25" s="5">
        <v>21</v>
      </c>
      <c r="B25" s="16" t="s">
        <v>52</v>
      </c>
      <c r="C25" s="7">
        <f>[11]krnmei!$R$1010</f>
        <v>621250</v>
      </c>
      <c r="D25" s="5">
        <v>49</v>
      </c>
      <c r="E25" s="10" t="s">
        <v>67</v>
      </c>
      <c r="F25" s="7">
        <f>[11]krnmei!$R$1401</f>
        <v>35000</v>
      </c>
    </row>
    <row r="26" spans="1:6" x14ac:dyDescent="0.25">
      <c r="A26" s="5">
        <v>22</v>
      </c>
      <c r="B26" s="14" t="s">
        <v>34</v>
      </c>
      <c r="C26" s="7">
        <f>[11]krnmei!$R$24</f>
        <v>885000</v>
      </c>
      <c r="D26" s="5">
        <v>50</v>
      </c>
      <c r="E26" s="10" t="s">
        <v>68</v>
      </c>
      <c r="F26" s="7">
        <v>50000</v>
      </c>
    </row>
    <row r="27" spans="1:6" x14ac:dyDescent="0.25">
      <c r="A27" s="5">
        <v>23</v>
      </c>
      <c r="B27" s="14" t="s">
        <v>13</v>
      </c>
      <c r="C27" s="7">
        <f>[11]krnmei!$R$908</f>
        <v>-113000</v>
      </c>
      <c r="D27" s="5">
        <v>51</v>
      </c>
      <c r="E27" s="6" t="s">
        <v>72</v>
      </c>
      <c r="F27" s="7">
        <v>100000</v>
      </c>
    </row>
    <row r="28" spans="1:6" x14ac:dyDescent="0.25">
      <c r="A28" s="5">
        <v>24</v>
      </c>
      <c r="B28" s="25" t="s">
        <v>57</v>
      </c>
      <c r="C28" s="7">
        <v>300000</v>
      </c>
      <c r="D28" s="5"/>
      <c r="E28" s="6"/>
      <c r="F28" s="7"/>
    </row>
    <row r="29" spans="1:6" x14ac:dyDescent="0.25">
      <c r="A29" s="5">
        <v>25</v>
      </c>
      <c r="B29" s="25" t="s">
        <v>58</v>
      </c>
      <c r="C29" s="7">
        <v>350000</v>
      </c>
      <c r="D29" s="5"/>
      <c r="E29" s="10"/>
      <c r="F29" s="7"/>
    </row>
    <row r="30" spans="1:6" x14ac:dyDescent="0.25">
      <c r="A30" s="5">
        <v>26</v>
      </c>
      <c r="B30" s="14" t="s">
        <v>60</v>
      </c>
      <c r="C30" s="7">
        <v>300000</v>
      </c>
      <c r="D30" s="5"/>
      <c r="E30" s="10"/>
      <c r="F30" s="7"/>
    </row>
    <row r="31" spans="1:6" x14ac:dyDescent="0.25">
      <c r="A31" s="5">
        <v>27</v>
      </c>
      <c r="B31" s="6" t="s">
        <v>3</v>
      </c>
      <c r="C31" s="7">
        <f>[11]krnmei!$R$687</f>
        <v>4445000</v>
      </c>
      <c r="D31" s="5"/>
      <c r="E31" s="6"/>
      <c r="F31" s="7"/>
    </row>
    <row r="32" spans="1:6" x14ac:dyDescent="0.25">
      <c r="A32" s="5">
        <v>28</v>
      </c>
      <c r="B32" s="6" t="s">
        <v>4</v>
      </c>
      <c r="C32" s="7">
        <f>[11]krnmei!$R$738</f>
        <v>532500</v>
      </c>
      <c r="D32" s="5"/>
      <c r="E32" s="10"/>
      <c r="F32" s="7"/>
    </row>
    <row r="33" spans="1:6" x14ac:dyDescent="0.25">
      <c r="A33" s="5"/>
      <c r="B33" s="16"/>
      <c r="C33" s="7"/>
      <c r="D33" s="5"/>
      <c r="E33" s="10"/>
      <c r="F33" s="13"/>
    </row>
    <row r="34" spans="1:6" x14ac:dyDescent="0.25">
      <c r="A34" s="5"/>
      <c r="B34" s="25"/>
      <c r="C34" s="7"/>
      <c r="D34" s="5"/>
      <c r="E34" s="17"/>
      <c r="F34" s="17"/>
    </row>
    <row r="35" spans="1:6" x14ac:dyDescent="0.25">
      <c r="A35" s="27" t="s">
        <v>2</v>
      </c>
      <c r="B35" s="28"/>
      <c r="C35" s="18">
        <f>SUM(C5:C34)</f>
        <v>10718300</v>
      </c>
      <c r="D35" s="27" t="s">
        <v>2</v>
      </c>
      <c r="E35" s="28"/>
      <c r="F35" s="19">
        <f>SUM(F5:F34)</f>
        <v>-2223560</v>
      </c>
    </row>
    <row r="36" spans="1:6" x14ac:dyDescent="0.25">
      <c r="A36" s="21"/>
      <c r="B36" s="21"/>
      <c r="C36" s="23"/>
      <c r="D36" s="21"/>
      <c r="E36" s="21"/>
      <c r="F36" s="24"/>
    </row>
    <row r="37" spans="1:6" x14ac:dyDescent="0.25">
      <c r="A37" s="21"/>
      <c r="B37" s="21"/>
      <c r="C37" s="23"/>
      <c r="D37" s="21"/>
      <c r="E37" s="21"/>
      <c r="F37" s="24"/>
    </row>
    <row r="38" spans="1:6" ht="15.75" x14ac:dyDescent="0.25">
      <c r="E38" s="22" t="s">
        <v>91</v>
      </c>
    </row>
    <row r="39" spans="1:6" ht="15.75" x14ac:dyDescent="0.25">
      <c r="E39" s="22" t="s">
        <v>31</v>
      </c>
    </row>
    <row r="40" spans="1:6" ht="15.75" x14ac:dyDescent="0.25">
      <c r="E40" s="22"/>
    </row>
    <row r="41" spans="1:6" ht="15.75" x14ac:dyDescent="0.25">
      <c r="E41" s="22"/>
    </row>
    <row r="42" spans="1:6" ht="15.75" x14ac:dyDescent="0.25">
      <c r="E42" s="22" t="s">
        <v>32</v>
      </c>
    </row>
  </sheetData>
  <mergeCells count="4">
    <mergeCell ref="A1:F1"/>
    <mergeCell ref="A2:F2"/>
    <mergeCell ref="A35:B35"/>
    <mergeCell ref="D35:E35"/>
  </mergeCells>
  <pageMargins left="0.31496062992125984" right="0.31496062992125984" top="0.94488188976377963" bottom="1.3385826771653544" header="0.31496062992125984" footer="0.31496062992125984"/>
  <pageSetup paperSize="5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D6AA-ED5E-4DAF-A4DD-41602B49373E}">
  <dimension ref="A1:F42"/>
  <sheetViews>
    <sheetView tabSelected="1" view="pageBreakPreview" topLeftCell="A24" zoomScale="110" zoomScaleNormal="100" zoomScaleSheetLayoutView="110" workbookViewId="0">
      <selection activeCell="H8" sqref="H8"/>
    </sheetView>
  </sheetViews>
  <sheetFormatPr defaultRowHeight="15" x14ac:dyDescent="0.25"/>
  <cols>
    <col min="1" max="1" width="6.42578125" customWidth="1"/>
    <col min="2" max="2" width="26.5703125" customWidth="1"/>
    <col min="3" max="3" width="15.85546875" customWidth="1"/>
    <col min="4" max="4" width="4.42578125" customWidth="1"/>
    <col min="5" max="5" width="24.42578125" customWidth="1"/>
    <col min="6" max="6" width="16.7109375" customWidth="1"/>
  </cols>
  <sheetData>
    <row r="1" spans="1:6" x14ac:dyDescent="0.25">
      <c r="A1" s="26" t="s">
        <v>22</v>
      </c>
      <c r="B1" s="26"/>
      <c r="C1" s="26"/>
      <c r="D1" s="26"/>
      <c r="E1" s="26"/>
      <c r="F1" s="26"/>
    </row>
    <row r="2" spans="1:6" x14ac:dyDescent="0.25">
      <c r="A2" s="26" t="s">
        <v>93</v>
      </c>
      <c r="B2" s="26"/>
      <c r="C2" s="26"/>
      <c r="D2" s="26"/>
      <c r="E2" s="26"/>
      <c r="F2" s="26"/>
    </row>
    <row r="3" spans="1:6" ht="15.75" x14ac:dyDescent="0.25">
      <c r="A3" s="4"/>
      <c r="B3" s="4"/>
      <c r="C3" s="4"/>
      <c r="D3" s="4"/>
      <c r="E3" s="4"/>
      <c r="F3" s="4"/>
    </row>
    <row r="4" spans="1:6" x14ac:dyDescent="0.25">
      <c r="A4" s="5" t="s">
        <v>0</v>
      </c>
      <c r="B4" s="5" t="s">
        <v>1</v>
      </c>
      <c r="C4" s="5" t="s">
        <v>2</v>
      </c>
      <c r="D4" s="5" t="s">
        <v>0</v>
      </c>
      <c r="E4" s="5" t="s">
        <v>1</v>
      </c>
      <c r="F4" s="5" t="s">
        <v>2</v>
      </c>
    </row>
    <row r="5" spans="1:6" x14ac:dyDescent="0.25">
      <c r="A5" s="5">
        <v>1</v>
      </c>
      <c r="B5" s="6" t="s">
        <v>65</v>
      </c>
      <c r="C5" s="7">
        <f>[12]krnmei!$R$229</f>
        <v>1200000</v>
      </c>
      <c r="D5" s="5">
        <v>28</v>
      </c>
      <c r="E5" s="6" t="s">
        <v>5</v>
      </c>
      <c r="F5" s="7">
        <f>[12]krnmei!$R$756</f>
        <v>317250</v>
      </c>
    </row>
    <row r="6" spans="1:6" x14ac:dyDescent="0.25">
      <c r="A6" s="5">
        <v>2</v>
      </c>
      <c r="B6" s="6" t="s">
        <v>48</v>
      </c>
      <c r="C6" s="7">
        <f>[12]krnmei!$R$246</f>
        <v>2095500</v>
      </c>
      <c r="D6" s="5">
        <v>29</v>
      </c>
      <c r="E6" s="6" t="s">
        <v>7</v>
      </c>
      <c r="F6" s="7">
        <f>[12]krnmei!$R$790</f>
        <v>665250</v>
      </c>
    </row>
    <row r="7" spans="1:6" x14ac:dyDescent="0.25">
      <c r="A7" s="5">
        <v>3</v>
      </c>
      <c r="B7" s="6" t="s">
        <v>41</v>
      </c>
      <c r="C7" s="7">
        <f>[12]krnmei!$R$280</f>
        <v>1407500</v>
      </c>
      <c r="D7" s="5">
        <v>30</v>
      </c>
      <c r="E7" s="6" t="s">
        <v>9</v>
      </c>
      <c r="F7" s="8">
        <f>[12]krnmei!$R$824</f>
        <v>507500</v>
      </c>
    </row>
    <row r="8" spans="1:6" x14ac:dyDescent="0.25">
      <c r="A8" s="5">
        <v>4</v>
      </c>
      <c r="B8" s="6" t="s">
        <v>42</v>
      </c>
      <c r="C8" s="7">
        <f>[12]krnmei!$R$297</f>
        <v>1800000</v>
      </c>
      <c r="D8" s="5">
        <v>31</v>
      </c>
      <c r="E8" s="6" t="s">
        <v>10</v>
      </c>
      <c r="F8" s="7">
        <f>[12]krnmei!$R$858</f>
        <v>435000</v>
      </c>
    </row>
    <row r="9" spans="1:6" x14ac:dyDescent="0.25">
      <c r="A9" s="5">
        <v>5</v>
      </c>
      <c r="B9" s="6" t="s">
        <v>43</v>
      </c>
      <c r="C9" s="9">
        <f>[12]krnmei!$R$314</f>
        <v>600000</v>
      </c>
      <c r="D9" s="5">
        <v>32</v>
      </c>
      <c r="E9" s="6" t="s">
        <v>14</v>
      </c>
      <c r="F9" s="7">
        <f>[12]krnmei!$R$926</f>
        <v>100000</v>
      </c>
    </row>
    <row r="10" spans="1:6" x14ac:dyDescent="0.25">
      <c r="A10" s="5">
        <v>6</v>
      </c>
      <c r="B10" s="6" t="s">
        <v>15</v>
      </c>
      <c r="C10" s="7">
        <f>[12]krnmei!$R$331</f>
        <v>837500</v>
      </c>
      <c r="D10" s="5">
        <v>33</v>
      </c>
      <c r="E10" s="6" t="s">
        <v>16</v>
      </c>
      <c r="F10" s="7">
        <f>[12]krnmei!$R$977</f>
        <v>796000</v>
      </c>
    </row>
    <row r="11" spans="1:6" x14ac:dyDescent="0.25">
      <c r="A11" s="5">
        <v>7</v>
      </c>
      <c r="B11" s="6" t="s">
        <v>44</v>
      </c>
      <c r="C11" s="7">
        <f>[12]krnmei!$R$365</f>
        <v>2442500</v>
      </c>
      <c r="D11" s="5">
        <v>34</v>
      </c>
      <c r="E11" s="6" t="s">
        <v>23</v>
      </c>
      <c r="F11" s="7">
        <f>[12]krnmei!$R$1028</f>
        <v>270500</v>
      </c>
    </row>
    <row r="12" spans="1:6" x14ac:dyDescent="0.25">
      <c r="A12" s="5">
        <v>8</v>
      </c>
      <c r="B12" s="6" t="s">
        <v>37</v>
      </c>
      <c r="C12" s="7">
        <f>[12]krnmei!$R$382</f>
        <v>1161300</v>
      </c>
      <c r="D12" s="5">
        <v>35</v>
      </c>
      <c r="E12" s="6" t="s">
        <v>21</v>
      </c>
      <c r="F12" s="7">
        <f>[12]krnmei!$R$1045</f>
        <v>612500</v>
      </c>
    </row>
    <row r="13" spans="1:6" x14ac:dyDescent="0.25">
      <c r="A13" s="5">
        <v>9</v>
      </c>
      <c r="B13" s="6" t="s">
        <v>36</v>
      </c>
      <c r="C13" s="7">
        <f>[12]krnmei!$R$399</f>
        <v>2535000</v>
      </c>
      <c r="D13" s="5">
        <v>36</v>
      </c>
      <c r="E13" s="6" t="s">
        <v>28</v>
      </c>
      <c r="F13" s="7">
        <f>[12]krnmei!$R$1130</f>
        <v>928375</v>
      </c>
    </row>
    <row r="14" spans="1:6" x14ac:dyDescent="0.25">
      <c r="A14" s="5">
        <v>10</v>
      </c>
      <c r="B14" s="6" t="s">
        <v>38</v>
      </c>
      <c r="C14" s="7">
        <f>[12]krnmei!$R$450</f>
        <v>1355000</v>
      </c>
      <c r="D14" s="5">
        <v>37</v>
      </c>
      <c r="E14" s="10" t="s">
        <v>29</v>
      </c>
      <c r="F14" s="7">
        <f>[12]krnmei!$R$501</f>
        <v>828565</v>
      </c>
    </row>
    <row r="15" spans="1:6" x14ac:dyDescent="0.25">
      <c r="A15" s="5">
        <v>11</v>
      </c>
      <c r="B15" s="6" t="s">
        <v>39</v>
      </c>
      <c r="C15" s="7">
        <f>[12]krnmei!$R$518</f>
        <v>908000</v>
      </c>
      <c r="D15" s="5">
        <v>38</v>
      </c>
      <c r="E15" s="11" t="s">
        <v>30</v>
      </c>
      <c r="F15" s="7">
        <f>[12]krnmei!$R$994</f>
        <v>2042500</v>
      </c>
    </row>
    <row r="16" spans="1:6" x14ac:dyDescent="0.25">
      <c r="A16" s="5">
        <v>12</v>
      </c>
      <c r="B16" s="6" t="s">
        <v>18</v>
      </c>
      <c r="C16" s="7">
        <f>[12]krnmei!$R$552</f>
        <v>1230000</v>
      </c>
      <c r="D16" s="5">
        <v>39</v>
      </c>
      <c r="E16" s="10" t="s">
        <v>33</v>
      </c>
      <c r="F16" s="7">
        <f>[12]krnmei!$R$1181</f>
        <v>250000</v>
      </c>
    </row>
    <row r="17" spans="1:6" x14ac:dyDescent="0.25">
      <c r="A17" s="5">
        <v>13</v>
      </c>
      <c r="B17" s="6" t="s">
        <v>20</v>
      </c>
      <c r="C17" s="7">
        <f>[12]krnmei!$R$586</f>
        <v>125000</v>
      </c>
      <c r="D17" s="5">
        <v>40</v>
      </c>
      <c r="E17" s="11" t="s">
        <v>69</v>
      </c>
      <c r="F17" s="7">
        <f>[12]krnmei!$R$1198</f>
        <v>360000</v>
      </c>
    </row>
    <row r="18" spans="1:6" x14ac:dyDescent="0.25">
      <c r="A18" s="5">
        <v>14</v>
      </c>
      <c r="B18" s="6" t="s">
        <v>26</v>
      </c>
      <c r="C18" s="7">
        <f>[12]krnmei!$R$1062</f>
        <v>951500</v>
      </c>
      <c r="D18" s="5">
        <v>41</v>
      </c>
      <c r="E18" s="10" t="s">
        <v>56</v>
      </c>
      <c r="F18" s="7">
        <f>[12]krnmei!$R$1232</f>
        <v>502750</v>
      </c>
    </row>
    <row r="19" spans="1:6" x14ac:dyDescent="0.25">
      <c r="A19" s="5">
        <v>15</v>
      </c>
      <c r="B19" s="6" t="s">
        <v>24</v>
      </c>
      <c r="C19" s="7">
        <f>[12]krnmei!$R$1096</f>
        <v>475000</v>
      </c>
      <c r="D19" s="5">
        <v>42</v>
      </c>
      <c r="E19" s="10" t="s">
        <v>59</v>
      </c>
      <c r="F19" s="7">
        <f>[12]krnmei!$R$1283</f>
        <v>150000</v>
      </c>
    </row>
    <row r="20" spans="1:6" x14ac:dyDescent="0.25">
      <c r="A20" s="5">
        <v>16</v>
      </c>
      <c r="B20" s="12" t="s">
        <v>25</v>
      </c>
      <c r="C20" s="7">
        <f>[12]krnmei!$R$1113</f>
        <v>1650000</v>
      </c>
      <c r="D20" s="5">
        <v>43</v>
      </c>
      <c r="E20" s="20" t="s">
        <v>61</v>
      </c>
      <c r="F20" s="7">
        <f>[12]krnmei!$R$1317</f>
        <v>100000</v>
      </c>
    </row>
    <row r="21" spans="1:6" x14ac:dyDescent="0.25">
      <c r="A21" s="5">
        <v>17</v>
      </c>
      <c r="B21" s="6" t="s">
        <v>50</v>
      </c>
      <c r="C21" s="7">
        <f>[12]krnmei!$R$1164</f>
        <v>731500</v>
      </c>
      <c r="D21" s="5">
        <v>44</v>
      </c>
      <c r="E21" s="20" t="s">
        <v>62</v>
      </c>
      <c r="F21" s="7">
        <f>[12]krnmei!$R$1317</f>
        <v>100000</v>
      </c>
    </row>
    <row r="22" spans="1:6" x14ac:dyDescent="0.25">
      <c r="A22" s="5">
        <v>18</v>
      </c>
      <c r="B22" s="6" t="s">
        <v>51</v>
      </c>
      <c r="C22" s="7">
        <v>900000</v>
      </c>
      <c r="D22" s="5">
        <v>45</v>
      </c>
      <c r="E22" s="20" t="s">
        <v>63</v>
      </c>
      <c r="F22" s="7">
        <f>[12]krnmei!$R$1317</f>
        <v>100000</v>
      </c>
    </row>
    <row r="23" spans="1:6" x14ac:dyDescent="0.25">
      <c r="A23" s="5">
        <v>19</v>
      </c>
      <c r="B23" s="6" t="s">
        <v>12</v>
      </c>
      <c r="C23" s="7">
        <v>270000</v>
      </c>
      <c r="D23" s="5">
        <v>46</v>
      </c>
      <c r="E23" s="10" t="s">
        <v>64</v>
      </c>
      <c r="F23" s="7">
        <f>[12]krnmei!$R$1317</f>
        <v>100000</v>
      </c>
    </row>
    <row r="24" spans="1:6" x14ac:dyDescent="0.25">
      <c r="A24" s="5">
        <v>20</v>
      </c>
      <c r="B24" s="14" t="s">
        <v>52</v>
      </c>
      <c r="C24" s="7">
        <v>363750</v>
      </c>
      <c r="D24" s="5">
        <v>47</v>
      </c>
      <c r="E24" s="6" t="s">
        <v>66</v>
      </c>
      <c r="F24" s="7">
        <f>[12]krnmei!$R$1385</f>
        <v>220000</v>
      </c>
    </row>
    <row r="25" spans="1:6" x14ac:dyDescent="0.25">
      <c r="A25" s="5">
        <v>21</v>
      </c>
      <c r="B25" s="16" t="s">
        <v>34</v>
      </c>
      <c r="C25" s="7">
        <v>1470000</v>
      </c>
      <c r="D25" s="5">
        <v>48</v>
      </c>
      <c r="E25" s="10" t="s">
        <v>67</v>
      </c>
      <c r="F25" s="7">
        <f>[12]krnmei!$R$1402</f>
        <v>1220000</v>
      </c>
    </row>
    <row r="26" spans="1:6" x14ac:dyDescent="0.25">
      <c r="A26" s="5">
        <v>22</v>
      </c>
      <c r="B26" s="14" t="s">
        <v>13</v>
      </c>
      <c r="C26" s="7">
        <v>1078000</v>
      </c>
      <c r="D26" s="5">
        <v>49</v>
      </c>
      <c r="E26" s="10" t="s">
        <v>68</v>
      </c>
      <c r="F26" s="7">
        <f>[12]krnmei!$R$1419</f>
        <v>50000</v>
      </c>
    </row>
    <row r="27" spans="1:6" x14ac:dyDescent="0.25">
      <c r="A27" s="5">
        <v>23</v>
      </c>
      <c r="B27" s="14" t="s">
        <v>57</v>
      </c>
      <c r="C27" s="7">
        <f>[12]krnmei!$R$1249</f>
        <v>300000</v>
      </c>
      <c r="D27" s="5">
        <v>50</v>
      </c>
      <c r="E27" s="6" t="s">
        <v>72</v>
      </c>
      <c r="F27" s="7">
        <f>[12]krnmei!$R$1079</f>
        <v>100000</v>
      </c>
    </row>
    <row r="28" spans="1:6" x14ac:dyDescent="0.25">
      <c r="A28" s="5">
        <v>24</v>
      </c>
      <c r="B28" s="25" t="s">
        <v>96</v>
      </c>
      <c r="C28" s="7">
        <f>[12]krnmei!$R$1266</f>
        <v>350000</v>
      </c>
      <c r="D28" s="5">
        <v>51</v>
      </c>
      <c r="E28" s="6" t="s">
        <v>95</v>
      </c>
      <c r="F28" s="7">
        <f>[12]krnmei!$G$8</f>
        <v>125000</v>
      </c>
    </row>
    <row r="29" spans="1:6" x14ac:dyDescent="0.25">
      <c r="A29" s="5">
        <v>25</v>
      </c>
      <c r="B29" s="25" t="s">
        <v>60</v>
      </c>
      <c r="C29" s="7">
        <f>[12]krnmei!$R$1300</f>
        <v>300000</v>
      </c>
      <c r="D29" s="5"/>
      <c r="E29" s="10"/>
      <c r="F29" s="7"/>
    </row>
    <row r="30" spans="1:6" x14ac:dyDescent="0.25">
      <c r="A30" s="5">
        <v>26</v>
      </c>
      <c r="B30" s="14" t="s">
        <v>3</v>
      </c>
      <c r="C30" s="7">
        <v>1822500</v>
      </c>
      <c r="D30" s="5"/>
      <c r="E30" s="10"/>
      <c r="F30" s="7"/>
    </row>
    <row r="31" spans="1:6" x14ac:dyDescent="0.25">
      <c r="A31" s="5">
        <v>27</v>
      </c>
      <c r="B31" s="6" t="s">
        <v>4</v>
      </c>
      <c r="C31" s="7">
        <v>528750</v>
      </c>
      <c r="D31" s="5"/>
      <c r="E31" s="6"/>
      <c r="F31" s="7"/>
    </row>
    <row r="32" spans="1:6" x14ac:dyDescent="0.25">
      <c r="A32" s="5"/>
      <c r="B32" s="6"/>
      <c r="C32" s="7"/>
      <c r="D32" s="5"/>
      <c r="E32" s="10"/>
      <c r="F32" s="7"/>
    </row>
    <row r="33" spans="1:6" x14ac:dyDescent="0.25">
      <c r="A33" s="5"/>
      <c r="B33" s="16"/>
      <c r="C33" s="7"/>
      <c r="D33" s="5"/>
      <c r="E33" s="10"/>
      <c r="F33" s="13"/>
    </row>
    <row r="34" spans="1:6" x14ac:dyDescent="0.25">
      <c r="A34" s="5"/>
      <c r="B34" s="25"/>
      <c r="C34" s="7"/>
      <c r="D34" s="5"/>
      <c r="E34" s="17"/>
      <c r="F34" s="17"/>
    </row>
    <row r="35" spans="1:6" x14ac:dyDescent="0.25">
      <c r="A35" s="27" t="s">
        <v>2</v>
      </c>
      <c r="B35" s="28"/>
      <c r="C35" s="18">
        <f>SUM(C5:C34)</f>
        <v>28888300</v>
      </c>
      <c r="D35" s="27" t="s">
        <v>2</v>
      </c>
      <c r="E35" s="28"/>
      <c r="F35" s="19">
        <f>SUM(F5:F34)</f>
        <v>10881190</v>
      </c>
    </row>
    <row r="36" spans="1:6" x14ac:dyDescent="0.25">
      <c r="A36" s="21"/>
      <c r="B36" s="21"/>
      <c r="C36" s="23"/>
      <c r="D36" s="21"/>
      <c r="E36" s="21"/>
      <c r="F36" s="24"/>
    </row>
    <row r="37" spans="1:6" x14ac:dyDescent="0.25">
      <c r="A37" s="21"/>
      <c r="B37" s="21"/>
      <c r="C37" s="23"/>
      <c r="D37" s="21"/>
      <c r="E37" s="21"/>
      <c r="F37" s="24"/>
    </row>
    <row r="38" spans="1:6" ht="15.75" x14ac:dyDescent="0.25">
      <c r="E38" s="22" t="s">
        <v>94</v>
      </c>
    </row>
    <row r="39" spans="1:6" ht="15.75" x14ac:dyDescent="0.25">
      <c r="E39" s="22" t="s">
        <v>31</v>
      </c>
    </row>
    <row r="40" spans="1:6" ht="15.75" x14ac:dyDescent="0.25">
      <c r="E40" s="22"/>
    </row>
    <row r="41" spans="1:6" ht="15.75" x14ac:dyDescent="0.25">
      <c r="E41" s="22"/>
    </row>
    <row r="42" spans="1:6" ht="15.75" x14ac:dyDescent="0.25">
      <c r="E42" s="22" t="s">
        <v>32</v>
      </c>
    </row>
  </sheetData>
  <mergeCells count="4">
    <mergeCell ref="A1:F1"/>
    <mergeCell ref="A2:F2"/>
    <mergeCell ref="A35:B35"/>
    <mergeCell ref="D35:E35"/>
  </mergeCells>
  <pageMargins left="0.70866141732283472" right="0.31496062992125984" top="0.94488188976377963" bottom="1.3779527559055118" header="0.31496062992125984" footer="0.31496062992125984"/>
  <pageSetup paperSize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5EB1-1D85-4DA2-A3F1-CFF4D49F613F}">
  <dimension ref="A1:F42"/>
  <sheetViews>
    <sheetView workbookViewId="0">
      <selection activeCell="F25" sqref="F25"/>
    </sheetView>
  </sheetViews>
  <sheetFormatPr defaultRowHeight="15" x14ac:dyDescent="0.25"/>
  <cols>
    <col min="1" max="1" width="6.42578125" customWidth="1"/>
    <col min="2" max="2" width="26.5703125" customWidth="1"/>
    <col min="3" max="3" width="15.85546875" customWidth="1"/>
    <col min="4" max="4" width="4.42578125" customWidth="1"/>
    <col min="5" max="5" width="24.42578125" customWidth="1"/>
    <col min="6" max="6" width="16.7109375" customWidth="1"/>
  </cols>
  <sheetData>
    <row r="1" spans="1:6" x14ac:dyDescent="0.25">
      <c r="A1" s="26" t="s">
        <v>22</v>
      </c>
      <c r="B1" s="26"/>
      <c r="C1" s="26"/>
      <c r="D1" s="26"/>
      <c r="E1" s="26"/>
      <c r="F1" s="26"/>
    </row>
    <row r="2" spans="1:6" x14ac:dyDescent="0.25">
      <c r="A2" s="26" t="s">
        <v>70</v>
      </c>
      <c r="B2" s="26"/>
      <c r="C2" s="26"/>
      <c r="D2" s="26"/>
      <c r="E2" s="26"/>
      <c r="F2" s="26"/>
    </row>
    <row r="3" spans="1:6" ht="15.75" x14ac:dyDescent="0.25">
      <c r="A3" s="4"/>
      <c r="B3" s="4"/>
      <c r="C3" s="4"/>
      <c r="D3" s="4"/>
      <c r="E3" s="4"/>
      <c r="F3" s="4"/>
    </row>
    <row r="4" spans="1:6" ht="20.25" customHeight="1" x14ac:dyDescent="0.25">
      <c r="A4" s="5" t="s">
        <v>0</v>
      </c>
      <c r="B4" s="5" t="s">
        <v>1</v>
      </c>
      <c r="C4" s="5" t="s">
        <v>2</v>
      </c>
      <c r="D4" s="5" t="s">
        <v>0</v>
      </c>
      <c r="E4" s="5" t="s">
        <v>1</v>
      </c>
      <c r="F4" s="5" t="s">
        <v>2</v>
      </c>
    </row>
    <row r="5" spans="1:6" ht="18.75" customHeight="1" x14ac:dyDescent="0.25">
      <c r="A5" s="5">
        <v>1</v>
      </c>
      <c r="B5" s="6" t="s">
        <v>46</v>
      </c>
      <c r="C5" s="7">
        <f>[6]krnmei!$R$140</f>
        <v>1150000</v>
      </c>
      <c r="D5" s="5">
        <v>30</v>
      </c>
      <c r="E5" s="6" t="s">
        <v>3</v>
      </c>
      <c r="F5" s="7">
        <f>[13]krnmei!$R$688</f>
        <v>325000</v>
      </c>
    </row>
    <row r="6" spans="1:6" ht="18.75" customHeight="1" x14ac:dyDescent="0.25">
      <c r="A6" s="5">
        <v>2</v>
      </c>
      <c r="B6" s="6" t="s">
        <v>65</v>
      </c>
      <c r="C6" s="7">
        <f>[6]krnmei!$R$225</f>
        <v>1000000</v>
      </c>
      <c r="D6" s="5">
        <v>31</v>
      </c>
      <c r="E6" s="6" t="s">
        <v>4</v>
      </c>
      <c r="F6" s="7">
        <f>[14]krnmei!$R$740</f>
        <v>570000</v>
      </c>
    </row>
    <row r="7" spans="1:6" ht="18.75" customHeight="1" x14ac:dyDescent="0.25">
      <c r="A7" s="5">
        <v>3</v>
      </c>
      <c r="B7" s="6" t="s">
        <v>48</v>
      </c>
      <c r="C7" s="7">
        <f>[14]krnmei!$R$247</f>
        <v>1145000</v>
      </c>
      <c r="D7" s="5">
        <v>32</v>
      </c>
      <c r="E7" s="6" t="s">
        <v>5</v>
      </c>
      <c r="F7" s="8">
        <f>[14]krnmei!$R$757</f>
        <v>350250</v>
      </c>
    </row>
    <row r="8" spans="1:6" ht="18.75" customHeight="1" x14ac:dyDescent="0.25">
      <c r="A8" s="5">
        <v>4</v>
      </c>
      <c r="B8" s="6" t="s">
        <v>41</v>
      </c>
      <c r="C8" s="7">
        <f>[14]krnmei!$R$281</f>
        <v>1490000</v>
      </c>
      <c r="D8" s="5">
        <v>33</v>
      </c>
      <c r="E8" s="6" t="s">
        <v>6</v>
      </c>
      <c r="F8" s="7">
        <f>[14]krnmei!$R$774</f>
        <v>682500</v>
      </c>
    </row>
    <row r="9" spans="1:6" ht="18.75" customHeight="1" x14ac:dyDescent="0.25">
      <c r="A9" s="5">
        <v>5</v>
      </c>
      <c r="B9" s="6" t="s">
        <v>42</v>
      </c>
      <c r="C9" s="9">
        <f>[6]krnmei!$R$293</f>
        <v>1800000</v>
      </c>
      <c r="D9" s="5">
        <v>34</v>
      </c>
      <c r="E9" s="6" t="s">
        <v>7</v>
      </c>
      <c r="F9" s="7">
        <f>[14]krnmei!$R$791</f>
        <v>-405250</v>
      </c>
    </row>
    <row r="10" spans="1:6" ht="18.75" customHeight="1" x14ac:dyDescent="0.25">
      <c r="A10" s="5">
        <v>6</v>
      </c>
      <c r="B10" s="6" t="s">
        <v>43</v>
      </c>
      <c r="C10" s="7">
        <f>[13]krnmei!$R$314</f>
        <v>420000</v>
      </c>
      <c r="D10" s="5">
        <v>35</v>
      </c>
      <c r="E10" s="6" t="s">
        <v>8</v>
      </c>
      <c r="F10" s="7">
        <f>[14]krnmei!$R$808</f>
        <v>420500</v>
      </c>
    </row>
    <row r="11" spans="1:6" ht="18.75" customHeight="1" x14ac:dyDescent="0.25">
      <c r="A11" s="5">
        <v>7</v>
      </c>
      <c r="B11" s="6" t="s">
        <v>15</v>
      </c>
      <c r="C11" s="7">
        <f>[14]krnmei!$R$332</f>
        <v>848750</v>
      </c>
      <c r="D11" s="5">
        <v>36</v>
      </c>
      <c r="E11" s="6" t="s">
        <v>9</v>
      </c>
      <c r="F11" s="7">
        <f>[14]krnmei!$R$825</f>
        <v>508250</v>
      </c>
    </row>
    <row r="12" spans="1:6" ht="18.75" customHeight="1" x14ac:dyDescent="0.25">
      <c r="A12" s="5">
        <v>8</v>
      </c>
      <c r="B12" s="6" t="s">
        <v>44</v>
      </c>
      <c r="C12" s="7">
        <f>[14]krnmei!$R$366</f>
        <v>1925000</v>
      </c>
      <c r="D12" s="5">
        <v>37</v>
      </c>
      <c r="E12" s="6" t="s">
        <v>10</v>
      </c>
      <c r="F12" s="7">
        <f>[14]krnmei!$R$859</f>
        <v>501000</v>
      </c>
    </row>
    <row r="13" spans="1:6" ht="18.75" customHeight="1" x14ac:dyDescent="0.25">
      <c r="A13" s="5">
        <v>9</v>
      </c>
      <c r="B13" s="6" t="s">
        <v>37</v>
      </c>
      <c r="C13" s="7">
        <f>[14]krnmei!$R$383</f>
        <v>1243800</v>
      </c>
      <c r="D13" s="5">
        <v>38</v>
      </c>
      <c r="E13" s="6" t="s">
        <v>14</v>
      </c>
      <c r="F13" s="7">
        <f>[15]krnmei!$R$924</f>
        <v>100000</v>
      </c>
    </row>
    <row r="14" spans="1:6" ht="18.75" customHeight="1" x14ac:dyDescent="0.25">
      <c r="A14" s="5">
        <v>10</v>
      </c>
      <c r="B14" s="6" t="s">
        <v>36</v>
      </c>
      <c r="C14" s="7">
        <f>[13]krnmei!$R$399</f>
        <v>505000</v>
      </c>
      <c r="D14" s="5">
        <v>39</v>
      </c>
      <c r="E14" s="6" t="s">
        <v>16</v>
      </c>
      <c r="F14" s="7">
        <f>[14]krnmei!$R$978</f>
        <v>329000</v>
      </c>
    </row>
    <row r="15" spans="1:6" ht="18.75" customHeight="1" x14ac:dyDescent="0.25">
      <c r="A15" s="5">
        <v>11</v>
      </c>
      <c r="B15" s="6" t="s">
        <v>38</v>
      </c>
      <c r="C15" s="7">
        <f>[14]krnmei!$R$451</f>
        <v>1437500</v>
      </c>
      <c r="D15" s="5">
        <v>40</v>
      </c>
      <c r="E15" s="6" t="s">
        <v>23</v>
      </c>
      <c r="F15" s="7">
        <f>[14]krnmei!$R$1029</f>
        <v>345000</v>
      </c>
    </row>
    <row r="16" spans="1:6" ht="18.75" customHeight="1" x14ac:dyDescent="0.25">
      <c r="A16" s="5">
        <v>12</v>
      </c>
      <c r="B16" s="6" t="s">
        <v>39</v>
      </c>
      <c r="C16" s="7">
        <f>[14]krnmei!$R$519</f>
        <v>974000</v>
      </c>
      <c r="D16" s="5">
        <v>41</v>
      </c>
      <c r="E16" s="6" t="s">
        <v>21</v>
      </c>
      <c r="F16" s="7">
        <f>[6]krnmei!$R$1041</f>
        <v>75000</v>
      </c>
    </row>
    <row r="17" spans="1:6" ht="18.75" customHeight="1" x14ac:dyDescent="0.25">
      <c r="A17" s="5">
        <v>13</v>
      </c>
      <c r="B17" s="6" t="s">
        <v>18</v>
      </c>
      <c r="C17" s="7">
        <f>[14]krnmei!$R$553</f>
        <v>1312500</v>
      </c>
      <c r="D17" s="5">
        <v>42</v>
      </c>
      <c r="E17" s="6" t="s">
        <v>28</v>
      </c>
      <c r="F17" s="7">
        <f>[14]krnmei!$R$1131</f>
        <v>977500</v>
      </c>
    </row>
    <row r="18" spans="1:6" ht="18.75" customHeight="1" x14ac:dyDescent="0.25">
      <c r="A18" s="5">
        <v>14</v>
      </c>
      <c r="B18" s="6" t="s">
        <v>19</v>
      </c>
      <c r="C18" s="7">
        <f>[14]krnmei!$R$570</f>
        <v>-61445000</v>
      </c>
      <c r="D18" s="5">
        <v>43</v>
      </c>
      <c r="E18" s="10" t="s">
        <v>29</v>
      </c>
      <c r="F18" s="7">
        <f>[14]krnmei!$R$502</f>
        <v>853315</v>
      </c>
    </row>
    <row r="19" spans="1:6" ht="18.75" customHeight="1" x14ac:dyDescent="0.25">
      <c r="A19" s="5">
        <v>15</v>
      </c>
      <c r="B19" s="6" t="s">
        <v>20</v>
      </c>
      <c r="C19" s="7">
        <f>[6]krnmei!$R$582</f>
        <v>125000</v>
      </c>
      <c r="D19" s="5">
        <v>44</v>
      </c>
      <c r="E19" s="11" t="s">
        <v>30</v>
      </c>
      <c r="F19" s="7">
        <f>[14]krnmei!$R$995</f>
        <v>2065000</v>
      </c>
    </row>
    <row r="20" spans="1:6" ht="18.75" customHeight="1" x14ac:dyDescent="0.25">
      <c r="A20" s="5">
        <v>16</v>
      </c>
      <c r="B20" s="6" t="s">
        <v>26</v>
      </c>
      <c r="C20" s="7">
        <f>[14]krnmei!$R$1063</f>
        <v>847000</v>
      </c>
      <c r="D20" s="5">
        <v>45</v>
      </c>
      <c r="E20" s="10" t="s">
        <v>33</v>
      </c>
      <c r="F20" s="7">
        <f>[6]krnmei!$R$1177</f>
        <v>250000</v>
      </c>
    </row>
    <row r="21" spans="1:6" ht="18.75" customHeight="1" x14ac:dyDescent="0.25">
      <c r="A21" s="5">
        <v>17</v>
      </c>
      <c r="B21" s="12" t="s">
        <v>24</v>
      </c>
      <c r="C21" s="7">
        <f>[14]krnmei!$R$1097</f>
        <v>475000</v>
      </c>
      <c r="D21" s="5">
        <v>46</v>
      </c>
      <c r="E21" s="11" t="s">
        <v>69</v>
      </c>
      <c r="F21" s="7">
        <f>[13]krnmei!$R$1198</f>
        <v>200000</v>
      </c>
    </row>
    <row r="22" spans="1:6" ht="18.75" customHeight="1" x14ac:dyDescent="0.25">
      <c r="A22" s="5">
        <v>18</v>
      </c>
      <c r="B22" s="6" t="s">
        <v>25</v>
      </c>
      <c r="C22" s="7">
        <f>[14]krnmei!$R$1114</f>
        <v>275000</v>
      </c>
      <c r="D22" s="5">
        <v>47</v>
      </c>
      <c r="E22" s="10" t="s">
        <v>55</v>
      </c>
      <c r="F22" s="7">
        <f>[6]krnmei!$R$1211</f>
        <v>100000</v>
      </c>
    </row>
    <row r="23" spans="1:6" ht="18.75" customHeight="1" x14ac:dyDescent="0.25">
      <c r="A23" s="5">
        <v>19</v>
      </c>
      <c r="B23" s="6" t="s">
        <v>40</v>
      </c>
      <c r="C23" s="7">
        <f>[14]krnmei!$R$1148</f>
        <v>1117500</v>
      </c>
      <c r="D23" s="5">
        <v>48</v>
      </c>
      <c r="E23" s="10" t="s">
        <v>56</v>
      </c>
      <c r="F23" s="7">
        <f>[14]krnmei!$R$1233</f>
        <v>299750</v>
      </c>
    </row>
    <row r="24" spans="1:6" ht="18.75" customHeight="1" x14ac:dyDescent="0.25">
      <c r="A24" s="5">
        <v>20</v>
      </c>
      <c r="B24" s="6" t="s">
        <v>50</v>
      </c>
      <c r="C24" s="7">
        <f>[13]krnmei!$R$1164</f>
        <v>360000</v>
      </c>
      <c r="D24" s="5">
        <v>49</v>
      </c>
      <c r="E24" s="20" t="s">
        <v>59</v>
      </c>
      <c r="F24" s="7">
        <f>[14]krnmei!$R$1284</f>
        <v>-2350000</v>
      </c>
    </row>
    <row r="25" spans="1:6" ht="18.75" customHeight="1" x14ac:dyDescent="0.25">
      <c r="A25" s="5">
        <v>21</v>
      </c>
      <c r="B25" s="14" t="s">
        <v>51</v>
      </c>
      <c r="C25" s="7">
        <f>[15]krnmei!$R$652</f>
        <v>-700000</v>
      </c>
      <c r="D25" s="5">
        <v>50</v>
      </c>
      <c r="E25" s="20" t="s">
        <v>61</v>
      </c>
      <c r="F25" s="7">
        <f>[15]krnmei!$R$1315</f>
        <v>100000</v>
      </c>
    </row>
    <row r="26" spans="1:6" ht="18.75" customHeight="1" x14ac:dyDescent="0.25">
      <c r="A26" s="5">
        <v>22</v>
      </c>
      <c r="B26" s="16" t="s">
        <v>12</v>
      </c>
      <c r="C26" s="7">
        <f>[14]krnmei!$R$893</f>
        <v>18480000</v>
      </c>
      <c r="D26" s="5">
        <v>51</v>
      </c>
      <c r="E26" s="20" t="s">
        <v>62</v>
      </c>
      <c r="F26" s="7">
        <f>[15]krnmei!$R$1315</f>
        <v>100000</v>
      </c>
    </row>
    <row r="27" spans="1:6" ht="18.75" customHeight="1" x14ac:dyDescent="0.25">
      <c r="A27" s="5">
        <v>23</v>
      </c>
      <c r="B27" s="14" t="s">
        <v>52</v>
      </c>
      <c r="C27" s="7">
        <f>[14]krnmei!$R$1012</f>
        <v>382500</v>
      </c>
      <c r="D27" s="5">
        <v>52</v>
      </c>
      <c r="E27" s="10" t="s">
        <v>63</v>
      </c>
      <c r="F27" s="7">
        <f>[15]krnmei!$R$1315</f>
        <v>100000</v>
      </c>
    </row>
    <row r="28" spans="1:6" ht="18.75" customHeight="1" x14ac:dyDescent="0.25">
      <c r="A28" s="5">
        <v>24</v>
      </c>
      <c r="B28" s="14" t="s">
        <v>34</v>
      </c>
      <c r="C28" s="7">
        <f>[6]krnmei!$R$21</f>
        <v>200000</v>
      </c>
      <c r="D28" s="5">
        <v>53</v>
      </c>
      <c r="E28" s="6" t="s">
        <v>64</v>
      </c>
      <c r="F28" s="7">
        <f>[15]krnmei!$R$1315</f>
        <v>100000</v>
      </c>
    </row>
    <row r="29" spans="1:6" ht="18.75" customHeight="1" x14ac:dyDescent="0.25">
      <c r="A29" s="5">
        <v>25</v>
      </c>
      <c r="B29" s="25" t="s">
        <v>13</v>
      </c>
      <c r="C29" s="7">
        <f>[14]krnmei!$R$910</f>
        <v>1177000</v>
      </c>
      <c r="D29" s="5">
        <v>54</v>
      </c>
      <c r="E29" s="10" t="s">
        <v>66</v>
      </c>
      <c r="F29" s="7">
        <v>100000</v>
      </c>
    </row>
    <row r="30" spans="1:6" ht="18.75" customHeight="1" x14ac:dyDescent="0.25">
      <c r="A30" s="5">
        <v>26</v>
      </c>
      <c r="B30" s="25" t="s">
        <v>57</v>
      </c>
      <c r="C30" s="7">
        <v>300000</v>
      </c>
      <c r="D30" s="5">
        <v>55</v>
      </c>
      <c r="E30" s="10" t="s">
        <v>67</v>
      </c>
      <c r="F30" s="7">
        <v>175000</v>
      </c>
    </row>
    <row r="31" spans="1:6" ht="18.75" customHeight="1" x14ac:dyDescent="0.25">
      <c r="A31" s="5">
        <v>27</v>
      </c>
      <c r="B31" s="14" t="s">
        <v>58</v>
      </c>
      <c r="C31" s="7">
        <v>350000</v>
      </c>
      <c r="D31" s="5">
        <v>56</v>
      </c>
      <c r="E31" s="6" t="s">
        <v>68</v>
      </c>
      <c r="F31" s="7">
        <v>50000</v>
      </c>
    </row>
    <row r="32" spans="1:6" ht="18.75" customHeight="1" x14ac:dyDescent="0.25">
      <c r="A32" s="5">
        <v>28</v>
      </c>
      <c r="B32" s="14" t="s">
        <v>60</v>
      </c>
      <c r="C32" s="7">
        <v>300000</v>
      </c>
      <c r="D32" s="5">
        <v>57</v>
      </c>
      <c r="E32" s="10" t="s">
        <v>72</v>
      </c>
      <c r="F32" s="7">
        <v>100000</v>
      </c>
    </row>
    <row r="33" spans="1:6" x14ac:dyDescent="0.25">
      <c r="A33" s="5"/>
      <c r="B33" s="16"/>
      <c r="C33" s="7"/>
      <c r="D33" s="5"/>
      <c r="E33" s="10"/>
      <c r="F33" s="13"/>
    </row>
    <row r="34" spans="1:6" x14ac:dyDescent="0.25">
      <c r="A34" s="5"/>
      <c r="B34" s="25"/>
      <c r="C34" s="7"/>
      <c r="D34" s="5"/>
      <c r="E34" s="17"/>
      <c r="F34" s="17"/>
    </row>
    <row r="35" spans="1:6" ht="23.25" customHeight="1" x14ac:dyDescent="0.25">
      <c r="A35" s="27" t="s">
        <v>2</v>
      </c>
      <c r="B35" s="28"/>
      <c r="C35" s="18">
        <f>SUM(C5:C34)</f>
        <v>-22504450</v>
      </c>
      <c r="D35" s="27" t="s">
        <v>2</v>
      </c>
      <c r="E35" s="28"/>
      <c r="F35" s="19">
        <f>SUM(F5:F34)</f>
        <v>7021815</v>
      </c>
    </row>
    <row r="36" spans="1:6" x14ac:dyDescent="0.25">
      <c r="A36" s="21"/>
      <c r="B36" s="21"/>
      <c r="C36" s="23"/>
      <c r="D36" s="21"/>
      <c r="E36" s="21"/>
      <c r="F36" s="24"/>
    </row>
    <row r="37" spans="1:6" x14ac:dyDescent="0.25">
      <c r="A37" s="21"/>
      <c r="B37" s="21"/>
      <c r="C37" s="23"/>
      <c r="D37" s="21"/>
      <c r="E37" s="21"/>
      <c r="F37" s="24"/>
    </row>
    <row r="38" spans="1:6" ht="15.75" x14ac:dyDescent="0.25">
      <c r="E38" s="22" t="s">
        <v>71</v>
      </c>
    </row>
    <row r="39" spans="1:6" ht="15.75" x14ac:dyDescent="0.25">
      <c r="E39" s="22" t="s">
        <v>31</v>
      </c>
    </row>
    <row r="40" spans="1:6" ht="15.75" x14ac:dyDescent="0.25">
      <c r="E40" s="22"/>
    </row>
    <row r="41" spans="1:6" ht="15.75" x14ac:dyDescent="0.25">
      <c r="E41" s="22"/>
    </row>
    <row r="42" spans="1:6" ht="15.75" x14ac:dyDescent="0.25">
      <c r="E42" s="22" t="s">
        <v>32</v>
      </c>
    </row>
  </sheetData>
  <mergeCells count="4">
    <mergeCell ref="A1:F1"/>
    <mergeCell ref="A2:F2"/>
    <mergeCell ref="A35:B35"/>
    <mergeCell ref="D35:E35"/>
  </mergeCells>
  <pageMargins left="0.70866141732283472" right="0.31496062992125984" top="0.94488188976377963" bottom="1.3385826771653544" header="0.31496062992125984" footer="0.31496062992125984"/>
  <pageSetup paperSize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A9F0-BB6F-4054-9FF8-C1D6168A211A}">
  <dimension ref="A1:F42"/>
  <sheetViews>
    <sheetView workbookViewId="0">
      <selection activeCell="H13" sqref="H13"/>
    </sheetView>
  </sheetViews>
  <sheetFormatPr defaultRowHeight="15" x14ac:dyDescent="0.25"/>
  <cols>
    <col min="1" max="1" width="6.42578125" customWidth="1"/>
    <col min="2" max="2" width="26.5703125" customWidth="1"/>
    <col min="3" max="3" width="15.85546875" customWidth="1"/>
    <col min="4" max="4" width="4.42578125" customWidth="1"/>
    <col min="5" max="5" width="24.42578125" customWidth="1"/>
    <col min="6" max="6" width="16.7109375" customWidth="1"/>
  </cols>
  <sheetData>
    <row r="1" spans="1:6" x14ac:dyDescent="0.25">
      <c r="A1" s="26" t="s">
        <v>22</v>
      </c>
      <c r="B1" s="26"/>
      <c r="C1" s="26"/>
      <c r="D1" s="26"/>
      <c r="E1" s="26"/>
      <c r="F1" s="26"/>
    </row>
    <row r="2" spans="1:6" x14ac:dyDescent="0.25">
      <c r="A2" s="26" t="s">
        <v>73</v>
      </c>
      <c r="B2" s="26"/>
      <c r="C2" s="26"/>
      <c r="D2" s="26"/>
      <c r="E2" s="26"/>
      <c r="F2" s="26"/>
    </row>
    <row r="3" spans="1:6" ht="15.75" x14ac:dyDescent="0.25">
      <c r="A3" s="4"/>
      <c r="B3" s="4"/>
      <c r="C3" s="4"/>
      <c r="D3" s="4"/>
      <c r="E3" s="4"/>
      <c r="F3" s="4"/>
    </row>
    <row r="4" spans="1:6" x14ac:dyDescent="0.25">
      <c r="A4" s="5" t="s">
        <v>0</v>
      </c>
      <c r="B4" s="5" t="s">
        <v>1</v>
      </c>
      <c r="C4" s="5" t="s">
        <v>2</v>
      </c>
      <c r="D4" s="5" t="s">
        <v>0</v>
      </c>
      <c r="E4" s="5" t="s">
        <v>1</v>
      </c>
      <c r="F4" s="5" t="s">
        <v>2</v>
      </c>
    </row>
    <row r="5" spans="1:6" x14ac:dyDescent="0.25">
      <c r="A5" s="5">
        <v>1</v>
      </c>
      <c r="B5" s="6" t="s">
        <v>46</v>
      </c>
      <c r="C5" s="7">
        <f>[6]krnmei!$R$140</f>
        <v>1150000</v>
      </c>
      <c r="D5" s="5">
        <v>30</v>
      </c>
      <c r="E5" s="6" t="s">
        <v>3</v>
      </c>
      <c r="F5" s="7">
        <f>[13]krnmei!$R$688</f>
        <v>325000</v>
      </c>
    </row>
    <row r="6" spans="1:6" x14ac:dyDescent="0.25">
      <c r="A6" s="5">
        <v>2</v>
      </c>
      <c r="B6" s="6" t="s">
        <v>65</v>
      </c>
      <c r="C6" s="7">
        <f>[6]krnmei!$R$225</f>
        <v>1000000</v>
      </c>
      <c r="D6" s="5">
        <v>31</v>
      </c>
      <c r="E6" s="6" t="s">
        <v>4</v>
      </c>
      <c r="F6" s="7">
        <f>[16]krnmei!$R$741</f>
        <v>566250</v>
      </c>
    </row>
    <row r="7" spans="1:6" x14ac:dyDescent="0.25">
      <c r="A7" s="5">
        <v>3</v>
      </c>
      <c r="B7" s="6" t="s">
        <v>48</v>
      </c>
      <c r="C7" s="7">
        <f>[16]krnmei!$R$248</f>
        <v>1137500</v>
      </c>
      <c r="D7" s="5">
        <v>32</v>
      </c>
      <c r="E7" s="6" t="s">
        <v>5</v>
      </c>
      <c r="F7" s="8">
        <f>[16]krnmei!$R$758</f>
        <v>347250</v>
      </c>
    </row>
    <row r="8" spans="1:6" x14ac:dyDescent="0.25">
      <c r="A8" s="5">
        <v>4</v>
      </c>
      <c r="B8" s="6" t="s">
        <v>41</v>
      </c>
      <c r="C8" s="7">
        <f>[16]krnmei!$R$282</f>
        <v>482500</v>
      </c>
      <c r="D8" s="5">
        <v>33</v>
      </c>
      <c r="E8" s="6" t="s">
        <v>6</v>
      </c>
      <c r="F8" s="7">
        <f>[16]krnmei!$R$775</f>
        <v>675000</v>
      </c>
    </row>
    <row r="9" spans="1:6" x14ac:dyDescent="0.25">
      <c r="A9" s="5">
        <v>5</v>
      </c>
      <c r="B9" s="6" t="s">
        <v>42</v>
      </c>
      <c r="C9" s="9">
        <f>[6]krnmei!$R$293</f>
        <v>1800000</v>
      </c>
      <c r="D9" s="5">
        <v>34</v>
      </c>
      <c r="E9" s="6" t="s">
        <v>7</v>
      </c>
      <c r="F9" s="7">
        <f>[16]krnmei!$R$792</f>
        <v>665250</v>
      </c>
    </row>
    <row r="10" spans="1:6" x14ac:dyDescent="0.25">
      <c r="A10" s="5">
        <v>6</v>
      </c>
      <c r="B10" s="6" t="s">
        <v>43</v>
      </c>
      <c r="C10" s="7">
        <f>[13]krnmei!$R$314</f>
        <v>420000</v>
      </c>
      <c r="D10" s="5">
        <v>35</v>
      </c>
      <c r="E10" s="6" t="s">
        <v>8</v>
      </c>
      <c r="F10" s="7">
        <f>[16]krnmei!$R$809</f>
        <v>416000</v>
      </c>
    </row>
    <row r="11" spans="1:6" x14ac:dyDescent="0.25">
      <c r="A11" s="5">
        <v>7</v>
      </c>
      <c r="B11" s="6" t="s">
        <v>15</v>
      </c>
      <c r="C11" s="7">
        <f>[16]krnmei!$R$333</f>
        <v>845000</v>
      </c>
      <c r="D11" s="5">
        <v>36</v>
      </c>
      <c r="E11" s="6" t="s">
        <v>9</v>
      </c>
      <c r="F11" s="7">
        <f>[16]krnmei!$R$826</f>
        <v>515000</v>
      </c>
    </row>
    <row r="12" spans="1:6" x14ac:dyDescent="0.25">
      <c r="A12" s="5">
        <v>8</v>
      </c>
      <c r="B12" s="6" t="s">
        <v>44</v>
      </c>
      <c r="C12" s="7">
        <f>[16]krnmei!$R$367</f>
        <v>1917500</v>
      </c>
      <c r="D12" s="5">
        <v>37</v>
      </c>
      <c r="E12" s="6" t="s">
        <v>10</v>
      </c>
      <c r="F12" s="7">
        <f>[16]krnmei!$R$860</f>
        <v>495000</v>
      </c>
    </row>
    <row r="13" spans="1:6" x14ac:dyDescent="0.25">
      <c r="A13" s="5">
        <v>9</v>
      </c>
      <c r="B13" s="6" t="s">
        <v>37</v>
      </c>
      <c r="C13" s="7">
        <f>[16]krnmei!$R$384</f>
        <v>1236300</v>
      </c>
      <c r="D13" s="5">
        <v>38</v>
      </c>
      <c r="E13" s="6" t="s">
        <v>14</v>
      </c>
      <c r="F13" s="7">
        <f>[15]krnmei!$R$924</f>
        <v>100000</v>
      </c>
    </row>
    <row r="14" spans="1:6" x14ac:dyDescent="0.25">
      <c r="A14" s="5">
        <v>10</v>
      </c>
      <c r="B14" s="6" t="s">
        <v>36</v>
      </c>
      <c r="C14" s="7">
        <f>[13]krnmei!$R$399</f>
        <v>505000</v>
      </c>
      <c r="D14" s="5">
        <v>39</v>
      </c>
      <c r="E14" s="6" t="s">
        <v>16</v>
      </c>
      <c r="F14" s="7">
        <f>[16]krnmei!$R$979</f>
        <v>826000</v>
      </c>
    </row>
    <row r="15" spans="1:6" x14ac:dyDescent="0.25">
      <c r="A15" s="5">
        <v>11</v>
      </c>
      <c r="B15" s="6" t="s">
        <v>38</v>
      </c>
      <c r="C15" s="7">
        <f>[16]krnmei!$R$452</f>
        <v>1430000</v>
      </c>
      <c r="D15" s="5">
        <v>40</v>
      </c>
      <c r="E15" s="6" t="s">
        <v>23</v>
      </c>
      <c r="F15" s="7">
        <f>[16]krnmei!$R$1030</f>
        <v>341250</v>
      </c>
    </row>
    <row r="16" spans="1:6" x14ac:dyDescent="0.25">
      <c r="A16" s="5">
        <v>12</v>
      </c>
      <c r="B16" s="6" t="s">
        <v>39</v>
      </c>
      <c r="C16" s="7">
        <f>[16]krnmei!$R$520</f>
        <v>968000</v>
      </c>
      <c r="D16" s="5">
        <v>41</v>
      </c>
      <c r="E16" s="6" t="s">
        <v>21</v>
      </c>
      <c r="F16" s="7">
        <f>[6]krnmei!$R$1041</f>
        <v>75000</v>
      </c>
    </row>
    <row r="17" spans="1:6" x14ac:dyDescent="0.25">
      <c r="A17" s="5">
        <v>13</v>
      </c>
      <c r="B17" s="6" t="s">
        <v>18</v>
      </c>
      <c r="C17" s="7">
        <f>[16]krnmei!$R$554</f>
        <v>1305000</v>
      </c>
      <c r="D17" s="5">
        <v>42</v>
      </c>
      <c r="E17" s="6" t="s">
        <v>28</v>
      </c>
      <c r="F17" s="7">
        <f>[16]krnmei!$R$1132</f>
        <v>1003375</v>
      </c>
    </row>
    <row r="18" spans="1:6" x14ac:dyDescent="0.25">
      <c r="A18" s="5">
        <v>14</v>
      </c>
      <c r="B18" s="6" t="s">
        <v>19</v>
      </c>
      <c r="C18" s="7">
        <f>[16]krnmei!$R$571</f>
        <v>2590000</v>
      </c>
      <c r="D18" s="5">
        <v>43</v>
      </c>
      <c r="E18" s="10" t="s">
        <v>29</v>
      </c>
      <c r="F18" s="7">
        <f>[16]krnmei!$R$503</f>
        <v>851065</v>
      </c>
    </row>
    <row r="19" spans="1:6" x14ac:dyDescent="0.25">
      <c r="A19" s="5">
        <v>15</v>
      </c>
      <c r="B19" s="6" t="s">
        <v>20</v>
      </c>
      <c r="C19" s="7">
        <f>[16]krnmei!$R$588</f>
        <v>125000</v>
      </c>
      <c r="D19" s="5">
        <v>44</v>
      </c>
      <c r="E19" s="11" t="s">
        <v>30</v>
      </c>
      <c r="F19" s="7">
        <f>[16]krnmei!$R$996</f>
        <v>2042500</v>
      </c>
    </row>
    <row r="20" spans="1:6" x14ac:dyDescent="0.25">
      <c r="A20" s="5">
        <v>16</v>
      </c>
      <c r="B20" s="6" t="s">
        <v>26</v>
      </c>
      <c r="C20" s="7">
        <f>[16]krnmei!$R$1064</f>
        <v>841000</v>
      </c>
      <c r="D20" s="5">
        <v>45</v>
      </c>
      <c r="E20" s="10" t="s">
        <v>33</v>
      </c>
      <c r="F20" s="7">
        <f>[6]krnmei!$R$1177</f>
        <v>250000</v>
      </c>
    </row>
    <row r="21" spans="1:6" x14ac:dyDescent="0.25">
      <c r="A21" s="5">
        <v>17</v>
      </c>
      <c r="B21" s="12" t="s">
        <v>24</v>
      </c>
      <c r="C21" s="7">
        <f>[14]krnmei!$R$1097</f>
        <v>475000</v>
      </c>
      <c r="D21" s="5">
        <v>46</v>
      </c>
      <c r="E21" s="11" t="s">
        <v>69</v>
      </c>
      <c r="F21" s="7">
        <f>[13]krnmei!$R$1198</f>
        <v>200000</v>
      </c>
    </row>
    <row r="22" spans="1:6" x14ac:dyDescent="0.25">
      <c r="A22" s="5">
        <v>18</v>
      </c>
      <c r="B22" s="6" t="s">
        <v>25</v>
      </c>
      <c r="C22" s="7">
        <f>[14]krnmei!$R$1114</f>
        <v>275000</v>
      </c>
      <c r="D22" s="5">
        <v>47</v>
      </c>
      <c r="E22" s="10" t="s">
        <v>55</v>
      </c>
      <c r="F22" s="7">
        <f>[6]krnmei!$R$1211</f>
        <v>100000</v>
      </c>
    </row>
    <row r="23" spans="1:6" x14ac:dyDescent="0.25">
      <c r="A23" s="5">
        <v>19</v>
      </c>
      <c r="B23" s="6" t="s">
        <v>40</v>
      </c>
      <c r="C23" s="7">
        <f>[16]krnmei!$R$1149</f>
        <v>1110000</v>
      </c>
      <c r="D23" s="5">
        <v>48</v>
      </c>
      <c r="E23" s="10" t="s">
        <v>56</v>
      </c>
      <c r="F23" s="7">
        <f>[16]krnmei!$R$1234</f>
        <v>296750</v>
      </c>
    </row>
    <row r="24" spans="1:6" x14ac:dyDescent="0.25">
      <c r="A24" s="5">
        <v>20</v>
      </c>
      <c r="B24" s="6" t="s">
        <v>50</v>
      </c>
      <c r="C24" s="7">
        <f>[13]krnmei!$R$1164</f>
        <v>360000</v>
      </c>
      <c r="D24" s="5">
        <v>49</v>
      </c>
      <c r="E24" s="20" t="s">
        <v>59</v>
      </c>
      <c r="F24" s="7">
        <f>[15]krnmei!$R$1281</f>
        <v>650000</v>
      </c>
    </row>
    <row r="25" spans="1:6" x14ac:dyDescent="0.25">
      <c r="A25" s="5">
        <v>21</v>
      </c>
      <c r="B25" s="14" t="s">
        <v>51</v>
      </c>
      <c r="C25" s="7">
        <f>[15]krnmei!$R$652</f>
        <v>-700000</v>
      </c>
      <c r="D25" s="5">
        <v>50</v>
      </c>
      <c r="E25" s="20" t="s">
        <v>61</v>
      </c>
      <c r="F25" s="7">
        <f>[15]krnmei!$R$1315</f>
        <v>100000</v>
      </c>
    </row>
    <row r="26" spans="1:6" x14ac:dyDescent="0.25">
      <c r="A26" s="5">
        <v>22</v>
      </c>
      <c r="B26" s="16" t="s">
        <v>12</v>
      </c>
      <c r="C26" s="7">
        <f>[16]krnmei!$R$894</f>
        <v>210000</v>
      </c>
      <c r="D26" s="5">
        <v>51</v>
      </c>
      <c r="E26" s="20" t="s">
        <v>62</v>
      </c>
      <c r="F26" s="7">
        <f>[15]krnmei!$R$1315</f>
        <v>100000</v>
      </c>
    </row>
    <row r="27" spans="1:6" x14ac:dyDescent="0.25">
      <c r="A27" s="5">
        <v>23</v>
      </c>
      <c r="B27" s="14" t="s">
        <v>52</v>
      </c>
      <c r="C27" s="7">
        <f>[16]krnmei!$R$1013</f>
        <v>688750</v>
      </c>
      <c r="D27" s="5">
        <v>52</v>
      </c>
      <c r="E27" s="10" t="s">
        <v>63</v>
      </c>
      <c r="F27" s="7">
        <f>[15]krnmei!$R$1315</f>
        <v>100000</v>
      </c>
    </row>
    <row r="28" spans="1:6" x14ac:dyDescent="0.25">
      <c r="A28" s="5">
        <v>24</v>
      </c>
      <c r="B28" s="14" t="s">
        <v>34</v>
      </c>
      <c r="C28" s="7">
        <f>[6]krnmei!$R$21</f>
        <v>200000</v>
      </c>
      <c r="D28" s="5">
        <v>53</v>
      </c>
      <c r="E28" s="6" t="s">
        <v>64</v>
      </c>
      <c r="F28" s="7">
        <f>[15]krnmei!$R$1315</f>
        <v>100000</v>
      </c>
    </row>
    <row r="29" spans="1:6" x14ac:dyDescent="0.25">
      <c r="A29" s="5">
        <v>25</v>
      </c>
      <c r="B29" s="25" t="s">
        <v>13</v>
      </c>
      <c r="C29" s="7">
        <f>[16]krnmei!$R$911</f>
        <v>6168000</v>
      </c>
      <c r="D29" s="5">
        <v>54</v>
      </c>
      <c r="E29" s="10" t="s">
        <v>66</v>
      </c>
      <c r="F29" s="7">
        <f>[16]krnmei!$R$1387</f>
        <v>440000</v>
      </c>
    </row>
    <row r="30" spans="1:6" x14ac:dyDescent="0.25">
      <c r="A30" s="5">
        <v>26</v>
      </c>
      <c r="B30" s="25" t="s">
        <v>57</v>
      </c>
      <c r="C30" s="7">
        <v>300000</v>
      </c>
      <c r="D30" s="5">
        <v>55</v>
      </c>
      <c r="E30" s="10" t="s">
        <v>67</v>
      </c>
      <c r="F30" s="7">
        <v>175000</v>
      </c>
    </row>
    <row r="31" spans="1:6" x14ac:dyDescent="0.25">
      <c r="A31" s="5">
        <v>27</v>
      </c>
      <c r="B31" s="14" t="s">
        <v>58</v>
      </c>
      <c r="C31" s="7">
        <v>350000</v>
      </c>
      <c r="D31" s="5">
        <v>56</v>
      </c>
      <c r="E31" s="6" t="s">
        <v>68</v>
      </c>
      <c r="F31" s="7">
        <v>50000</v>
      </c>
    </row>
    <row r="32" spans="1:6" x14ac:dyDescent="0.25">
      <c r="A32" s="5">
        <v>28</v>
      </c>
      <c r="B32" s="14" t="s">
        <v>60</v>
      </c>
      <c r="C32" s="7">
        <v>300000</v>
      </c>
      <c r="D32" s="5">
        <v>57</v>
      </c>
      <c r="E32" s="10" t="s">
        <v>72</v>
      </c>
      <c r="F32" s="7">
        <v>100000</v>
      </c>
    </row>
    <row r="33" spans="1:6" x14ac:dyDescent="0.25">
      <c r="A33" s="5"/>
      <c r="B33" s="16"/>
      <c r="C33" s="7"/>
      <c r="D33" s="5"/>
      <c r="E33" s="10"/>
      <c r="F33" s="13"/>
    </row>
    <row r="34" spans="1:6" x14ac:dyDescent="0.25">
      <c r="A34" s="5"/>
      <c r="B34" s="25"/>
      <c r="C34" s="7"/>
      <c r="D34" s="5"/>
      <c r="E34" s="17"/>
      <c r="F34" s="17"/>
    </row>
    <row r="35" spans="1:6" x14ac:dyDescent="0.25">
      <c r="A35" s="27" t="s">
        <v>2</v>
      </c>
      <c r="B35" s="28"/>
      <c r="C35" s="18">
        <f>SUM(C5:C34)</f>
        <v>27489550</v>
      </c>
      <c r="D35" s="27" t="s">
        <v>2</v>
      </c>
      <c r="E35" s="28"/>
      <c r="F35" s="19">
        <f>SUM(F5:F34)</f>
        <v>11905690</v>
      </c>
    </row>
    <row r="36" spans="1:6" x14ac:dyDescent="0.25">
      <c r="A36" s="21"/>
      <c r="B36" s="21"/>
      <c r="C36" s="23"/>
      <c r="D36" s="21"/>
      <c r="E36" s="21"/>
      <c r="F36" s="24"/>
    </row>
    <row r="37" spans="1:6" x14ac:dyDescent="0.25">
      <c r="A37" s="21"/>
      <c r="B37" s="21"/>
      <c r="C37" s="23"/>
      <c r="D37" s="21"/>
      <c r="E37" s="21"/>
      <c r="F37" s="24"/>
    </row>
    <row r="38" spans="1:6" ht="15.75" x14ac:dyDescent="0.25">
      <c r="E38" s="22" t="s">
        <v>74</v>
      </c>
    </row>
    <row r="39" spans="1:6" ht="15.75" x14ac:dyDescent="0.25">
      <c r="E39" s="22" t="s">
        <v>31</v>
      </c>
    </row>
    <row r="40" spans="1:6" ht="15.75" x14ac:dyDescent="0.25">
      <c r="E40" s="22"/>
    </row>
    <row r="41" spans="1:6" ht="15.75" x14ac:dyDescent="0.25">
      <c r="E41" s="22"/>
    </row>
    <row r="42" spans="1:6" ht="15.75" x14ac:dyDescent="0.25">
      <c r="E42" s="22" t="s">
        <v>32</v>
      </c>
    </row>
  </sheetData>
  <mergeCells count="4">
    <mergeCell ref="A1:F1"/>
    <mergeCell ref="A2:F2"/>
    <mergeCell ref="A35:B35"/>
    <mergeCell ref="D35:E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1F59-C865-48D6-A8D1-CBC9912AC135}">
  <dimension ref="A1:F42"/>
  <sheetViews>
    <sheetView topLeftCell="A17" workbookViewId="0">
      <selection activeCell="K24" sqref="K24"/>
    </sheetView>
  </sheetViews>
  <sheetFormatPr defaultRowHeight="15" x14ac:dyDescent="0.25"/>
  <cols>
    <col min="1" max="1" width="6.42578125" customWidth="1"/>
    <col min="2" max="2" width="26.5703125" customWidth="1"/>
    <col min="3" max="3" width="15.85546875" customWidth="1"/>
    <col min="4" max="4" width="4.42578125" customWidth="1"/>
    <col min="5" max="5" width="24.42578125" customWidth="1"/>
    <col min="6" max="6" width="16.7109375" customWidth="1"/>
  </cols>
  <sheetData>
    <row r="1" spans="1:6" x14ac:dyDescent="0.25">
      <c r="A1" s="26" t="s">
        <v>22</v>
      </c>
      <c r="B1" s="26"/>
      <c r="C1" s="26"/>
      <c r="D1" s="26"/>
      <c r="E1" s="26"/>
      <c r="F1" s="26"/>
    </row>
    <row r="2" spans="1:6" x14ac:dyDescent="0.25">
      <c r="A2" s="26" t="s">
        <v>75</v>
      </c>
      <c r="B2" s="26"/>
      <c r="C2" s="26"/>
      <c r="D2" s="26"/>
      <c r="E2" s="26"/>
      <c r="F2" s="26"/>
    </row>
    <row r="3" spans="1:6" ht="15.75" x14ac:dyDescent="0.25">
      <c r="A3" s="4"/>
      <c r="B3" s="4"/>
      <c r="C3" s="4"/>
      <c r="D3" s="4"/>
      <c r="E3" s="4"/>
      <c r="F3" s="4"/>
    </row>
    <row r="4" spans="1:6" x14ac:dyDescent="0.25">
      <c r="A4" s="5" t="s">
        <v>0</v>
      </c>
      <c r="B4" s="5" t="s">
        <v>1</v>
      </c>
      <c r="C4" s="5" t="s">
        <v>2</v>
      </c>
      <c r="D4" s="5" t="s">
        <v>0</v>
      </c>
      <c r="E4" s="5" t="s">
        <v>1</v>
      </c>
      <c r="F4" s="5" t="s">
        <v>2</v>
      </c>
    </row>
    <row r="5" spans="1:6" x14ac:dyDescent="0.25">
      <c r="A5" s="5">
        <v>1</v>
      </c>
      <c r="B5" s="6" t="s">
        <v>46</v>
      </c>
      <c r="C5" s="7">
        <f>[6]krnmei!$R$140</f>
        <v>1150000</v>
      </c>
      <c r="D5" s="5">
        <v>30</v>
      </c>
      <c r="E5" s="6" t="s">
        <v>3</v>
      </c>
      <c r="F5" s="7">
        <f>[17]krnmei!$R$691</f>
        <v>2025000</v>
      </c>
    </row>
    <row r="6" spans="1:6" x14ac:dyDescent="0.25">
      <c r="A6" s="5">
        <v>2</v>
      </c>
      <c r="B6" s="6" t="s">
        <v>65</v>
      </c>
      <c r="C6" s="7">
        <f>[6]krnmei!$R$225</f>
        <v>1000000</v>
      </c>
      <c r="D6" s="5">
        <v>31</v>
      </c>
      <c r="E6" s="6" t="s">
        <v>4</v>
      </c>
      <c r="F6" s="7">
        <f>[17]krnmei!$R$742</f>
        <v>562500</v>
      </c>
    </row>
    <row r="7" spans="1:6" x14ac:dyDescent="0.25">
      <c r="A7" s="5">
        <v>3</v>
      </c>
      <c r="B7" s="6" t="s">
        <v>48</v>
      </c>
      <c r="C7" s="7">
        <f>[17]krnmei!$R$249</f>
        <v>1130000</v>
      </c>
      <c r="D7" s="5">
        <v>32</v>
      </c>
      <c r="E7" s="6" t="s">
        <v>5</v>
      </c>
      <c r="F7" s="8">
        <f>[17]krnmei!$R$759</f>
        <v>344250</v>
      </c>
    </row>
    <row r="8" spans="1:6" x14ac:dyDescent="0.25">
      <c r="A8" s="5">
        <v>4</v>
      </c>
      <c r="B8" s="6" t="s">
        <v>41</v>
      </c>
      <c r="C8" s="7">
        <f>[17]krnmei!$R$283</f>
        <v>1475000</v>
      </c>
      <c r="D8" s="5">
        <v>33</v>
      </c>
      <c r="E8" s="6" t="s">
        <v>6</v>
      </c>
      <c r="F8" s="7">
        <f>[17]krnmei!$R$776</f>
        <v>667500</v>
      </c>
    </row>
    <row r="9" spans="1:6" x14ac:dyDescent="0.25">
      <c r="A9" s="5">
        <v>5</v>
      </c>
      <c r="B9" s="6" t="s">
        <v>42</v>
      </c>
      <c r="C9" s="9">
        <f>[6]krnmei!$R$293</f>
        <v>1800000</v>
      </c>
      <c r="D9" s="5">
        <v>34</v>
      </c>
      <c r="E9" s="6" t="s">
        <v>7</v>
      </c>
      <c r="F9" s="7">
        <f>[17]krnmei!$R$793</f>
        <v>660750</v>
      </c>
    </row>
    <row r="10" spans="1:6" x14ac:dyDescent="0.25">
      <c r="A10" s="5">
        <v>6</v>
      </c>
      <c r="B10" s="6" t="s">
        <v>43</v>
      </c>
      <c r="C10" s="7">
        <f>[13]krnmei!$R$314</f>
        <v>420000</v>
      </c>
      <c r="D10" s="5">
        <v>35</v>
      </c>
      <c r="E10" s="6" t="s">
        <v>8</v>
      </c>
      <c r="F10" s="7">
        <f>[17]krnmei!$R$810</f>
        <v>411500</v>
      </c>
    </row>
    <row r="11" spans="1:6" x14ac:dyDescent="0.25">
      <c r="A11" s="5">
        <v>7</v>
      </c>
      <c r="B11" s="6" t="s">
        <v>15</v>
      </c>
      <c r="C11" s="7">
        <f>[17]krnmei!$R$334</f>
        <v>841250</v>
      </c>
      <c r="D11" s="5">
        <v>36</v>
      </c>
      <c r="E11" s="6" t="s">
        <v>9</v>
      </c>
      <c r="F11" s="7">
        <f>[17]krnmei!$R$827</f>
        <v>514250</v>
      </c>
    </row>
    <row r="12" spans="1:6" x14ac:dyDescent="0.25">
      <c r="A12" s="5">
        <v>8</v>
      </c>
      <c r="B12" s="6" t="s">
        <v>44</v>
      </c>
      <c r="C12" s="7">
        <f>[17]krnmei!$R$368</f>
        <v>1910000</v>
      </c>
      <c r="D12" s="5">
        <v>37</v>
      </c>
      <c r="E12" s="6" t="s">
        <v>10</v>
      </c>
      <c r="F12" s="7">
        <f>[17]krnmei!$R$861</f>
        <v>489000</v>
      </c>
    </row>
    <row r="13" spans="1:6" x14ac:dyDescent="0.25">
      <c r="A13" s="5">
        <v>9</v>
      </c>
      <c r="B13" s="6" t="s">
        <v>37</v>
      </c>
      <c r="C13" s="7">
        <f>[17]krnmei!$R$385</f>
        <v>1228800</v>
      </c>
      <c r="D13" s="5">
        <v>38</v>
      </c>
      <c r="E13" s="6" t="s">
        <v>14</v>
      </c>
      <c r="F13" s="7">
        <f>[15]krnmei!$R$924</f>
        <v>100000</v>
      </c>
    </row>
    <row r="14" spans="1:6" x14ac:dyDescent="0.25">
      <c r="A14" s="5">
        <v>10</v>
      </c>
      <c r="B14" s="6" t="s">
        <v>36</v>
      </c>
      <c r="C14" s="7">
        <f>[13]krnmei!$R$399</f>
        <v>505000</v>
      </c>
      <c r="D14" s="5">
        <v>39</v>
      </c>
      <c r="E14" s="6" t="s">
        <v>16</v>
      </c>
      <c r="F14" s="7">
        <f>[17]krnmei!$R$980</f>
        <v>823000</v>
      </c>
    </row>
    <row r="15" spans="1:6" x14ac:dyDescent="0.25">
      <c r="A15" s="5">
        <v>11</v>
      </c>
      <c r="B15" s="6" t="s">
        <v>38</v>
      </c>
      <c r="C15" s="7">
        <f>[17]krnmei!$R$453</f>
        <v>1422500</v>
      </c>
      <c r="D15" s="5">
        <v>40</v>
      </c>
      <c r="E15" s="6" t="s">
        <v>23</v>
      </c>
      <c r="F15" s="7">
        <f>[17]krnmei!$R$1031</f>
        <v>337500</v>
      </c>
    </row>
    <row r="16" spans="1:6" x14ac:dyDescent="0.25">
      <c r="A16" s="5">
        <v>12</v>
      </c>
      <c r="B16" s="6" t="s">
        <v>39</v>
      </c>
      <c r="C16" s="7">
        <f>[17]krnmei!$R$521</f>
        <v>962000</v>
      </c>
      <c r="D16" s="5">
        <v>41</v>
      </c>
      <c r="E16" s="6" t="s">
        <v>21</v>
      </c>
      <c r="F16" s="7">
        <f>[17]krnmei!$R$1048</f>
        <v>680000</v>
      </c>
    </row>
    <row r="17" spans="1:6" x14ac:dyDescent="0.25">
      <c r="A17" s="5">
        <v>13</v>
      </c>
      <c r="B17" s="6" t="s">
        <v>18</v>
      </c>
      <c r="C17" s="7">
        <f>[17]krnmei!$R$555</f>
        <v>1297500</v>
      </c>
      <c r="D17" s="5">
        <v>42</v>
      </c>
      <c r="E17" s="6" t="s">
        <v>28</v>
      </c>
      <c r="F17" s="7">
        <f>[17]krnmei!$R$1133</f>
        <v>995875</v>
      </c>
    </row>
    <row r="18" spans="1:6" x14ac:dyDescent="0.25">
      <c r="A18" s="5">
        <v>14</v>
      </c>
      <c r="B18" s="6" t="s">
        <v>19</v>
      </c>
      <c r="C18" s="7">
        <f>[17]krnmei!$R$572</f>
        <v>2575000</v>
      </c>
      <c r="D18" s="5">
        <v>43</v>
      </c>
      <c r="E18" s="10" t="s">
        <v>29</v>
      </c>
      <c r="F18" s="7">
        <f>[17]krnmei!$R$504</f>
        <v>848815</v>
      </c>
    </row>
    <row r="19" spans="1:6" x14ac:dyDescent="0.25">
      <c r="A19" s="5">
        <v>15</v>
      </c>
      <c r="B19" s="6" t="s">
        <v>20</v>
      </c>
      <c r="C19" s="7">
        <f>[16]krnmei!$R$588</f>
        <v>125000</v>
      </c>
      <c r="D19" s="5">
        <v>44</v>
      </c>
      <c r="E19" s="11" t="s">
        <v>30</v>
      </c>
      <c r="F19" s="7">
        <f>[17]krnmei!$R$997</f>
        <v>2020000</v>
      </c>
    </row>
    <row r="20" spans="1:6" x14ac:dyDescent="0.25">
      <c r="A20" s="5">
        <v>16</v>
      </c>
      <c r="B20" s="6" t="s">
        <v>26</v>
      </c>
      <c r="C20" s="7">
        <f>[17]krnmei!$R$1065</f>
        <v>835000</v>
      </c>
      <c r="D20" s="5">
        <v>45</v>
      </c>
      <c r="E20" s="10" t="s">
        <v>33</v>
      </c>
      <c r="F20" s="7">
        <f>[6]krnmei!$R$1177</f>
        <v>250000</v>
      </c>
    </row>
    <row r="21" spans="1:6" x14ac:dyDescent="0.25">
      <c r="A21" s="5">
        <v>17</v>
      </c>
      <c r="B21" s="12" t="s">
        <v>24</v>
      </c>
      <c r="C21" s="7">
        <f>[14]krnmei!$R$1097</f>
        <v>475000</v>
      </c>
      <c r="D21" s="5">
        <v>46</v>
      </c>
      <c r="E21" s="11" t="s">
        <v>69</v>
      </c>
      <c r="F21" s="7">
        <f>[13]krnmei!$R$1198</f>
        <v>200000</v>
      </c>
    </row>
    <row r="22" spans="1:6" x14ac:dyDescent="0.25">
      <c r="A22" s="5">
        <v>18</v>
      </c>
      <c r="B22" s="6" t="s">
        <v>25</v>
      </c>
      <c r="C22" s="7">
        <f>[14]krnmei!$R$1114</f>
        <v>275000</v>
      </c>
      <c r="D22" s="5">
        <v>47</v>
      </c>
      <c r="E22" s="10" t="s">
        <v>55</v>
      </c>
      <c r="F22" s="7">
        <v>0</v>
      </c>
    </row>
    <row r="23" spans="1:6" x14ac:dyDescent="0.25">
      <c r="A23" s="5">
        <v>19</v>
      </c>
      <c r="B23" s="6" t="s">
        <v>40</v>
      </c>
      <c r="C23" s="7">
        <f>[17]krnmei!$R$1150</f>
        <v>1102500</v>
      </c>
      <c r="D23" s="5">
        <v>48</v>
      </c>
      <c r="E23" s="10" t="s">
        <v>56</v>
      </c>
      <c r="F23" s="7">
        <f>[17]krnmei!$R$1235</f>
        <v>293750</v>
      </c>
    </row>
    <row r="24" spans="1:6" x14ac:dyDescent="0.25">
      <c r="A24" s="5">
        <v>20</v>
      </c>
      <c r="B24" s="6" t="s">
        <v>50</v>
      </c>
      <c r="C24" s="7">
        <f>[17]krnmei!$R$1166</f>
        <v>360000</v>
      </c>
      <c r="D24" s="5">
        <v>49</v>
      </c>
      <c r="E24" s="20" t="s">
        <v>59</v>
      </c>
      <c r="F24" s="7">
        <f>[15]krnmei!$R$1281</f>
        <v>650000</v>
      </c>
    </row>
    <row r="25" spans="1:6" x14ac:dyDescent="0.25">
      <c r="A25" s="5">
        <v>21</v>
      </c>
      <c r="B25" s="14" t="s">
        <v>51</v>
      </c>
      <c r="C25" s="7">
        <f>[15]krnmei!$R$652</f>
        <v>-700000</v>
      </c>
      <c r="D25" s="5">
        <v>50</v>
      </c>
      <c r="E25" s="20" t="s">
        <v>61</v>
      </c>
      <c r="F25" s="7">
        <f>[15]krnmei!$R$1315</f>
        <v>100000</v>
      </c>
    </row>
    <row r="26" spans="1:6" x14ac:dyDescent="0.25">
      <c r="A26" s="5">
        <v>22</v>
      </c>
      <c r="B26" s="16" t="s">
        <v>12</v>
      </c>
      <c r="C26" s="7">
        <f>[16]krnmei!$R$894</f>
        <v>210000</v>
      </c>
      <c r="D26" s="5">
        <v>51</v>
      </c>
      <c r="E26" s="20" t="s">
        <v>62</v>
      </c>
      <c r="F26" s="7">
        <f>[15]krnmei!$R$1315</f>
        <v>100000</v>
      </c>
    </row>
    <row r="27" spans="1:6" x14ac:dyDescent="0.25">
      <c r="A27" s="5">
        <v>23</v>
      </c>
      <c r="B27" s="14" t="s">
        <v>52</v>
      </c>
      <c r="C27" s="7">
        <f>[17]krnmei!$R$1014</f>
        <v>681250</v>
      </c>
      <c r="D27" s="5">
        <v>52</v>
      </c>
      <c r="E27" s="10" t="s">
        <v>63</v>
      </c>
      <c r="F27" s="7">
        <f>[15]krnmei!$R$1315</f>
        <v>100000</v>
      </c>
    </row>
    <row r="28" spans="1:6" x14ac:dyDescent="0.25">
      <c r="A28" s="5">
        <v>24</v>
      </c>
      <c r="B28" s="14" t="s">
        <v>34</v>
      </c>
      <c r="C28" s="7">
        <f>[6]krnmei!$R$21</f>
        <v>200000</v>
      </c>
      <c r="D28" s="5">
        <v>53</v>
      </c>
      <c r="E28" s="6" t="s">
        <v>64</v>
      </c>
      <c r="F28" s="7">
        <f>[15]krnmei!$R$1315</f>
        <v>100000</v>
      </c>
    </row>
    <row r="29" spans="1:6" x14ac:dyDescent="0.25">
      <c r="A29" s="5">
        <v>25</v>
      </c>
      <c r="B29" s="25" t="s">
        <v>13</v>
      </c>
      <c r="C29" s="7">
        <f>[17]krnmei!$R$912</f>
        <v>-5841000</v>
      </c>
      <c r="D29" s="5">
        <v>54</v>
      </c>
      <c r="E29" s="10" t="s">
        <v>66</v>
      </c>
      <c r="F29" s="7">
        <f>[17]krnmei!$R$1388</f>
        <v>436250</v>
      </c>
    </row>
    <row r="30" spans="1:6" x14ac:dyDescent="0.25">
      <c r="A30" s="5">
        <v>26</v>
      </c>
      <c r="B30" s="25" t="s">
        <v>57</v>
      </c>
      <c r="C30" s="7">
        <v>300000</v>
      </c>
      <c r="D30" s="5">
        <v>55</v>
      </c>
      <c r="E30" s="10" t="s">
        <v>67</v>
      </c>
      <c r="F30" s="7">
        <v>175000</v>
      </c>
    </row>
    <row r="31" spans="1:6" x14ac:dyDescent="0.25">
      <c r="A31" s="5">
        <v>27</v>
      </c>
      <c r="B31" s="14" t="s">
        <v>58</v>
      </c>
      <c r="C31" s="7">
        <v>350000</v>
      </c>
      <c r="D31" s="5">
        <v>56</v>
      </c>
      <c r="E31" s="6" t="s">
        <v>68</v>
      </c>
      <c r="F31" s="7">
        <v>50000</v>
      </c>
    </row>
    <row r="32" spans="1:6" x14ac:dyDescent="0.25">
      <c r="A32" s="5">
        <v>28</v>
      </c>
      <c r="B32" s="14" t="s">
        <v>60</v>
      </c>
      <c r="C32" s="7">
        <v>300000</v>
      </c>
      <c r="D32" s="5">
        <v>57</v>
      </c>
      <c r="E32" s="10" t="s">
        <v>72</v>
      </c>
      <c r="F32" s="7">
        <v>100000</v>
      </c>
    </row>
    <row r="33" spans="1:6" x14ac:dyDescent="0.25">
      <c r="A33" s="5"/>
      <c r="B33" s="16"/>
      <c r="C33" s="7"/>
      <c r="D33" s="5"/>
      <c r="E33" s="10"/>
      <c r="F33" s="13"/>
    </row>
    <row r="34" spans="1:6" x14ac:dyDescent="0.25">
      <c r="A34" s="5"/>
      <c r="B34" s="25"/>
      <c r="C34" s="7"/>
      <c r="D34" s="5"/>
      <c r="E34" s="17"/>
      <c r="F34" s="17"/>
    </row>
    <row r="35" spans="1:6" x14ac:dyDescent="0.25">
      <c r="A35" s="27" t="s">
        <v>2</v>
      </c>
      <c r="B35" s="28"/>
      <c r="C35" s="18">
        <f>SUM(C5:C34)</f>
        <v>16389800</v>
      </c>
      <c r="D35" s="27" t="s">
        <v>2</v>
      </c>
      <c r="E35" s="28"/>
      <c r="F35" s="19">
        <f>SUM(F5:F34)</f>
        <v>14034940</v>
      </c>
    </row>
    <row r="36" spans="1:6" x14ac:dyDescent="0.25">
      <c r="A36" s="21"/>
      <c r="B36" s="21"/>
      <c r="C36" s="23"/>
      <c r="D36" s="21"/>
      <c r="E36" s="21"/>
      <c r="F36" s="24"/>
    </row>
    <row r="37" spans="1:6" x14ac:dyDescent="0.25">
      <c r="A37" s="21"/>
      <c r="B37" s="21"/>
      <c r="C37" s="23"/>
      <c r="D37" s="21"/>
      <c r="E37" s="21"/>
      <c r="F37" s="24"/>
    </row>
    <row r="38" spans="1:6" ht="15.75" x14ac:dyDescent="0.25">
      <c r="E38" s="22" t="s">
        <v>76</v>
      </c>
    </row>
    <row r="39" spans="1:6" ht="15.75" x14ac:dyDescent="0.25">
      <c r="E39" s="22" t="s">
        <v>31</v>
      </c>
    </row>
    <row r="40" spans="1:6" ht="15.75" x14ac:dyDescent="0.25">
      <c r="E40" s="22"/>
    </row>
    <row r="41" spans="1:6" ht="15.75" x14ac:dyDescent="0.25">
      <c r="E41" s="22"/>
    </row>
    <row r="42" spans="1:6" ht="15.75" x14ac:dyDescent="0.25">
      <c r="E42" s="22" t="s">
        <v>32</v>
      </c>
    </row>
  </sheetData>
  <mergeCells count="4">
    <mergeCell ref="A1:F1"/>
    <mergeCell ref="A2:F2"/>
    <mergeCell ref="A35:B35"/>
    <mergeCell ref="D35:E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0F22-02C1-4BF7-AF04-7F0C399463CE}">
  <dimension ref="A1:F41"/>
  <sheetViews>
    <sheetView view="pageBreakPreview" topLeftCell="A29" zoomScale="115" zoomScaleNormal="100" zoomScaleSheetLayoutView="115" workbookViewId="0">
      <selection activeCell="D32" sqref="D32"/>
    </sheetView>
  </sheetViews>
  <sheetFormatPr defaultRowHeight="15" x14ac:dyDescent="0.25"/>
  <cols>
    <col min="1" max="1" width="5.5703125" customWidth="1"/>
    <col min="2" max="2" width="24.7109375" customWidth="1"/>
    <col min="3" max="3" width="17.28515625" customWidth="1"/>
    <col min="4" max="4" width="4.42578125" customWidth="1"/>
    <col min="5" max="5" width="23.42578125" customWidth="1"/>
    <col min="6" max="6" width="16.7109375" customWidth="1"/>
  </cols>
  <sheetData>
    <row r="1" spans="1:6" x14ac:dyDescent="0.25">
      <c r="A1" s="26" t="s">
        <v>22</v>
      </c>
      <c r="B1" s="26"/>
      <c r="C1" s="26"/>
      <c r="D1" s="26"/>
      <c r="E1" s="26"/>
      <c r="F1" s="26"/>
    </row>
    <row r="2" spans="1:6" x14ac:dyDescent="0.25">
      <c r="A2" s="26" t="s">
        <v>77</v>
      </c>
      <c r="B2" s="26"/>
      <c r="C2" s="26"/>
      <c r="D2" s="26"/>
      <c r="E2" s="26"/>
      <c r="F2" s="26"/>
    </row>
    <row r="3" spans="1:6" ht="15.75" x14ac:dyDescent="0.25">
      <c r="A3" s="4"/>
      <c r="B3" s="4"/>
      <c r="C3" s="4"/>
      <c r="D3" s="4"/>
      <c r="E3" s="4"/>
      <c r="F3" s="4"/>
    </row>
    <row r="4" spans="1:6" ht="24" customHeight="1" x14ac:dyDescent="0.25">
      <c r="A4" s="5" t="s">
        <v>0</v>
      </c>
      <c r="B4" s="5" t="s">
        <v>1</v>
      </c>
      <c r="C4" s="5" t="s">
        <v>2</v>
      </c>
      <c r="D4" s="5" t="s">
        <v>0</v>
      </c>
      <c r="E4" s="5" t="s">
        <v>1</v>
      </c>
      <c r="F4" s="5" t="s">
        <v>2</v>
      </c>
    </row>
    <row r="5" spans="1:6" ht="21" customHeight="1" x14ac:dyDescent="0.25">
      <c r="A5" s="5">
        <v>1</v>
      </c>
      <c r="B5" s="6" t="s">
        <v>46</v>
      </c>
      <c r="C5" s="7">
        <f>[18]krnmei!$R$148</f>
        <v>1230000</v>
      </c>
      <c r="D5" s="5">
        <v>29</v>
      </c>
      <c r="E5" s="6" t="s">
        <v>3</v>
      </c>
      <c r="F5" s="7">
        <f>[18]krnmei!$R$692</f>
        <v>2077500</v>
      </c>
    </row>
    <row r="6" spans="1:6" ht="21" customHeight="1" x14ac:dyDescent="0.25">
      <c r="A6" s="5">
        <v>2</v>
      </c>
      <c r="B6" s="6" t="s">
        <v>65</v>
      </c>
      <c r="C6" s="7">
        <f>[6]krnmei!$R$225</f>
        <v>1000000</v>
      </c>
      <c r="D6" s="5">
        <v>30</v>
      </c>
      <c r="E6" s="6" t="s">
        <v>4</v>
      </c>
      <c r="F6" s="7">
        <f>[18]krnmei!$R$743</f>
        <v>633750</v>
      </c>
    </row>
    <row r="7" spans="1:6" ht="21" customHeight="1" x14ac:dyDescent="0.25">
      <c r="A7" s="5">
        <v>3</v>
      </c>
      <c r="B7" s="6" t="s">
        <v>48</v>
      </c>
      <c r="C7" s="7">
        <f>[18]krnmei!$R$250</f>
        <v>1122500</v>
      </c>
      <c r="D7" s="5">
        <v>31</v>
      </c>
      <c r="E7" s="6" t="s">
        <v>5</v>
      </c>
      <c r="F7" s="8">
        <f>[18]krnmei!$R$760</f>
        <v>341250</v>
      </c>
    </row>
    <row r="8" spans="1:6" ht="21" customHeight="1" x14ac:dyDescent="0.25">
      <c r="A8" s="5">
        <v>4</v>
      </c>
      <c r="B8" s="6" t="s">
        <v>41</v>
      </c>
      <c r="C8" s="7">
        <f>[18]krnmei!$R$284</f>
        <v>1467500</v>
      </c>
      <c r="D8" s="5">
        <v>32</v>
      </c>
      <c r="E8" s="6" t="s">
        <v>6</v>
      </c>
      <c r="F8" s="7">
        <f>[18]krnmei!$R$777</f>
        <v>660000</v>
      </c>
    </row>
    <row r="9" spans="1:6" ht="21" customHeight="1" x14ac:dyDescent="0.25">
      <c r="A9" s="5">
        <v>5</v>
      </c>
      <c r="B9" s="6" t="s">
        <v>42</v>
      </c>
      <c r="C9" s="9">
        <f>[6]krnmei!$R$293</f>
        <v>1800000</v>
      </c>
      <c r="D9" s="5">
        <v>33</v>
      </c>
      <c r="E9" s="6" t="s">
        <v>7</v>
      </c>
      <c r="F9" s="7">
        <f>[18]krnmei!$R$794</f>
        <v>656250</v>
      </c>
    </row>
    <row r="10" spans="1:6" ht="21" customHeight="1" x14ac:dyDescent="0.25">
      <c r="A10" s="5">
        <v>6</v>
      </c>
      <c r="B10" s="6" t="s">
        <v>43</v>
      </c>
      <c r="C10" s="7">
        <f>[13]krnmei!$R$314</f>
        <v>420000</v>
      </c>
      <c r="D10" s="5">
        <v>34</v>
      </c>
      <c r="E10" s="6" t="s">
        <v>8</v>
      </c>
      <c r="F10" s="7">
        <f>[18]krnmei!$R$811</f>
        <v>407000</v>
      </c>
    </row>
    <row r="11" spans="1:6" ht="21" customHeight="1" x14ac:dyDescent="0.25">
      <c r="A11" s="5">
        <v>7</v>
      </c>
      <c r="B11" s="6" t="s">
        <v>15</v>
      </c>
      <c r="C11" s="7">
        <f>[18]krnmei!$R$335</f>
        <v>837500</v>
      </c>
      <c r="D11" s="5">
        <v>35</v>
      </c>
      <c r="E11" s="6" t="s">
        <v>9</v>
      </c>
      <c r="F11" s="7">
        <f>[18]krnmei!$R$828</f>
        <v>513500</v>
      </c>
    </row>
    <row r="12" spans="1:6" ht="21" customHeight="1" x14ac:dyDescent="0.25">
      <c r="A12" s="5">
        <v>8</v>
      </c>
      <c r="B12" s="6" t="s">
        <v>44</v>
      </c>
      <c r="C12" s="7">
        <f>[18]krnmei!$R$369</f>
        <v>1902500</v>
      </c>
      <c r="D12" s="5">
        <v>36</v>
      </c>
      <c r="E12" s="6" t="s">
        <v>10</v>
      </c>
      <c r="F12" s="7">
        <f>[18]krnmei!$R$862</f>
        <v>483000</v>
      </c>
    </row>
    <row r="13" spans="1:6" ht="21" customHeight="1" x14ac:dyDescent="0.25">
      <c r="A13" s="5">
        <v>9</v>
      </c>
      <c r="B13" s="6" t="s">
        <v>37</v>
      </c>
      <c r="C13" s="7">
        <f>[18]krnmei!$R$386</f>
        <v>1221300</v>
      </c>
      <c r="D13" s="5">
        <v>37</v>
      </c>
      <c r="E13" s="6" t="s">
        <v>14</v>
      </c>
      <c r="F13" s="7">
        <f>[15]krnmei!$R$924</f>
        <v>100000</v>
      </c>
    </row>
    <row r="14" spans="1:6" ht="21" customHeight="1" x14ac:dyDescent="0.25">
      <c r="A14" s="5">
        <v>10</v>
      </c>
      <c r="B14" s="6" t="s">
        <v>36</v>
      </c>
      <c r="C14" s="7">
        <f>[13]krnmei!$R$399</f>
        <v>505000</v>
      </c>
      <c r="D14" s="5">
        <v>38</v>
      </c>
      <c r="E14" s="6" t="s">
        <v>16</v>
      </c>
      <c r="F14" s="7">
        <f>[18]krnmei!$R$981</f>
        <v>820000</v>
      </c>
    </row>
    <row r="15" spans="1:6" ht="21" customHeight="1" x14ac:dyDescent="0.25">
      <c r="A15" s="5">
        <v>11</v>
      </c>
      <c r="B15" s="6" t="s">
        <v>38</v>
      </c>
      <c r="C15" s="7">
        <f>[18]krnmei!$R$454</f>
        <v>1415000</v>
      </c>
      <c r="D15" s="5">
        <v>39</v>
      </c>
      <c r="E15" s="6" t="s">
        <v>23</v>
      </c>
      <c r="F15" s="7">
        <f>[18]krnmei!$R$1032</f>
        <v>333750</v>
      </c>
    </row>
    <row r="16" spans="1:6" ht="21" customHeight="1" x14ac:dyDescent="0.25">
      <c r="A16" s="5">
        <v>12</v>
      </c>
      <c r="B16" s="6" t="s">
        <v>39</v>
      </c>
      <c r="C16" s="7">
        <f>[18]krnmei!$R$522</f>
        <v>996000</v>
      </c>
      <c r="D16" s="5">
        <v>40</v>
      </c>
      <c r="E16" s="6" t="s">
        <v>21</v>
      </c>
      <c r="F16" s="7">
        <f>[18]krnmei!$R$1049</f>
        <v>672500</v>
      </c>
    </row>
    <row r="17" spans="1:6" ht="21" customHeight="1" x14ac:dyDescent="0.25">
      <c r="A17" s="5">
        <v>13</v>
      </c>
      <c r="B17" s="6" t="s">
        <v>18</v>
      </c>
      <c r="C17" s="7">
        <f>[18]krnmei!$R$556</f>
        <v>1290000</v>
      </c>
      <c r="D17" s="5">
        <v>41</v>
      </c>
      <c r="E17" s="6" t="s">
        <v>28</v>
      </c>
      <c r="F17" s="7">
        <f>[18]krnmei!$R$1134</f>
        <v>988375</v>
      </c>
    </row>
    <row r="18" spans="1:6" ht="21" customHeight="1" x14ac:dyDescent="0.25">
      <c r="A18" s="5">
        <v>14</v>
      </c>
      <c r="B18" s="6" t="s">
        <v>19</v>
      </c>
      <c r="C18" s="7">
        <f>[18]krnmei!$R$573</f>
        <v>2950000</v>
      </c>
      <c r="D18" s="5">
        <v>42</v>
      </c>
      <c r="E18" s="10" t="s">
        <v>29</v>
      </c>
      <c r="F18" s="7">
        <f>[18]krnmei!$R$505</f>
        <v>846565</v>
      </c>
    </row>
    <row r="19" spans="1:6" ht="21" customHeight="1" x14ac:dyDescent="0.25">
      <c r="A19" s="5">
        <v>15</v>
      </c>
      <c r="B19" s="6" t="s">
        <v>20</v>
      </c>
      <c r="C19" s="7">
        <f>[16]krnmei!$R$588</f>
        <v>125000</v>
      </c>
      <c r="D19" s="5">
        <v>43</v>
      </c>
      <c r="E19" s="11" t="s">
        <v>30</v>
      </c>
      <c r="F19" s="7">
        <f>[18]krnmei!$R$998</f>
        <v>1997500</v>
      </c>
    </row>
    <row r="20" spans="1:6" ht="21" customHeight="1" x14ac:dyDescent="0.25">
      <c r="A20" s="5">
        <v>16</v>
      </c>
      <c r="B20" s="6" t="s">
        <v>26</v>
      </c>
      <c r="C20" s="7">
        <f>[18]krnmei!$R$1066</f>
        <v>829000</v>
      </c>
      <c r="D20" s="5">
        <v>44</v>
      </c>
      <c r="E20" s="10" t="s">
        <v>33</v>
      </c>
      <c r="F20" s="7">
        <f>[6]krnmei!$R$1177</f>
        <v>250000</v>
      </c>
    </row>
    <row r="21" spans="1:6" ht="21" customHeight="1" x14ac:dyDescent="0.25">
      <c r="A21" s="5">
        <v>17</v>
      </c>
      <c r="B21" s="12" t="s">
        <v>24</v>
      </c>
      <c r="C21" s="7">
        <f>[14]krnmei!$R$1097</f>
        <v>475000</v>
      </c>
      <c r="D21" s="5">
        <v>45</v>
      </c>
      <c r="E21" s="11" t="s">
        <v>69</v>
      </c>
      <c r="F21" s="7">
        <f>[13]krnmei!$R$1198</f>
        <v>200000</v>
      </c>
    </row>
    <row r="22" spans="1:6" ht="21" customHeight="1" x14ac:dyDescent="0.25">
      <c r="A22" s="5">
        <v>18</v>
      </c>
      <c r="B22" s="6" t="s">
        <v>25</v>
      </c>
      <c r="C22" s="7">
        <f>[14]krnmei!$R$1114</f>
        <v>275000</v>
      </c>
      <c r="D22" s="5">
        <v>46</v>
      </c>
      <c r="E22" s="10" t="s">
        <v>56</v>
      </c>
      <c r="F22" s="7">
        <f>[18]krnmei!$R$1236</f>
        <v>550750</v>
      </c>
    </row>
    <row r="23" spans="1:6" ht="21" customHeight="1" x14ac:dyDescent="0.25">
      <c r="A23" s="5">
        <v>19</v>
      </c>
      <c r="B23" s="6" t="s">
        <v>40</v>
      </c>
      <c r="C23" s="7">
        <f>[18]krnmei!$R$1151</f>
        <v>1095000</v>
      </c>
      <c r="D23" s="5">
        <v>47</v>
      </c>
      <c r="E23" s="20" t="s">
        <v>59</v>
      </c>
      <c r="F23" s="7">
        <f>[15]krnmei!$R$1281</f>
        <v>650000</v>
      </c>
    </row>
    <row r="24" spans="1:6" ht="21" customHeight="1" x14ac:dyDescent="0.25">
      <c r="A24" s="5">
        <v>20</v>
      </c>
      <c r="B24" s="6" t="s">
        <v>50</v>
      </c>
      <c r="C24" s="7">
        <f>[17]krnmei!$R$1166</f>
        <v>360000</v>
      </c>
      <c r="D24" s="5">
        <v>48</v>
      </c>
      <c r="E24" s="20" t="s">
        <v>61</v>
      </c>
      <c r="F24" s="7">
        <f>[15]krnmei!$R$1315</f>
        <v>100000</v>
      </c>
    </row>
    <row r="25" spans="1:6" ht="21" customHeight="1" x14ac:dyDescent="0.25">
      <c r="A25" s="5">
        <v>21</v>
      </c>
      <c r="B25" s="14" t="s">
        <v>51</v>
      </c>
      <c r="C25" s="7">
        <f>[15]krnmei!$R$652</f>
        <v>-700000</v>
      </c>
      <c r="D25" s="5">
        <v>49</v>
      </c>
      <c r="E25" s="20" t="s">
        <v>62</v>
      </c>
      <c r="F25" s="7">
        <f>[15]krnmei!$R$1315</f>
        <v>100000</v>
      </c>
    </row>
    <row r="26" spans="1:6" ht="21" customHeight="1" x14ac:dyDescent="0.25">
      <c r="A26" s="5">
        <v>22</v>
      </c>
      <c r="B26" s="16" t="s">
        <v>12</v>
      </c>
      <c r="C26" s="7">
        <f>[16]krnmei!$R$894</f>
        <v>210000</v>
      </c>
      <c r="D26" s="5">
        <v>50</v>
      </c>
      <c r="E26" s="10" t="s">
        <v>63</v>
      </c>
      <c r="F26" s="7">
        <f>[15]krnmei!$R$1315</f>
        <v>100000</v>
      </c>
    </row>
    <row r="27" spans="1:6" ht="21" customHeight="1" x14ac:dyDescent="0.25">
      <c r="A27" s="5">
        <v>23</v>
      </c>
      <c r="B27" s="14" t="s">
        <v>52</v>
      </c>
      <c r="C27" s="7">
        <f>[18]krnmei!$R$1015</f>
        <v>673750</v>
      </c>
      <c r="D27" s="5">
        <v>51</v>
      </c>
      <c r="E27" s="6" t="s">
        <v>64</v>
      </c>
      <c r="F27" s="7">
        <f>[15]krnmei!$R$1315</f>
        <v>100000</v>
      </c>
    </row>
    <row r="28" spans="1:6" ht="21" customHeight="1" x14ac:dyDescent="0.25">
      <c r="A28" s="5">
        <v>24</v>
      </c>
      <c r="B28" s="14" t="s">
        <v>34</v>
      </c>
      <c r="C28" s="7">
        <f>[6]krnmei!$R$21</f>
        <v>200000</v>
      </c>
      <c r="D28" s="5">
        <v>52</v>
      </c>
      <c r="E28" s="10" t="s">
        <v>66</v>
      </c>
      <c r="F28" s="7">
        <f>[18]krnmei!$R$1389</f>
        <v>432500</v>
      </c>
    </row>
    <row r="29" spans="1:6" ht="21" customHeight="1" x14ac:dyDescent="0.25">
      <c r="A29" s="5">
        <v>25</v>
      </c>
      <c r="B29" s="25" t="s">
        <v>13</v>
      </c>
      <c r="C29" s="7">
        <f>[18]krnmei!$R$913</f>
        <v>1150000</v>
      </c>
      <c r="D29" s="5">
        <v>53</v>
      </c>
      <c r="E29" s="10" t="s">
        <v>67</v>
      </c>
      <c r="F29" s="7">
        <v>175000</v>
      </c>
    </row>
    <row r="30" spans="1:6" ht="21" customHeight="1" x14ac:dyDescent="0.25">
      <c r="A30" s="5">
        <v>26</v>
      </c>
      <c r="B30" s="25" t="s">
        <v>57</v>
      </c>
      <c r="C30" s="7">
        <v>300000</v>
      </c>
      <c r="D30" s="5">
        <v>54</v>
      </c>
      <c r="E30" s="6" t="s">
        <v>68</v>
      </c>
      <c r="F30" s="7">
        <v>50000</v>
      </c>
    </row>
    <row r="31" spans="1:6" ht="21" customHeight="1" x14ac:dyDescent="0.25">
      <c r="A31" s="5">
        <v>27</v>
      </c>
      <c r="B31" s="14" t="s">
        <v>58</v>
      </c>
      <c r="C31" s="7">
        <v>350000</v>
      </c>
      <c r="D31" s="5">
        <v>55</v>
      </c>
      <c r="E31" s="10" t="s">
        <v>72</v>
      </c>
      <c r="F31" s="7">
        <v>100000</v>
      </c>
    </row>
    <row r="32" spans="1:6" ht="21" customHeight="1" x14ac:dyDescent="0.25">
      <c r="A32" s="5">
        <v>28</v>
      </c>
      <c r="B32" s="14" t="s">
        <v>60</v>
      </c>
      <c r="C32" s="7">
        <v>300000</v>
      </c>
      <c r="D32" s="5"/>
      <c r="E32" s="10"/>
      <c r="F32" s="7"/>
    </row>
    <row r="33" spans="1:6" ht="21" customHeight="1" x14ac:dyDescent="0.25">
      <c r="A33" s="5"/>
      <c r="B33" s="25"/>
      <c r="C33" s="7"/>
      <c r="D33" s="5"/>
      <c r="E33" s="17"/>
      <c r="F33" s="17"/>
    </row>
    <row r="34" spans="1:6" ht="21" customHeight="1" x14ac:dyDescent="0.25">
      <c r="A34" s="27" t="s">
        <v>2</v>
      </c>
      <c r="B34" s="28"/>
      <c r="C34" s="18">
        <f>SUM(C5:C33)</f>
        <v>23800050</v>
      </c>
      <c r="D34" s="27" t="s">
        <v>2</v>
      </c>
      <c r="E34" s="28"/>
      <c r="F34" s="19">
        <f>SUM(F5:F33)</f>
        <v>14339190</v>
      </c>
    </row>
    <row r="35" spans="1:6" x14ac:dyDescent="0.25">
      <c r="A35" s="21"/>
      <c r="B35" s="21"/>
      <c r="C35" s="23"/>
      <c r="D35" s="21"/>
      <c r="E35" s="21"/>
      <c r="F35" s="24"/>
    </row>
    <row r="36" spans="1:6" x14ac:dyDescent="0.25">
      <c r="A36" s="21"/>
      <c r="B36" s="21"/>
      <c r="C36" s="23"/>
      <c r="D36" s="21"/>
      <c r="E36" s="21"/>
      <c r="F36" s="24"/>
    </row>
    <row r="37" spans="1:6" ht="15.75" x14ac:dyDescent="0.25">
      <c r="E37" s="22" t="s">
        <v>78</v>
      </c>
    </row>
    <row r="38" spans="1:6" ht="15.75" x14ac:dyDescent="0.25">
      <c r="E38" s="22" t="s">
        <v>31</v>
      </c>
    </row>
    <row r="39" spans="1:6" ht="15.75" x14ac:dyDescent="0.25">
      <c r="E39" s="22"/>
    </row>
    <row r="40" spans="1:6" ht="15.75" x14ac:dyDescent="0.25">
      <c r="E40" s="22"/>
    </row>
    <row r="41" spans="1:6" ht="15.75" x14ac:dyDescent="0.25">
      <c r="E41" s="22" t="s">
        <v>32</v>
      </c>
    </row>
  </sheetData>
  <mergeCells count="4">
    <mergeCell ref="A1:F1"/>
    <mergeCell ref="A2:F2"/>
    <mergeCell ref="A34:B34"/>
    <mergeCell ref="D34:E34"/>
  </mergeCells>
  <pageMargins left="0.9055118110236221" right="0.31496062992125984" top="0.74803149606299213" bottom="1.3385826771653544" header="0.31496062992125984" footer="0.31496062992125984"/>
  <pageSetup paperSize="5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72C7-C878-40EC-9CDF-3AB58B56111B}">
  <dimension ref="A1:F41"/>
  <sheetViews>
    <sheetView topLeftCell="A18" workbookViewId="0">
      <selection activeCell="N7" sqref="N7"/>
    </sheetView>
  </sheetViews>
  <sheetFormatPr defaultRowHeight="15" x14ac:dyDescent="0.25"/>
  <cols>
    <col min="1" max="1" width="5.5703125" customWidth="1"/>
    <col min="2" max="2" width="24.7109375" customWidth="1"/>
    <col min="3" max="3" width="17.28515625" customWidth="1"/>
    <col min="4" max="4" width="4.42578125" customWidth="1"/>
    <col min="5" max="5" width="23.42578125" customWidth="1"/>
    <col min="6" max="6" width="16.7109375" customWidth="1"/>
  </cols>
  <sheetData>
    <row r="1" spans="1:6" x14ac:dyDescent="0.25">
      <c r="A1" s="26" t="s">
        <v>22</v>
      </c>
      <c r="B1" s="26"/>
      <c r="C1" s="26"/>
      <c r="D1" s="26"/>
      <c r="E1" s="26"/>
      <c r="F1" s="26"/>
    </row>
    <row r="2" spans="1:6" x14ac:dyDescent="0.25">
      <c r="A2" s="26" t="s">
        <v>79</v>
      </c>
      <c r="B2" s="26"/>
      <c r="C2" s="26"/>
      <c r="D2" s="26"/>
      <c r="E2" s="26"/>
      <c r="F2" s="26"/>
    </row>
    <row r="3" spans="1:6" ht="15.75" x14ac:dyDescent="0.25">
      <c r="A3" s="4"/>
      <c r="B3" s="4"/>
      <c r="C3" s="4"/>
      <c r="D3" s="4"/>
      <c r="E3" s="4"/>
      <c r="F3" s="4"/>
    </row>
    <row r="4" spans="1:6" x14ac:dyDescent="0.25">
      <c r="A4" s="5" t="s">
        <v>0</v>
      </c>
      <c r="B4" s="5" t="s">
        <v>1</v>
      </c>
      <c r="C4" s="5" t="s">
        <v>2</v>
      </c>
      <c r="D4" s="5" t="s">
        <v>0</v>
      </c>
      <c r="E4" s="5" t="s">
        <v>1</v>
      </c>
      <c r="F4" s="5" t="s">
        <v>2</v>
      </c>
    </row>
    <row r="5" spans="1:6" x14ac:dyDescent="0.25">
      <c r="A5" s="5">
        <v>1</v>
      </c>
      <c r="B5" s="6" t="s">
        <v>46</v>
      </c>
      <c r="C5" s="7">
        <f>[18]krnmei!$R$148</f>
        <v>1230000</v>
      </c>
      <c r="D5" s="5">
        <v>30</v>
      </c>
      <c r="E5" s="6" t="s">
        <v>3</v>
      </c>
      <c r="F5" s="7">
        <f>[19]krnmei!$R$693</f>
        <v>-6020000</v>
      </c>
    </row>
    <row r="6" spans="1:6" x14ac:dyDescent="0.25">
      <c r="A6" s="5">
        <v>2</v>
      </c>
      <c r="B6" s="6" t="s">
        <v>65</v>
      </c>
      <c r="C6" s="7">
        <f>[6]krnmei!$R$225</f>
        <v>1000000</v>
      </c>
      <c r="D6" s="5">
        <v>31</v>
      </c>
      <c r="E6" s="6" t="s">
        <v>4</v>
      </c>
      <c r="F6" s="7">
        <f>[19]krnmei!$R$744</f>
        <v>555000</v>
      </c>
    </row>
    <row r="7" spans="1:6" x14ac:dyDescent="0.25">
      <c r="A7" s="5">
        <v>3</v>
      </c>
      <c r="B7" s="6" t="s">
        <v>48</v>
      </c>
      <c r="C7" s="7">
        <f>[19]krnmei!$R$251</f>
        <v>1115000</v>
      </c>
      <c r="D7" s="5">
        <v>32</v>
      </c>
      <c r="E7" s="6" t="s">
        <v>5</v>
      </c>
      <c r="F7" s="8">
        <f>[19]krnmei!$R$761</f>
        <v>338250</v>
      </c>
    </row>
    <row r="8" spans="1:6" x14ac:dyDescent="0.25">
      <c r="A8" s="5">
        <v>4</v>
      </c>
      <c r="B8" s="6" t="s">
        <v>41</v>
      </c>
      <c r="C8" s="7">
        <f>[19]krnmei!$R$285</f>
        <v>1460000</v>
      </c>
      <c r="D8" s="5">
        <v>33</v>
      </c>
      <c r="E8" s="6" t="s">
        <v>6</v>
      </c>
      <c r="F8" s="7">
        <f>[19]krnmei!$R$778</f>
        <v>652500</v>
      </c>
    </row>
    <row r="9" spans="1:6" x14ac:dyDescent="0.25">
      <c r="A9" s="5">
        <v>5</v>
      </c>
      <c r="B9" s="6" t="s">
        <v>42</v>
      </c>
      <c r="C9" s="9">
        <f>[6]krnmei!$R$293</f>
        <v>1800000</v>
      </c>
      <c r="D9" s="5">
        <v>34</v>
      </c>
      <c r="E9" s="6" t="s">
        <v>7</v>
      </c>
      <c r="F9" s="7">
        <f>[19]krnmei!$R$795</f>
        <v>651750</v>
      </c>
    </row>
    <row r="10" spans="1:6" x14ac:dyDescent="0.25">
      <c r="A10" s="5">
        <v>6</v>
      </c>
      <c r="B10" s="6" t="s">
        <v>43</v>
      </c>
      <c r="C10" s="7">
        <f>[13]krnmei!$R$314</f>
        <v>420000</v>
      </c>
      <c r="D10" s="5">
        <v>35</v>
      </c>
      <c r="E10" s="6" t="s">
        <v>8</v>
      </c>
      <c r="F10" s="7">
        <f>[19]krnmei!$R$812</f>
        <v>402500</v>
      </c>
    </row>
    <row r="11" spans="1:6" x14ac:dyDescent="0.25">
      <c r="A11" s="5">
        <v>7</v>
      </c>
      <c r="B11" s="6" t="s">
        <v>15</v>
      </c>
      <c r="C11" s="7">
        <f>[19]krnmei!$R$336</f>
        <v>873750</v>
      </c>
      <c r="D11" s="5">
        <v>36</v>
      </c>
      <c r="E11" s="6" t="s">
        <v>9</v>
      </c>
      <c r="F11" s="7">
        <f>[19]krnmei!$R$829</f>
        <v>512750</v>
      </c>
    </row>
    <row r="12" spans="1:6" x14ac:dyDescent="0.25">
      <c r="A12" s="5">
        <v>8</v>
      </c>
      <c r="B12" s="6" t="s">
        <v>44</v>
      </c>
      <c r="C12" s="7">
        <f>[19]krnmei!$R$370</f>
        <v>1895000</v>
      </c>
      <c r="D12" s="5">
        <v>37</v>
      </c>
      <c r="E12" s="6" t="s">
        <v>10</v>
      </c>
      <c r="F12" s="7">
        <f>[19]krnmei!$R$863</f>
        <v>477000</v>
      </c>
    </row>
    <row r="13" spans="1:6" x14ac:dyDescent="0.25">
      <c r="A13" s="5">
        <v>9</v>
      </c>
      <c r="B13" s="6" t="s">
        <v>37</v>
      </c>
      <c r="C13" s="7">
        <f>[19]krnmei!$R$387</f>
        <v>413800</v>
      </c>
      <c r="D13" s="5">
        <v>38</v>
      </c>
      <c r="E13" s="6" t="s">
        <v>14</v>
      </c>
      <c r="F13" s="7">
        <f>[15]krnmei!$R$924</f>
        <v>100000</v>
      </c>
    </row>
    <row r="14" spans="1:6" x14ac:dyDescent="0.25">
      <c r="A14" s="5">
        <v>10</v>
      </c>
      <c r="B14" s="6" t="s">
        <v>36</v>
      </c>
      <c r="C14" s="7">
        <f>[19]krnmei!$R$404</f>
        <v>1640000</v>
      </c>
      <c r="D14" s="5">
        <v>39</v>
      </c>
      <c r="E14" s="6" t="s">
        <v>16</v>
      </c>
      <c r="F14" s="7">
        <f>[19]krnmei!$R$982</f>
        <v>817000</v>
      </c>
    </row>
    <row r="15" spans="1:6" x14ac:dyDescent="0.25">
      <c r="A15" s="5">
        <v>11</v>
      </c>
      <c r="B15" s="6" t="s">
        <v>38</v>
      </c>
      <c r="C15" s="7">
        <f>[19]krnmei!$R$455</f>
        <v>-2192500</v>
      </c>
      <c r="D15" s="5">
        <v>40</v>
      </c>
      <c r="E15" s="6" t="s">
        <v>23</v>
      </c>
      <c r="F15" s="7">
        <f>[19]krnmei!$R$1032</f>
        <v>333750</v>
      </c>
    </row>
    <row r="16" spans="1:6" x14ac:dyDescent="0.25">
      <c r="A16" s="5">
        <v>12</v>
      </c>
      <c r="B16" s="6" t="s">
        <v>39</v>
      </c>
      <c r="C16" s="7">
        <f>[19]krnmei!$R$523</f>
        <v>1010000</v>
      </c>
      <c r="D16" s="5">
        <v>41</v>
      </c>
      <c r="E16" s="6" t="s">
        <v>21</v>
      </c>
      <c r="F16" s="7">
        <f>[19]krnmei!$R$1050</f>
        <v>665000</v>
      </c>
    </row>
    <row r="17" spans="1:6" x14ac:dyDescent="0.25">
      <c r="A17" s="5">
        <v>13</v>
      </c>
      <c r="B17" s="6" t="s">
        <v>18</v>
      </c>
      <c r="C17" s="7">
        <f>[19]krnmei!$R$557</f>
        <v>-1117500</v>
      </c>
      <c r="D17" s="5">
        <v>42</v>
      </c>
      <c r="E17" s="6" t="s">
        <v>28</v>
      </c>
      <c r="F17" s="7">
        <f>[19]krnmei!$R$1135</f>
        <v>980875</v>
      </c>
    </row>
    <row r="18" spans="1:6" x14ac:dyDescent="0.25">
      <c r="A18" s="5">
        <v>14</v>
      </c>
      <c r="B18" s="6" t="s">
        <v>19</v>
      </c>
      <c r="C18" s="7">
        <f>[19]krnmei!$R$574</f>
        <v>2935000</v>
      </c>
      <c r="D18" s="5">
        <v>43</v>
      </c>
      <c r="E18" s="10" t="s">
        <v>29</v>
      </c>
      <c r="F18" s="7">
        <f>[19]krnmei!$R$506</f>
        <v>844315</v>
      </c>
    </row>
    <row r="19" spans="1:6" x14ac:dyDescent="0.25">
      <c r="A19" s="5">
        <v>15</v>
      </c>
      <c r="B19" s="6" t="s">
        <v>20</v>
      </c>
      <c r="C19" s="7">
        <f>[19]krnmei!$R$591</f>
        <v>3350000</v>
      </c>
      <c r="D19" s="5">
        <v>44</v>
      </c>
      <c r="E19" s="11" t="s">
        <v>30</v>
      </c>
      <c r="F19" s="7">
        <f>[19]krnmei!$R$999</f>
        <v>1975000</v>
      </c>
    </row>
    <row r="20" spans="1:6" x14ac:dyDescent="0.25">
      <c r="A20" s="5">
        <v>16</v>
      </c>
      <c r="B20" s="6" t="s">
        <v>26</v>
      </c>
      <c r="C20" s="7">
        <f>[19]krnmei!$R$1067</f>
        <v>823000</v>
      </c>
      <c r="D20" s="5">
        <v>45</v>
      </c>
      <c r="E20" s="10" t="s">
        <v>33</v>
      </c>
      <c r="F20" s="7">
        <f>[6]krnmei!$R$1177</f>
        <v>250000</v>
      </c>
    </row>
    <row r="21" spans="1:6" x14ac:dyDescent="0.25">
      <c r="A21" s="5">
        <v>17</v>
      </c>
      <c r="B21" s="12" t="s">
        <v>24</v>
      </c>
      <c r="C21" s="7">
        <f>[14]krnmei!$R$1097</f>
        <v>475000</v>
      </c>
      <c r="D21" s="5">
        <v>46</v>
      </c>
      <c r="E21" s="11" t="s">
        <v>69</v>
      </c>
      <c r="F21" s="7">
        <f>[13]krnmei!$R$1198</f>
        <v>200000</v>
      </c>
    </row>
    <row r="22" spans="1:6" x14ac:dyDescent="0.25">
      <c r="A22" s="5">
        <v>18</v>
      </c>
      <c r="B22" s="6" t="s">
        <v>25</v>
      </c>
      <c r="C22" s="7">
        <f>[14]krnmei!$R$1114</f>
        <v>275000</v>
      </c>
      <c r="D22" s="5">
        <v>47</v>
      </c>
      <c r="E22" s="10" t="s">
        <v>56</v>
      </c>
      <c r="F22" s="7">
        <f>[19]krnmei!$R$1237</f>
        <v>544750</v>
      </c>
    </row>
    <row r="23" spans="1:6" x14ac:dyDescent="0.25">
      <c r="A23" s="5">
        <v>19</v>
      </c>
      <c r="B23" s="6" t="s">
        <v>40</v>
      </c>
      <c r="C23" s="7">
        <f>[19]krnmei!$R$1152</f>
        <v>1087500</v>
      </c>
      <c r="D23" s="5">
        <v>48</v>
      </c>
      <c r="E23" s="20" t="s">
        <v>59</v>
      </c>
      <c r="F23" s="7">
        <f>[15]krnmei!$R$1281</f>
        <v>650000</v>
      </c>
    </row>
    <row r="24" spans="1:6" x14ac:dyDescent="0.25">
      <c r="A24" s="5">
        <v>20</v>
      </c>
      <c r="B24" s="6" t="s">
        <v>50</v>
      </c>
      <c r="C24" s="7">
        <f>[17]krnmei!$R$1166</f>
        <v>360000</v>
      </c>
      <c r="D24" s="5">
        <v>49</v>
      </c>
      <c r="E24" s="20" t="s">
        <v>61</v>
      </c>
      <c r="F24" s="7">
        <f>[15]krnmei!$R$1315</f>
        <v>100000</v>
      </c>
    </row>
    <row r="25" spans="1:6" x14ac:dyDescent="0.25">
      <c r="A25" s="5">
        <v>21</v>
      </c>
      <c r="B25" s="14" t="s">
        <v>51</v>
      </c>
      <c r="C25" s="7">
        <f>[15]krnmei!$R$652</f>
        <v>-700000</v>
      </c>
      <c r="D25" s="5">
        <v>50</v>
      </c>
      <c r="E25" s="20" t="s">
        <v>62</v>
      </c>
      <c r="F25" s="7">
        <f>[15]krnmei!$R$1315</f>
        <v>100000</v>
      </c>
    </row>
    <row r="26" spans="1:6" x14ac:dyDescent="0.25">
      <c r="A26" s="5">
        <v>22</v>
      </c>
      <c r="B26" s="16" t="s">
        <v>12</v>
      </c>
      <c r="C26" s="7">
        <f>[19]krnmei!$R$897</f>
        <v>310000</v>
      </c>
      <c r="D26" s="5">
        <v>51</v>
      </c>
      <c r="E26" s="10" t="s">
        <v>63</v>
      </c>
      <c r="F26" s="7">
        <f>[15]krnmei!$R$1315</f>
        <v>100000</v>
      </c>
    </row>
    <row r="27" spans="1:6" x14ac:dyDescent="0.25">
      <c r="A27" s="5">
        <v>23</v>
      </c>
      <c r="B27" s="14" t="s">
        <v>52</v>
      </c>
      <c r="C27" s="7">
        <f>[19]krnmei!$R$1016</f>
        <v>666250</v>
      </c>
      <c r="D27" s="5">
        <v>52</v>
      </c>
      <c r="E27" s="6" t="s">
        <v>64</v>
      </c>
      <c r="F27" s="7">
        <f>[15]krnmei!$R$1315</f>
        <v>100000</v>
      </c>
    </row>
    <row r="28" spans="1:6" x14ac:dyDescent="0.25">
      <c r="A28" s="5">
        <v>24</v>
      </c>
      <c r="B28" s="14" t="s">
        <v>34</v>
      </c>
      <c r="C28" s="7">
        <f>[6]krnmei!$R$21</f>
        <v>200000</v>
      </c>
      <c r="D28" s="5">
        <v>53</v>
      </c>
      <c r="E28" s="10" t="s">
        <v>66</v>
      </c>
      <c r="F28" s="7">
        <f>[19]krnmei!$R$1390</f>
        <v>100000</v>
      </c>
    </row>
    <row r="29" spans="1:6" x14ac:dyDescent="0.25">
      <c r="A29" s="5">
        <v>25</v>
      </c>
      <c r="B29" s="25" t="s">
        <v>13</v>
      </c>
      <c r="C29" s="7">
        <f>[19]krnmei!$R$914</f>
        <v>1141000</v>
      </c>
      <c r="D29" s="5">
        <v>54</v>
      </c>
      <c r="E29" s="10" t="s">
        <v>67</v>
      </c>
      <c r="F29" s="7">
        <f>[19]krnmei!$R$1407</f>
        <v>1325000</v>
      </c>
    </row>
    <row r="30" spans="1:6" x14ac:dyDescent="0.25">
      <c r="A30" s="5">
        <v>26</v>
      </c>
      <c r="B30" s="25" t="s">
        <v>57</v>
      </c>
      <c r="C30" s="7">
        <v>300000</v>
      </c>
      <c r="D30" s="5">
        <v>55</v>
      </c>
      <c r="E30" s="6" t="s">
        <v>68</v>
      </c>
      <c r="F30" s="7">
        <v>50000</v>
      </c>
    </row>
    <row r="31" spans="1:6" x14ac:dyDescent="0.25">
      <c r="A31" s="5">
        <v>27</v>
      </c>
      <c r="B31" s="14" t="s">
        <v>58</v>
      </c>
      <c r="C31" s="7">
        <v>350000</v>
      </c>
      <c r="D31" s="5">
        <v>56</v>
      </c>
      <c r="E31" s="10" t="s">
        <v>72</v>
      </c>
      <c r="F31" s="7">
        <v>100000</v>
      </c>
    </row>
    <row r="32" spans="1:6" x14ac:dyDescent="0.25">
      <c r="A32" s="5">
        <v>28</v>
      </c>
      <c r="B32" s="14" t="s">
        <v>60</v>
      </c>
      <c r="C32" s="7">
        <v>300000</v>
      </c>
      <c r="D32" s="5"/>
      <c r="E32" s="10"/>
      <c r="F32" s="7"/>
    </row>
    <row r="33" spans="1:6" x14ac:dyDescent="0.25">
      <c r="A33" s="5"/>
      <c r="B33" s="25"/>
      <c r="C33" s="7"/>
      <c r="D33" s="5"/>
      <c r="E33" s="17"/>
      <c r="F33" s="17"/>
    </row>
    <row r="34" spans="1:6" x14ac:dyDescent="0.25">
      <c r="A34" s="27" t="s">
        <v>2</v>
      </c>
      <c r="B34" s="28"/>
      <c r="C34" s="18">
        <f>SUM(C5:C33)</f>
        <v>21420300</v>
      </c>
      <c r="D34" s="27" t="s">
        <v>2</v>
      </c>
      <c r="E34" s="28"/>
      <c r="F34" s="19">
        <f>SUM(F5:F33)</f>
        <v>6905440</v>
      </c>
    </row>
    <row r="35" spans="1:6" x14ac:dyDescent="0.25">
      <c r="A35" s="21"/>
      <c r="B35" s="21"/>
      <c r="C35" s="23"/>
      <c r="D35" s="21"/>
      <c r="E35" s="21"/>
      <c r="F35" s="24"/>
    </row>
    <row r="36" spans="1:6" x14ac:dyDescent="0.25">
      <c r="A36" s="21"/>
      <c r="B36" s="21"/>
      <c r="C36" s="23"/>
      <c r="D36" s="21"/>
      <c r="E36" s="21"/>
      <c r="F36" s="24"/>
    </row>
    <row r="37" spans="1:6" ht="15.75" x14ac:dyDescent="0.25">
      <c r="E37" s="22" t="s">
        <v>80</v>
      </c>
    </row>
    <row r="38" spans="1:6" ht="15.75" x14ac:dyDescent="0.25">
      <c r="E38" s="22" t="s">
        <v>31</v>
      </c>
    </row>
    <row r="39" spans="1:6" ht="15.75" x14ac:dyDescent="0.25">
      <c r="E39" s="22"/>
    </row>
    <row r="40" spans="1:6" ht="15.75" x14ac:dyDescent="0.25">
      <c r="E40" s="22"/>
    </row>
    <row r="41" spans="1:6" ht="15.75" x14ac:dyDescent="0.25">
      <c r="E41" s="22" t="s">
        <v>32</v>
      </c>
    </row>
  </sheetData>
  <mergeCells count="4">
    <mergeCell ref="A1:F1"/>
    <mergeCell ref="A2:F2"/>
    <mergeCell ref="A34:B34"/>
    <mergeCell ref="D34:E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F7D4-F4BC-47EF-843E-B1AD9D2F115E}">
  <dimension ref="A1:F41"/>
  <sheetViews>
    <sheetView workbookViewId="0">
      <selection sqref="A1:F42"/>
    </sheetView>
  </sheetViews>
  <sheetFormatPr defaultRowHeight="15" x14ac:dyDescent="0.25"/>
  <cols>
    <col min="1" max="1" width="5.5703125" customWidth="1"/>
    <col min="2" max="2" width="24.7109375" customWidth="1"/>
    <col min="3" max="3" width="17.28515625" customWidth="1"/>
    <col min="4" max="4" width="4.42578125" customWidth="1"/>
    <col min="5" max="5" width="23.42578125" customWidth="1"/>
    <col min="6" max="6" width="16.7109375" customWidth="1"/>
  </cols>
  <sheetData>
    <row r="1" spans="1:6" x14ac:dyDescent="0.25">
      <c r="A1" s="26" t="s">
        <v>22</v>
      </c>
      <c r="B1" s="26"/>
      <c r="C1" s="26"/>
      <c r="D1" s="26"/>
      <c r="E1" s="26"/>
      <c r="F1" s="26"/>
    </row>
    <row r="2" spans="1:6" x14ac:dyDescent="0.25">
      <c r="A2" s="26" t="s">
        <v>81</v>
      </c>
      <c r="B2" s="26"/>
      <c r="C2" s="26"/>
      <c r="D2" s="26"/>
      <c r="E2" s="26"/>
      <c r="F2" s="26"/>
    </row>
    <row r="3" spans="1:6" ht="15.75" x14ac:dyDescent="0.25">
      <c r="A3" s="4"/>
      <c r="B3" s="4"/>
      <c r="C3" s="4"/>
      <c r="D3" s="4"/>
      <c r="E3" s="4"/>
      <c r="F3" s="4"/>
    </row>
    <row r="4" spans="1:6" x14ac:dyDescent="0.25">
      <c r="A4" s="5" t="s">
        <v>0</v>
      </c>
      <c r="B4" s="5" t="s">
        <v>1</v>
      </c>
      <c r="C4" s="5" t="s">
        <v>2</v>
      </c>
      <c r="D4" s="5" t="s">
        <v>0</v>
      </c>
      <c r="E4" s="5" t="s">
        <v>1</v>
      </c>
      <c r="F4" s="5" t="s">
        <v>2</v>
      </c>
    </row>
    <row r="5" spans="1:6" x14ac:dyDescent="0.25">
      <c r="A5" s="5">
        <v>1</v>
      </c>
      <c r="B5" s="6" t="s">
        <v>46</v>
      </c>
      <c r="C5" s="7">
        <f>[18]krnmei!$R$148</f>
        <v>1230000</v>
      </c>
      <c r="D5" s="5">
        <v>29</v>
      </c>
      <c r="E5" s="6" t="s">
        <v>3</v>
      </c>
      <c r="F5" s="7">
        <f>[20]krnmei!$R$694</f>
        <v>5957500</v>
      </c>
    </row>
    <row r="6" spans="1:6" x14ac:dyDescent="0.25">
      <c r="A6" s="5">
        <v>2</v>
      </c>
      <c r="B6" s="6" t="s">
        <v>65</v>
      </c>
      <c r="C6" s="7">
        <f>[6]krnmei!$R$225</f>
        <v>1000000</v>
      </c>
      <c r="D6" s="5">
        <v>30</v>
      </c>
      <c r="E6" s="6" t="s">
        <v>4</v>
      </c>
      <c r="F6" s="7">
        <f>[20]krnmei!$R$745</f>
        <v>551250</v>
      </c>
    </row>
    <row r="7" spans="1:6" x14ac:dyDescent="0.25">
      <c r="A7" s="5">
        <v>3</v>
      </c>
      <c r="B7" s="6" t="s">
        <v>48</v>
      </c>
      <c r="C7" s="7">
        <f>[20]krnmei!$R$252</f>
        <v>1107500</v>
      </c>
      <c r="D7" s="5">
        <v>31</v>
      </c>
      <c r="E7" s="6" t="s">
        <v>5</v>
      </c>
      <c r="F7" s="8">
        <f>[20]krnmei!$R$762</f>
        <v>335250</v>
      </c>
    </row>
    <row r="8" spans="1:6" x14ac:dyDescent="0.25">
      <c r="A8" s="5">
        <v>4</v>
      </c>
      <c r="B8" s="6" t="s">
        <v>41</v>
      </c>
      <c r="C8" s="7">
        <f>[20]krnmei!$R$286</f>
        <v>1452500</v>
      </c>
      <c r="D8" s="5">
        <v>32</v>
      </c>
      <c r="E8" s="6" t="s">
        <v>6</v>
      </c>
      <c r="F8" s="7">
        <f>[20]krnmei!$R$779</f>
        <v>645000</v>
      </c>
    </row>
    <row r="9" spans="1:6" x14ac:dyDescent="0.25">
      <c r="A9" s="5">
        <v>5</v>
      </c>
      <c r="B9" s="6" t="s">
        <v>42</v>
      </c>
      <c r="C9" s="9">
        <f>[6]krnmei!$R$293</f>
        <v>1800000</v>
      </c>
      <c r="D9" s="5">
        <v>33</v>
      </c>
      <c r="E9" s="6" t="s">
        <v>7</v>
      </c>
      <c r="F9" s="7">
        <f>[20]krnmei!$R$796</f>
        <v>647250</v>
      </c>
    </row>
    <row r="10" spans="1:6" x14ac:dyDescent="0.25">
      <c r="A10" s="5">
        <v>6</v>
      </c>
      <c r="B10" s="6" t="s">
        <v>43</v>
      </c>
      <c r="C10" s="7">
        <f>[13]krnmei!$R$314</f>
        <v>420000</v>
      </c>
      <c r="D10" s="5">
        <v>34</v>
      </c>
      <c r="E10" s="6" t="s">
        <v>8</v>
      </c>
      <c r="F10" s="7">
        <f>[20]krnmei!$R$813</f>
        <v>398000</v>
      </c>
    </row>
    <row r="11" spans="1:6" x14ac:dyDescent="0.25">
      <c r="A11" s="5">
        <v>7</v>
      </c>
      <c r="B11" s="6" t="s">
        <v>15</v>
      </c>
      <c r="C11" s="7">
        <f>[20]krnmei!$R$337</f>
        <v>870000</v>
      </c>
      <c r="D11" s="5">
        <v>35</v>
      </c>
      <c r="E11" s="6" t="s">
        <v>9</v>
      </c>
      <c r="F11" s="7">
        <f>[20]krnmei!$R$830</f>
        <v>512000</v>
      </c>
    </row>
    <row r="12" spans="1:6" x14ac:dyDescent="0.25">
      <c r="A12" s="5">
        <v>8</v>
      </c>
      <c r="B12" s="6" t="s">
        <v>44</v>
      </c>
      <c r="C12" s="7">
        <f>[20]krnmei!$R$371</f>
        <v>1887500</v>
      </c>
      <c r="D12" s="5">
        <v>36</v>
      </c>
      <c r="E12" s="6" t="s">
        <v>10</v>
      </c>
      <c r="F12" s="7">
        <f>[20]krnmei!$R$864</f>
        <v>471000</v>
      </c>
    </row>
    <row r="13" spans="1:6" x14ac:dyDescent="0.25">
      <c r="A13" s="5">
        <v>9</v>
      </c>
      <c r="B13" s="6" t="s">
        <v>37</v>
      </c>
      <c r="C13" s="7">
        <f>[20]krnmei!$R$388</f>
        <v>1206300</v>
      </c>
      <c r="D13" s="5">
        <v>37</v>
      </c>
      <c r="E13" s="6" t="s">
        <v>14</v>
      </c>
      <c r="F13" s="7">
        <f>[15]krnmei!$R$924</f>
        <v>100000</v>
      </c>
    </row>
    <row r="14" spans="1:6" x14ac:dyDescent="0.25">
      <c r="A14" s="5">
        <v>10</v>
      </c>
      <c r="B14" s="6" t="s">
        <v>36</v>
      </c>
      <c r="C14" s="7">
        <f>[20]krnmei!$R$405</f>
        <v>1625000</v>
      </c>
      <c r="D14" s="5">
        <v>38</v>
      </c>
      <c r="E14" s="6" t="s">
        <v>16</v>
      </c>
      <c r="F14" s="7">
        <f>[20]krnmei!$R$983</f>
        <v>814000</v>
      </c>
    </row>
    <row r="15" spans="1:6" x14ac:dyDescent="0.25">
      <c r="A15" s="5">
        <v>11</v>
      </c>
      <c r="B15" s="6" t="s">
        <v>38</v>
      </c>
      <c r="C15" s="7">
        <f>[20]krnmei!$R$456</f>
        <v>1400000</v>
      </c>
      <c r="D15" s="5">
        <v>39</v>
      </c>
      <c r="E15" s="6" t="s">
        <v>23</v>
      </c>
      <c r="F15" s="7">
        <f>[20]krnmei!$R$1034</f>
        <v>80000</v>
      </c>
    </row>
    <row r="16" spans="1:6" x14ac:dyDescent="0.25">
      <c r="A16" s="5">
        <v>12</v>
      </c>
      <c r="B16" s="6" t="s">
        <v>39</v>
      </c>
      <c r="C16" s="7">
        <f>[20]krnmei!$R$524</f>
        <v>1004000</v>
      </c>
      <c r="D16" s="5">
        <v>40</v>
      </c>
      <c r="E16" s="6" t="s">
        <v>21</v>
      </c>
      <c r="F16" s="7">
        <f>[20]krnmei!$R$1051</f>
        <v>657500</v>
      </c>
    </row>
    <row r="17" spans="1:6" x14ac:dyDescent="0.25">
      <c r="A17" s="5">
        <v>13</v>
      </c>
      <c r="B17" s="6" t="s">
        <v>18</v>
      </c>
      <c r="C17" s="7">
        <f>[20]krnmei!$R$558</f>
        <v>1275000</v>
      </c>
      <c r="D17" s="5">
        <v>41</v>
      </c>
      <c r="E17" s="6" t="s">
        <v>28</v>
      </c>
      <c r="F17" s="7">
        <f>[20]krnmei!$R$1136</f>
        <v>973375</v>
      </c>
    </row>
    <row r="18" spans="1:6" x14ac:dyDescent="0.25">
      <c r="A18" s="5">
        <v>14</v>
      </c>
      <c r="B18" s="6" t="s">
        <v>19</v>
      </c>
      <c r="C18" s="7">
        <f>[20]krnmei!$R$575</f>
        <v>2920000</v>
      </c>
      <c r="D18" s="5">
        <v>42</v>
      </c>
      <c r="E18" s="10" t="s">
        <v>29</v>
      </c>
      <c r="F18" s="7">
        <f>[20]krnmei!$R$507</f>
        <v>842065</v>
      </c>
    </row>
    <row r="19" spans="1:6" x14ac:dyDescent="0.25">
      <c r="A19" s="5">
        <v>15</v>
      </c>
      <c r="B19" s="6" t="s">
        <v>20</v>
      </c>
      <c r="C19" s="7">
        <f>[20]krnmei!$R$592</f>
        <v>12305000</v>
      </c>
      <c r="D19" s="5">
        <v>43</v>
      </c>
      <c r="E19" s="11" t="s">
        <v>30</v>
      </c>
      <c r="F19" s="7">
        <f>[20]krnmei!$R$1000</f>
        <v>1952500</v>
      </c>
    </row>
    <row r="20" spans="1:6" x14ac:dyDescent="0.25">
      <c r="A20" s="5">
        <v>16</v>
      </c>
      <c r="B20" s="6" t="s">
        <v>26</v>
      </c>
      <c r="C20" s="7">
        <f>[20]krnmei!$R$1068</f>
        <v>847000</v>
      </c>
      <c r="D20" s="5">
        <v>44</v>
      </c>
      <c r="E20" s="10" t="s">
        <v>33</v>
      </c>
      <c r="F20" s="7">
        <f>[6]krnmei!$R$1177</f>
        <v>250000</v>
      </c>
    </row>
    <row r="21" spans="1:6" x14ac:dyDescent="0.25">
      <c r="A21" s="5">
        <v>17</v>
      </c>
      <c r="B21" s="12" t="s">
        <v>24</v>
      </c>
      <c r="C21" s="7">
        <f>[14]krnmei!$R$1097</f>
        <v>475000</v>
      </c>
      <c r="D21" s="5">
        <v>45</v>
      </c>
      <c r="E21" s="11" t="s">
        <v>69</v>
      </c>
      <c r="F21" s="7">
        <f>[13]krnmei!$R$1198</f>
        <v>200000</v>
      </c>
    </row>
    <row r="22" spans="1:6" x14ac:dyDescent="0.25">
      <c r="A22" s="5">
        <v>18</v>
      </c>
      <c r="B22" s="6" t="s">
        <v>25</v>
      </c>
      <c r="C22" s="7">
        <f>[14]krnmei!$R$1114</f>
        <v>275000</v>
      </c>
      <c r="D22" s="5">
        <v>46</v>
      </c>
      <c r="E22" s="10" t="s">
        <v>56</v>
      </c>
      <c r="F22" s="7">
        <f>[20]krnmei!$R$1238</f>
        <v>538750</v>
      </c>
    </row>
    <row r="23" spans="1:6" x14ac:dyDescent="0.25">
      <c r="A23" s="5">
        <v>19</v>
      </c>
      <c r="B23" s="6" t="s">
        <v>40</v>
      </c>
      <c r="C23" s="7">
        <f>[20]krnmei!$R$1153</f>
        <v>1080000</v>
      </c>
      <c r="D23" s="5">
        <v>47</v>
      </c>
      <c r="E23" s="20" t="s">
        <v>59</v>
      </c>
      <c r="F23" s="7">
        <f>[15]krnmei!$R$1281</f>
        <v>650000</v>
      </c>
    </row>
    <row r="24" spans="1:6" x14ac:dyDescent="0.25">
      <c r="A24" s="5">
        <v>20</v>
      </c>
      <c r="B24" s="6" t="s">
        <v>50</v>
      </c>
      <c r="C24" s="7">
        <f>[17]krnmei!$R$1166</f>
        <v>360000</v>
      </c>
      <c r="D24" s="5">
        <v>48</v>
      </c>
      <c r="E24" s="20" t="s">
        <v>61</v>
      </c>
      <c r="F24" s="7">
        <f>[15]krnmei!$R$1315</f>
        <v>100000</v>
      </c>
    </row>
    <row r="25" spans="1:6" x14ac:dyDescent="0.25">
      <c r="A25" s="5">
        <v>21</v>
      </c>
      <c r="B25" s="14" t="s">
        <v>51</v>
      </c>
      <c r="C25" s="7">
        <f>[15]krnmei!$R$652</f>
        <v>-700000</v>
      </c>
      <c r="D25" s="5">
        <v>49</v>
      </c>
      <c r="E25" s="20" t="s">
        <v>62</v>
      </c>
      <c r="F25" s="7">
        <f>[15]krnmei!$R$1315</f>
        <v>100000</v>
      </c>
    </row>
    <row r="26" spans="1:6" x14ac:dyDescent="0.25">
      <c r="A26" s="5">
        <v>22</v>
      </c>
      <c r="B26" s="16" t="s">
        <v>12</v>
      </c>
      <c r="C26" s="7">
        <f>[19]krnmei!$R$897</f>
        <v>310000</v>
      </c>
      <c r="D26" s="5">
        <v>50</v>
      </c>
      <c r="E26" s="10" t="s">
        <v>63</v>
      </c>
      <c r="F26" s="7">
        <f>[15]krnmei!$R$1315</f>
        <v>100000</v>
      </c>
    </row>
    <row r="27" spans="1:6" x14ac:dyDescent="0.25">
      <c r="A27" s="5">
        <v>23</v>
      </c>
      <c r="B27" s="14" t="s">
        <v>52</v>
      </c>
      <c r="C27" s="7">
        <f>[20]krnmei!$R$1017</f>
        <v>658750</v>
      </c>
      <c r="D27" s="5">
        <v>51</v>
      </c>
      <c r="E27" s="6" t="s">
        <v>64</v>
      </c>
      <c r="F27" s="7">
        <f>[15]krnmei!$R$1315</f>
        <v>100000</v>
      </c>
    </row>
    <row r="28" spans="1:6" x14ac:dyDescent="0.25">
      <c r="A28" s="5">
        <v>24</v>
      </c>
      <c r="B28" s="14" t="s">
        <v>34</v>
      </c>
      <c r="C28" s="7">
        <f>[6]krnmei!$R$21</f>
        <v>200000</v>
      </c>
      <c r="D28" s="5">
        <v>52</v>
      </c>
      <c r="E28" s="10" t="s">
        <v>66</v>
      </c>
      <c r="F28" s="7">
        <f>[20]krnmei!$R$1391</f>
        <v>220000</v>
      </c>
    </row>
    <row r="29" spans="1:6" x14ac:dyDescent="0.25">
      <c r="A29" s="5">
        <v>25</v>
      </c>
      <c r="B29" s="25" t="s">
        <v>13</v>
      </c>
      <c r="C29" s="7">
        <f>[20]krnmei!$R$915</f>
        <v>1132000</v>
      </c>
      <c r="D29" s="5">
        <v>53</v>
      </c>
      <c r="E29" s="10" t="s">
        <v>67</v>
      </c>
      <c r="F29" s="7">
        <f>[20]krnmei!$R$1408</f>
        <v>1310000</v>
      </c>
    </row>
    <row r="30" spans="1:6" x14ac:dyDescent="0.25">
      <c r="A30" s="5">
        <v>26</v>
      </c>
      <c r="B30" s="25" t="s">
        <v>57</v>
      </c>
      <c r="C30" s="7">
        <v>300000</v>
      </c>
      <c r="D30" s="5">
        <v>54</v>
      </c>
      <c r="E30" s="6" t="s">
        <v>68</v>
      </c>
      <c r="F30" s="7">
        <v>50000</v>
      </c>
    </row>
    <row r="31" spans="1:6" x14ac:dyDescent="0.25">
      <c r="A31" s="5">
        <v>27</v>
      </c>
      <c r="B31" s="14" t="s">
        <v>58</v>
      </c>
      <c r="C31" s="7">
        <v>350000</v>
      </c>
      <c r="D31" s="5">
        <v>55</v>
      </c>
      <c r="E31" s="10" t="s">
        <v>72</v>
      </c>
      <c r="F31" s="7">
        <v>100000</v>
      </c>
    </row>
    <row r="32" spans="1:6" x14ac:dyDescent="0.25">
      <c r="A32" s="5">
        <v>28</v>
      </c>
      <c r="B32" s="14" t="s">
        <v>60</v>
      </c>
      <c r="C32" s="7">
        <v>300000</v>
      </c>
      <c r="D32" s="5"/>
      <c r="E32" s="10"/>
      <c r="F32" s="7"/>
    </row>
    <row r="33" spans="1:6" x14ac:dyDescent="0.25">
      <c r="A33" s="5"/>
      <c r="B33" s="25"/>
      <c r="C33" s="7"/>
      <c r="D33" s="5"/>
      <c r="E33" s="17"/>
      <c r="F33" s="17"/>
    </row>
    <row r="34" spans="1:6" x14ac:dyDescent="0.25">
      <c r="A34" s="27" t="s">
        <v>2</v>
      </c>
      <c r="B34" s="28"/>
      <c r="C34" s="18">
        <f>SUM(C5:C33)</f>
        <v>37090550</v>
      </c>
      <c r="D34" s="27" t="s">
        <v>2</v>
      </c>
      <c r="E34" s="28"/>
      <c r="F34" s="19">
        <f>SUM(F5:F33)</f>
        <v>18655440</v>
      </c>
    </row>
    <row r="35" spans="1:6" x14ac:dyDescent="0.25">
      <c r="A35" s="21"/>
      <c r="B35" s="21"/>
      <c r="C35" s="23"/>
      <c r="D35" s="21"/>
      <c r="E35" s="21"/>
      <c r="F35" s="24"/>
    </row>
    <row r="36" spans="1:6" x14ac:dyDescent="0.25">
      <c r="A36" s="21"/>
      <c r="B36" s="21"/>
      <c r="C36" s="23"/>
      <c r="D36" s="21"/>
      <c r="E36" s="21"/>
      <c r="F36" s="24"/>
    </row>
    <row r="37" spans="1:6" ht="15.75" x14ac:dyDescent="0.25">
      <c r="E37" s="22" t="s">
        <v>82</v>
      </c>
    </row>
    <row r="38" spans="1:6" ht="15.75" x14ac:dyDescent="0.25">
      <c r="E38" s="22" t="s">
        <v>31</v>
      </c>
    </row>
    <row r="39" spans="1:6" ht="15.75" x14ac:dyDescent="0.25">
      <c r="E39" s="22"/>
    </row>
    <row r="40" spans="1:6" ht="15.75" x14ac:dyDescent="0.25">
      <c r="E40" s="22"/>
    </row>
    <row r="41" spans="1:6" ht="15.75" x14ac:dyDescent="0.25">
      <c r="E41" s="22" t="s">
        <v>32</v>
      </c>
    </row>
  </sheetData>
  <mergeCells count="4">
    <mergeCell ref="A1:F1"/>
    <mergeCell ref="A2:F2"/>
    <mergeCell ref="A34:B34"/>
    <mergeCell ref="D34:E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9059-BDBC-4825-ACDF-3903E8E8A5BC}">
  <dimension ref="A1:F41"/>
  <sheetViews>
    <sheetView topLeftCell="A17" workbookViewId="0">
      <selection activeCell="E5" sqref="E5:E31"/>
    </sheetView>
  </sheetViews>
  <sheetFormatPr defaultRowHeight="15" x14ac:dyDescent="0.25"/>
  <cols>
    <col min="1" max="1" width="5.5703125" customWidth="1"/>
    <col min="2" max="2" width="24.7109375" customWidth="1"/>
    <col min="3" max="3" width="17.28515625" customWidth="1"/>
    <col min="4" max="4" width="4.42578125" customWidth="1"/>
    <col min="5" max="5" width="23.42578125" customWidth="1"/>
    <col min="6" max="6" width="16.7109375" customWidth="1"/>
  </cols>
  <sheetData>
    <row r="1" spans="1:6" x14ac:dyDescent="0.25">
      <c r="A1" s="26" t="s">
        <v>22</v>
      </c>
      <c r="B1" s="26"/>
      <c r="C1" s="26"/>
      <c r="D1" s="26"/>
      <c r="E1" s="26"/>
      <c r="F1" s="26"/>
    </row>
    <row r="2" spans="1:6" x14ac:dyDescent="0.25">
      <c r="A2" s="26" t="s">
        <v>83</v>
      </c>
      <c r="B2" s="26"/>
      <c r="C2" s="26"/>
      <c r="D2" s="26"/>
      <c r="E2" s="26"/>
      <c r="F2" s="26"/>
    </row>
    <row r="3" spans="1:6" ht="15.75" x14ac:dyDescent="0.25">
      <c r="A3" s="4"/>
      <c r="B3" s="4"/>
      <c r="C3" s="4"/>
      <c r="D3" s="4"/>
      <c r="E3" s="4"/>
      <c r="F3" s="4"/>
    </row>
    <row r="4" spans="1:6" x14ac:dyDescent="0.25">
      <c r="A4" s="5" t="s">
        <v>0</v>
      </c>
      <c r="B4" s="5" t="s">
        <v>1</v>
      </c>
      <c r="C4" s="5" t="s">
        <v>2</v>
      </c>
      <c r="D4" s="5" t="s">
        <v>0</v>
      </c>
      <c r="E4" s="5" t="s">
        <v>1</v>
      </c>
      <c r="F4" s="5" t="s">
        <v>2</v>
      </c>
    </row>
    <row r="5" spans="1:6" x14ac:dyDescent="0.25">
      <c r="A5" s="5">
        <v>1</v>
      </c>
      <c r="B5" s="6" t="s">
        <v>46</v>
      </c>
      <c r="C5" s="7">
        <f>[18]krnmei!$R$148</f>
        <v>1230000</v>
      </c>
      <c r="D5" s="5">
        <v>29</v>
      </c>
      <c r="E5" s="6" t="s">
        <v>3</v>
      </c>
      <c r="F5" s="7">
        <f>[21]krnmei!$R$695</f>
        <v>4935000</v>
      </c>
    </row>
    <row r="6" spans="1:6" x14ac:dyDescent="0.25">
      <c r="A6" s="5">
        <v>2</v>
      </c>
      <c r="B6" s="6" t="s">
        <v>65</v>
      </c>
      <c r="C6" s="7">
        <f>[6]krnmei!$R$225</f>
        <v>1000000</v>
      </c>
      <c r="D6" s="5">
        <v>30</v>
      </c>
      <c r="E6" s="6" t="s">
        <v>4</v>
      </c>
      <c r="F6" s="7">
        <f>[21]krnmei!$R$746</f>
        <v>547500</v>
      </c>
    </row>
    <row r="7" spans="1:6" x14ac:dyDescent="0.25">
      <c r="A7" s="5">
        <v>3</v>
      </c>
      <c r="B7" s="6" t="s">
        <v>48</v>
      </c>
      <c r="C7" s="7">
        <f>[21]krnmei!$R$253</f>
        <v>1100000</v>
      </c>
      <c r="D7" s="5">
        <v>31</v>
      </c>
      <c r="E7" s="6" t="s">
        <v>5</v>
      </c>
      <c r="F7" s="8">
        <f>[21]krnmei!$R$763</f>
        <v>332250</v>
      </c>
    </row>
    <row r="8" spans="1:6" x14ac:dyDescent="0.25">
      <c r="A8" s="5">
        <v>4</v>
      </c>
      <c r="B8" s="6" t="s">
        <v>41</v>
      </c>
      <c r="C8" s="7">
        <f>[21]krnmei!$R$287</f>
        <v>1445000</v>
      </c>
      <c r="D8" s="5">
        <v>32</v>
      </c>
      <c r="E8" s="6" t="s">
        <v>6</v>
      </c>
      <c r="F8" s="7">
        <f>[21]krnmei!$R$780</f>
        <v>637500</v>
      </c>
    </row>
    <row r="9" spans="1:6" x14ac:dyDescent="0.25">
      <c r="A9" s="5">
        <v>5</v>
      </c>
      <c r="B9" s="6" t="s">
        <v>42</v>
      </c>
      <c r="C9" s="9">
        <f>[6]krnmei!$R$293</f>
        <v>1800000</v>
      </c>
      <c r="D9" s="5">
        <v>33</v>
      </c>
      <c r="E9" s="6" t="s">
        <v>7</v>
      </c>
      <c r="F9" s="7">
        <f>[21]krnmei!$R$797</f>
        <v>642750</v>
      </c>
    </row>
    <row r="10" spans="1:6" x14ac:dyDescent="0.25">
      <c r="A10" s="5">
        <v>6</v>
      </c>
      <c r="B10" s="6" t="s">
        <v>43</v>
      </c>
      <c r="C10" s="7">
        <f>[21]krnmei!$R$321</f>
        <v>600000</v>
      </c>
      <c r="D10" s="5">
        <v>34</v>
      </c>
      <c r="E10" s="6" t="s">
        <v>8</v>
      </c>
      <c r="F10" s="7">
        <f>[21]krnmei!$R$814</f>
        <v>393500</v>
      </c>
    </row>
    <row r="11" spans="1:6" x14ac:dyDescent="0.25">
      <c r="A11" s="5">
        <v>7</v>
      </c>
      <c r="B11" s="6" t="s">
        <v>15</v>
      </c>
      <c r="C11" s="7">
        <f>[21]krnmei!$R$338</f>
        <v>866250</v>
      </c>
      <c r="D11" s="5">
        <v>35</v>
      </c>
      <c r="E11" s="6" t="s">
        <v>9</v>
      </c>
      <c r="F11" s="7">
        <f>[21]krnmei!$R$831</f>
        <v>511250</v>
      </c>
    </row>
    <row r="12" spans="1:6" x14ac:dyDescent="0.25">
      <c r="A12" s="5">
        <v>8</v>
      </c>
      <c r="B12" s="6" t="s">
        <v>44</v>
      </c>
      <c r="C12" s="7">
        <f>[21]krnmei!$R$372</f>
        <v>1880000</v>
      </c>
      <c r="D12" s="5">
        <v>36</v>
      </c>
      <c r="E12" s="6" t="s">
        <v>10</v>
      </c>
      <c r="F12" s="7">
        <f>[21]krnmei!$R$865</f>
        <v>465000</v>
      </c>
    </row>
    <row r="13" spans="1:6" x14ac:dyDescent="0.25">
      <c r="A13" s="5">
        <v>9</v>
      </c>
      <c r="B13" s="6" t="s">
        <v>37</v>
      </c>
      <c r="C13" s="7">
        <f>[21]krnmei!$R$389</f>
        <v>1198800</v>
      </c>
      <c r="D13" s="5">
        <v>37</v>
      </c>
      <c r="E13" s="6" t="s">
        <v>14</v>
      </c>
      <c r="F13" s="7">
        <f>[15]krnmei!$R$924</f>
        <v>100000</v>
      </c>
    </row>
    <row r="14" spans="1:6" x14ac:dyDescent="0.25">
      <c r="A14" s="5">
        <v>10</v>
      </c>
      <c r="B14" s="6" t="s">
        <v>36</v>
      </c>
      <c r="C14" s="7">
        <f>[21]krnmei!$R$406</f>
        <v>1610000</v>
      </c>
      <c r="D14" s="5">
        <v>38</v>
      </c>
      <c r="E14" s="6" t="s">
        <v>16</v>
      </c>
      <c r="F14" s="7">
        <f>[21]krnmei!$R$984</f>
        <v>811000</v>
      </c>
    </row>
    <row r="15" spans="1:6" x14ac:dyDescent="0.25">
      <c r="A15" s="5">
        <v>11</v>
      </c>
      <c r="B15" s="6" t="s">
        <v>38</v>
      </c>
      <c r="C15" s="7">
        <f>[21]krnmei!$R$457</f>
        <v>1392500</v>
      </c>
      <c r="D15" s="5">
        <v>39</v>
      </c>
      <c r="E15" s="6" t="s">
        <v>23</v>
      </c>
      <c r="F15" s="7">
        <f>[21]krnmei!$R$1035</f>
        <v>80000</v>
      </c>
    </row>
    <row r="16" spans="1:6" x14ac:dyDescent="0.25">
      <c r="A16" s="5">
        <v>12</v>
      </c>
      <c r="B16" s="6" t="s">
        <v>39</v>
      </c>
      <c r="C16" s="7">
        <f>[21]krnmei!$R$525</f>
        <v>938000</v>
      </c>
      <c r="D16" s="5">
        <v>40</v>
      </c>
      <c r="E16" s="6" t="s">
        <v>21</v>
      </c>
      <c r="F16" s="7">
        <f>[21]krnmei!$R$1052</f>
        <v>650000</v>
      </c>
    </row>
    <row r="17" spans="1:6" x14ac:dyDescent="0.25">
      <c r="A17" s="5">
        <v>13</v>
      </c>
      <c r="B17" s="6" t="s">
        <v>18</v>
      </c>
      <c r="C17" s="7">
        <f>[21]krnmei!$R$559</f>
        <v>1267500</v>
      </c>
      <c r="D17" s="5">
        <v>41</v>
      </c>
      <c r="E17" s="6" t="s">
        <v>28</v>
      </c>
      <c r="F17" s="7">
        <f>[21]krnmei!$R$1137</f>
        <v>965875</v>
      </c>
    </row>
    <row r="18" spans="1:6" x14ac:dyDescent="0.25">
      <c r="A18" s="5">
        <v>14</v>
      </c>
      <c r="B18" s="6" t="s">
        <v>19</v>
      </c>
      <c r="C18" s="7">
        <f>[21]krnmei!$R$576</f>
        <v>2905000</v>
      </c>
      <c r="D18" s="5">
        <v>42</v>
      </c>
      <c r="E18" s="10" t="s">
        <v>29</v>
      </c>
      <c r="F18" s="7">
        <f>[21]krnmei!$R$508</f>
        <v>839815</v>
      </c>
    </row>
    <row r="19" spans="1:6" x14ac:dyDescent="0.25">
      <c r="A19" s="5">
        <v>15</v>
      </c>
      <c r="B19" s="6" t="s">
        <v>20</v>
      </c>
      <c r="C19" s="7">
        <f>[21]krnmei!$R$593</f>
        <v>125000</v>
      </c>
      <c r="D19" s="5">
        <v>43</v>
      </c>
      <c r="E19" s="11" t="s">
        <v>30</v>
      </c>
      <c r="F19" s="7">
        <f>[21]krnmei!$R$1001</f>
        <v>1930000</v>
      </c>
    </row>
    <row r="20" spans="1:6" x14ac:dyDescent="0.25">
      <c r="A20" s="5">
        <v>16</v>
      </c>
      <c r="B20" s="6" t="s">
        <v>26</v>
      </c>
      <c r="C20" s="7">
        <f>[21]krnmei!$R$1069</f>
        <v>811000</v>
      </c>
      <c r="D20" s="5">
        <v>44</v>
      </c>
      <c r="E20" s="10" t="s">
        <v>33</v>
      </c>
      <c r="F20" s="7">
        <f>[6]krnmei!$R$1177</f>
        <v>250000</v>
      </c>
    </row>
    <row r="21" spans="1:6" x14ac:dyDescent="0.25">
      <c r="A21" s="5">
        <v>17</v>
      </c>
      <c r="B21" s="12" t="s">
        <v>24</v>
      </c>
      <c r="C21" s="7">
        <f>[14]krnmei!$R$1097</f>
        <v>475000</v>
      </c>
      <c r="D21" s="5">
        <v>45</v>
      </c>
      <c r="E21" s="11" t="s">
        <v>69</v>
      </c>
      <c r="F21" s="7">
        <f>[13]krnmei!$R$1198</f>
        <v>200000</v>
      </c>
    </row>
    <row r="22" spans="1:6" x14ac:dyDescent="0.25">
      <c r="A22" s="5">
        <v>18</v>
      </c>
      <c r="B22" s="6" t="s">
        <v>25</v>
      </c>
      <c r="C22" s="7">
        <f>[14]krnmei!$R$1114</f>
        <v>275000</v>
      </c>
      <c r="D22" s="5">
        <v>46</v>
      </c>
      <c r="E22" s="10" t="s">
        <v>56</v>
      </c>
      <c r="F22" s="7">
        <f>[21]krnmei!$R$1239</f>
        <v>532750</v>
      </c>
    </row>
    <row r="23" spans="1:6" x14ac:dyDescent="0.25">
      <c r="A23" s="5">
        <v>19</v>
      </c>
      <c r="B23" s="6" t="s">
        <v>40</v>
      </c>
      <c r="C23" s="7">
        <f>[21]krnmei!$R$1154</f>
        <v>-2777500</v>
      </c>
      <c r="D23" s="5">
        <v>47</v>
      </c>
      <c r="E23" s="20" t="s">
        <v>59</v>
      </c>
      <c r="F23" s="7">
        <f>[21]krnmei!$R$1290</f>
        <v>150000</v>
      </c>
    </row>
    <row r="24" spans="1:6" x14ac:dyDescent="0.25">
      <c r="A24" s="5">
        <v>20</v>
      </c>
      <c r="B24" s="6" t="s">
        <v>50</v>
      </c>
      <c r="C24" s="7">
        <f>[21]krnmei!$R$1171</f>
        <v>460000</v>
      </c>
      <c r="D24" s="5">
        <v>48</v>
      </c>
      <c r="E24" s="20" t="s">
        <v>61</v>
      </c>
      <c r="F24" s="7">
        <f>[15]krnmei!$R$1315</f>
        <v>100000</v>
      </c>
    </row>
    <row r="25" spans="1:6" x14ac:dyDescent="0.25">
      <c r="A25" s="5">
        <v>21</v>
      </c>
      <c r="B25" s="14" t="s">
        <v>51</v>
      </c>
      <c r="C25" s="7">
        <f>[21]krnmei!$R$660</f>
        <v>800000</v>
      </c>
      <c r="D25" s="5">
        <v>49</v>
      </c>
      <c r="E25" s="20" t="s">
        <v>62</v>
      </c>
      <c r="F25" s="7">
        <f>[15]krnmei!$R$1315</f>
        <v>100000</v>
      </c>
    </row>
    <row r="26" spans="1:6" x14ac:dyDescent="0.25">
      <c r="A26" s="5">
        <v>22</v>
      </c>
      <c r="B26" s="16" t="s">
        <v>12</v>
      </c>
      <c r="C26" s="7">
        <f>[21]krnmei!$R$899</f>
        <v>270000</v>
      </c>
      <c r="D26" s="5">
        <v>50</v>
      </c>
      <c r="E26" s="10" t="s">
        <v>63</v>
      </c>
      <c r="F26" s="7">
        <f>[15]krnmei!$R$1315</f>
        <v>100000</v>
      </c>
    </row>
    <row r="27" spans="1:6" x14ac:dyDescent="0.25">
      <c r="A27" s="5">
        <v>23</v>
      </c>
      <c r="B27" s="14" t="s">
        <v>52</v>
      </c>
      <c r="C27" s="7">
        <f>[21]krnmei!$R$1018</f>
        <v>651250</v>
      </c>
      <c r="D27" s="5">
        <v>51</v>
      </c>
      <c r="E27" s="6" t="s">
        <v>64</v>
      </c>
      <c r="F27" s="7">
        <f>[15]krnmei!$R$1315</f>
        <v>100000</v>
      </c>
    </row>
    <row r="28" spans="1:6" x14ac:dyDescent="0.25">
      <c r="A28" s="5">
        <v>24</v>
      </c>
      <c r="B28" s="14" t="s">
        <v>34</v>
      </c>
      <c r="C28" s="7">
        <f>[6]krnmei!$R$21</f>
        <v>200000</v>
      </c>
      <c r="D28" s="5">
        <v>52</v>
      </c>
      <c r="E28" s="10" t="s">
        <v>66</v>
      </c>
      <c r="F28" s="7">
        <f>[20]krnmei!$R$1391</f>
        <v>220000</v>
      </c>
    </row>
    <row r="29" spans="1:6" x14ac:dyDescent="0.25">
      <c r="A29" s="5">
        <v>25</v>
      </c>
      <c r="B29" s="25" t="s">
        <v>13</v>
      </c>
      <c r="C29" s="7">
        <f>[21]krnmei!$R$916</f>
        <v>1123000</v>
      </c>
      <c r="D29" s="5">
        <v>53</v>
      </c>
      <c r="E29" s="10" t="s">
        <v>67</v>
      </c>
      <c r="F29" s="7">
        <f>[21]krnmei!$R$1409</f>
        <v>1295000</v>
      </c>
    </row>
    <row r="30" spans="1:6" x14ac:dyDescent="0.25">
      <c r="A30" s="5">
        <v>26</v>
      </c>
      <c r="B30" s="25" t="s">
        <v>57</v>
      </c>
      <c r="C30" s="7">
        <v>300000</v>
      </c>
      <c r="D30" s="5">
        <v>54</v>
      </c>
      <c r="E30" s="6" t="s">
        <v>68</v>
      </c>
      <c r="F30" s="7">
        <v>50000</v>
      </c>
    </row>
    <row r="31" spans="1:6" x14ac:dyDescent="0.25">
      <c r="A31" s="5">
        <v>27</v>
      </c>
      <c r="B31" s="14" t="s">
        <v>58</v>
      </c>
      <c r="C31" s="7">
        <v>350000</v>
      </c>
      <c r="D31" s="5">
        <v>55</v>
      </c>
      <c r="E31" s="10" t="s">
        <v>72</v>
      </c>
      <c r="F31" s="7">
        <v>100000</v>
      </c>
    </row>
    <row r="32" spans="1:6" x14ac:dyDescent="0.25">
      <c r="A32" s="5">
        <v>28</v>
      </c>
      <c r="B32" s="14" t="s">
        <v>60</v>
      </c>
      <c r="C32" s="7">
        <v>300000</v>
      </c>
      <c r="D32" s="5"/>
      <c r="E32" s="10"/>
      <c r="F32" s="7"/>
    </row>
    <row r="33" spans="1:6" x14ac:dyDescent="0.25">
      <c r="A33" s="5"/>
      <c r="B33" s="25"/>
      <c r="C33" s="7"/>
      <c r="D33" s="5"/>
      <c r="E33" s="17"/>
      <c r="F33" s="17"/>
    </row>
    <row r="34" spans="1:6" x14ac:dyDescent="0.25">
      <c r="A34" s="27" t="s">
        <v>2</v>
      </c>
      <c r="B34" s="28"/>
      <c r="C34" s="18">
        <f>SUM(C5:C33)</f>
        <v>22595800</v>
      </c>
      <c r="D34" s="27" t="s">
        <v>2</v>
      </c>
      <c r="E34" s="28"/>
      <c r="F34" s="19">
        <f>SUM(F5:F33)</f>
        <v>17039190</v>
      </c>
    </row>
    <row r="35" spans="1:6" x14ac:dyDescent="0.25">
      <c r="A35" s="21"/>
      <c r="B35" s="21"/>
      <c r="C35" s="23"/>
      <c r="D35" s="21"/>
      <c r="E35" s="21"/>
      <c r="F35" s="24"/>
    </row>
    <row r="36" spans="1:6" x14ac:dyDescent="0.25">
      <c r="A36" s="21"/>
      <c r="B36" s="21"/>
      <c r="C36" s="23"/>
      <c r="D36" s="21"/>
      <c r="E36" s="21"/>
      <c r="F36" s="24"/>
    </row>
    <row r="37" spans="1:6" ht="15.75" x14ac:dyDescent="0.25">
      <c r="E37" s="22" t="s">
        <v>84</v>
      </c>
    </row>
    <row r="38" spans="1:6" ht="15.75" x14ac:dyDescent="0.25">
      <c r="E38" s="22" t="s">
        <v>31</v>
      </c>
    </row>
    <row r="39" spans="1:6" ht="15.75" x14ac:dyDescent="0.25">
      <c r="E39" s="22"/>
    </row>
    <row r="40" spans="1:6" ht="15.75" x14ac:dyDescent="0.25">
      <c r="E40" s="22"/>
    </row>
    <row r="41" spans="1:6" ht="15.75" x14ac:dyDescent="0.25">
      <c r="E41" s="22" t="s">
        <v>32</v>
      </c>
    </row>
  </sheetData>
  <mergeCells count="4">
    <mergeCell ref="A1:F1"/>
    <mergeCell ref="A2:F2"/>
    <mergeCell ref="A34:B34"/>
    <mergeCell ref="D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Jan'26</vt:lpstr>
      <vt:lpstr>PEB 26</vt:lpstr>
      <vt:lpstr>MARET-26</vt:lpstr>
      <vt:lpstr>APRIL-26</vt:lpstr>
      <vt:lpstr>MEI-2026</vt:lpstr>
      <vt:lpstr>JUNI-26</vt:lpstr>
      <vt:lpstr>JULI-26</vt:lpstr>
      <vt:lpstr>AGUSTS</vt:lpstr>
      <vt:lpstr>SEPT-25</vt:lpstr>
      <vt:lpstr>OKT-25</vt:lpstr>
      <vt:lpstr>NOP-25</vt:lpstr>
      <vt:lpstr>DES-25</vt:lpstr>
      <vt:lpstr>'MEI-2026'!Print_Area</vt:lpstr>
      <vt:lpstr>'SEPT-25'!Print_Area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ATOM</dc:creator>
  <cp:lastModifiedBy>Asus</cp:lastModifiedBy>
  <cp:lastPrinted>2025-08-11T11:20:01Z</cp:lastPrinted>
  <dcterms:created xsi:type="dcterms:W3CDTF">2015-02-23T23:53:23Z</dcterms:created>
  <dcterms:modified xsi:type="dcterms:W3CDTF">2026-05-01T04:30:54Z</dcterms:modified>
</cp:coreProperties>
</file>